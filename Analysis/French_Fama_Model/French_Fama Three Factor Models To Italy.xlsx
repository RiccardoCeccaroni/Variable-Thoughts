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ca\Desktop\"/>
    </mc:Choice>
  </mc:AlternateContent>
  <xr:revisionPtr revIDLastSave="0" documentId="13_ncr:1_{DE2BF867-AE59-4065-B9A9-3A013CDC86CA}" xr6:coauthVersionLast="47" xr6:coauthVersionMax="47" xr10:uidLastSave="{00000000-0000-0000-0000-000000000000}"/>
  <bookViews>
    <workbookView xWindow="-108" yWindow="-108" windowWidth="23256" windowHeight="12456" xr2:uid="{E9249F41-F696-4AAA-9A51-B377586C46A7}"/>
  </bookViews>
  <sheets>
    <sheet name="Summary_Table" sheetId="9" r:id="rId1"/>
    <sheet name="Overview_Table" sheetId="2" r:id="rId2"/>
    <sheet name="MKTCAP_BE" sheetId="6" r:id="rId3"/>
    <sheet name="Returns" sheetId="5" r:id="rId4"/>
    <sheet name="PE_Ratio" sheetId="8" r:id="rId5"/>
    <sheet name="Free Risk Return" sheetId="4" r:id="rId6"/>
    <sheet name="Not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9" l="1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P28" i="5"/>
  <c r="P23" i="5"/>
  <c r="P22" i="5"/>
  <c r="P17" i="5"/>
  <c r="P40" i="5"/>
  <c r="P39" i="5"/>
  <c r="P38" i="5"/>
  <c r="P37" i="5"/>
  <c r="P36" i="5"/>
  <c r="P35" i="5"/>
  <c r="P34" i="5"/>
  <c r="P33" i="5"/>
  <c r="P32" i="5"/>
  <c r="P31" i="5"/>
  <c r="P30" i="5"/>
  <c r="P29" i="5"/>
  <c r="P26" i="5"/>
  <c r="P25" i="5"/>
  <c r="P24" i="5"/>
  <c r="P21" i="5"/>
  <c r="P20" i="5"/>
  <c r="P19" i="5"/>
  <c r="P18" i="5"/>
  <c r="P16" i="5"/>
  <c r="P15" i="5"/>
  <c r="P14" i="5"/>
  <c r="P13" i="5"/>
  <c r="P12" i="5"/>
  <c r="P11" i="5"/>
  <c r="P10" i="5"/>
  <c r="P9" i="5"/>
  <c r="P8" i="5"/>
  <c r="P7" i="5"/>
  <c r="P6" i="5"/>
  <c r="P5" i="5"/>
  <c r="P3" i="5"/>
  <c r="O3" i="5"/>
  <c r="H39" i="9"/>
  <c r="G39" i="9"/>
  <c r="I39" i="9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AO40" i="6"/>
  <c r="AO39" i="6"/>
  <c r="AO38" i="6"/>
  <c r="AO37" i="6"/>
  <c r="AO36" i="6"/>
  <c r="AO35" i="6"/>
  <c r="AO34" i="6"/>
  <c r="AO33" i="6"/>
  <c r="AR33" i="6" s="1"/>
  <c r="AO32" i="6"/>
  <c r="AO31" i="6"/>
  <c r="AO30" i="6"/>
  <c r="AO29" i="6"/>
  <c r="AO28" i="6"/>
  <c r="AO27" i="6"/>
  <c r="AO26" i="6"/>
  <c r="AO25" i="6"/>
  <c r="AO24" i="6"/>
  <c r="AO23" i="6"/>
  <c r="AO22" i="6"/>
  <c r="AO21" i="6"/>
  <c r="AO20" i="6"/>
  <c r="AO19" i="6"/>
  <c r="AO18" i="6"/>
  <c r="AO17" i="6"/>
  <c r="AR17" i="6" s="1"/>
  <c r="AO16" i="6"/>
  <c r="AU16" i="6" s="1"/>
  <c r="AO15" i="6"/>
  <c r="AO14" i="6"/>
  <c r="AO13" i="6"/>
  <c r="AO12" i="6"/>
  <c r="AO11" i="6"/>
  <c r="AO10" i="6"/>
  <c r="AO9" i="6"/>
  <c r="AO8" i="6"/>
  <c r="AO7" i="6"/>
  <c r="AO6" i="6"/>
  <c r="AO5" i="6"/>
  <c r="AO4" i="6"/>
  <c r="AN40" i="6"/>
  <c r="AM40" i="6"/>
  <c r="AN39" i="6"/>
  <c r="AM39" i="6"/>
  <c r="AN38" i="6"/>
  <c r="AM38" i="6"/>
  <c r="AN37" i="6"/>
  <c r="AM37" i="6"/>
  <c r="AN36" i="6"/>
  <c r="AM36" i="6"/>
  <c r="AN35" i="6"/>
  <c r="AM35" i="6"/>
  <c r="AN34" i="6"/>
  <c r="AM34" i="6"/>
  <c r="AN33" i="6"/>
  <c r="AM33" i="6"/>
  <c r="AN32" i="6"/>
  <c r="AM32" i="6"/>
  <c r="AN31" i="6"/>
  <c r="AM31" i="6"/>
  <c r="AN30" i="6"/>
  <c r="AM30" i="6"/>
  <c r="AN29" i="6"/>
  <c r="AM29" i="6"/>
  <c r="AN28" i="6"/>
  <c r="AM28" i="6"/>
  <c r="AN27" i="6"/>
  <c r="AM27" i="6"/>
  <c r="AN26" i="6"/>
  <c r="AM26" i="6"/>
  <c r="AN25" i="6"/>
  <c r="AM25" i="6"/>
  <c r="AN24" i="6"/>
  <c r="AM24" i="6"/>
  <c r="AN23" i="6"/>
  <c r="AM23" i="6"/>
  <c r="AN22" i="6"/>
  <c r="AM22" i="6"/>
  <c r="AN21" i="6"/>
  <c r="AM21" i="6"/>
  <c r="AN20" i="6"/>
  <c r="AM20" i="6"/>
  <c r="AN19" i="6"/>
  <c r="AM19" i="6"/>
  <c r="AN18" i="6"/>
  <c r="AM18" i="6"/>
  <c r="AN17" i="6"/>
  <c r="AM17" i="6"/>
  <c r="AN16" i="6"/>
  <c r="AM16" i="6"/>
  <c r="AN15" i="6"/>
  <c r="AM15" i="6"/>
  <c r="AN14" i="6"/>
  <c r="AM14" i="6"/>
  <c r="AN13" i="6"/>
  <c r="AM13" i="6"/>
  <c r="AN12" i="6"/>
  <c r="AM12" i="6"/>
  <c r="AN11" i="6"/>
  <c r="AM11" i="6"/>
  <c r="AN10" i="6"/>
  <c r="AM10" i="6"/>
  <c r="AN9" i="6"/>
  <c r="AM9" i="6"/>
  <c r="AN8" i="6"/>
  <c r="AM8" i="6"/>
  <c r="AN7" i="6"/>
  <c r="AM7" i="6"/>
  <c r="AN6" i="6"/>
  <c r="AM6" i="6"/>
  <c r="AN5" i="6"/>
  <c r="AM5" i="6"/>
  <c r="AN4" i="6"/>
  <c r="AM4" i="6"/>
  <c r="AL40" i="6"/>
  <c r="AU40" i="6" s="1"/>
  <c r="AL39" i="6"/>
  <c r="AL38" i="6"/>
  <c r="AL37" i="6"/>
  <c r="AU37" i="6" s="1"/>
  <c r="AL36" i="6"/>
  <c r="AL35" i="6"/>
  <c r="AL34" i="6"/>
  <c r="AL33" i="6"/>
  <c r="AL32" i="6"/>
  <c r="AL31" i="6"/>
  <c r="AL30" i="6"/>
  <c r="AL29" i="6"/>
  <c r="AU29" i="6" s="1"/>
  <c r="AL27" i="6"/>
  <c r="AL26" i="6"/>
  <c r="AL25" i="6"/>
  <c r="AL24" i="6"/>
  <c r="AL23" i="6"/>
  <c r="AL22" i="6"/>
  <c r="AL21" i="6"/>
  <c r="AU21" i="6" s="1"/>
  <c r="AL20" i="6"/>
  <c r="AL19" i="6"/>
  <c r="AL18" i="6"/>
  <c r="AL17" i="6"/>
  <c r="AL16" i="6"/>
  <c r="AL15" i="6"/>
  <c r="AL14" i="6"/>
  <c r="AL13" i="6"/>
  <c r="AU13" i="6" s="1"/>
  <c r="AL12" i="6"/>
  <c r="AL11" i="6"/>
  <c r="AL10" i="6"/>
  <c r="AL9" i="6"/>
  <c r="AL8" i="6"/>
  <c r="AL7" i="6"/>
  <c r="AL6" i="6"/>
  <c r="AL5" i="6"/>
  <c r="AU5" i="6" s="1"/>
  <c r="AL4" i="6"/>
  <c r="AI40" i="6"/>
  <c r="AI39" i="6"/>
  <c r="AI38" i="6"/>
  <c r="AI37" i="6"/>
  <c r="AR37" i="6" s="1"/>
  <c r="AI36" i="6"/>
  <c r="AI35" i="6"/>
  <c r="AR35" i="6" s="1"/>
  <c r="AI34" i="6"/>
  <c r="AI33" i="6"/>
  <c r="AI32" i="6"/>
  <c r="AI31" i="6"/>
  <c r="AI30" i="6"/>
  <c r="AI29" i="6"/>
  <c r="AR29" i="6" s="1"/>
  <c r="AI28" i="6"/>
  <c r="AI27" i="6"/>
  <c r="AR27" i="6" s="1"/>
  <c r="AI26" i="6"/>
  <c r="AI25" i="6"/>
  <c r="AI24" i="6"/>
  <c r="AI23" i="6"/>
  <c r="AI22" i="6"/>
  <c r="AI21" i="6"/>
  <c r="AR21" i="6" s="1"/>
  <c r="AI20" i="6"/>
  <c r="AI19" i="6"/>
  <c r="AI18" i="6"/>
  <c r="AI17" i="6"/>
  <c r="AI16" i="6"/>
  <c r="AI15" i="6"/>
  <c r="AI14" i="6"/>
  <c r="AI13" i="6"/>
  <c r="AR13" i="6" s="1"/>
  <c r="AI12" i="6"/>
  <c r="AI11" i="6"/>
  <c r="AI10" i="6"/>
  <c r="AI9" i="6"/>
  <c r="AI8" i="6"/>
  <c r="AI7" i="6"/>
  <c r="AI6" i="6"/>
  <c r="AI5" i="6"/>
  <c r="AR5" i="6" s="1"/>
  <c r="AI4" i="6"/>
  <c r="C40" i="8" a="1"/>
  <c r="C40" i="8" s="1"/>
  <c r="D40" i="8" s="1" a="1"/>
  <c r="D40" i="8" s="1"/>
  <c r="E40" i="8" s="1" a="1"/>
  <c r="E40" i="8" s="1"/>
  <c r="F40" i="8" s="1" a="1"/>
  <c r="F40" i="8" s="1"/>
  <c r="G40" i="8" s="1" a="1"/>
  <c r="G40" i="8" s="1"/>
  <c r="H40" i="8" s="1" a="1"/>
  <c r="H40" i="8" s="1"/>
  <c r="I40" i="8" s="1" a="1"/>
  <c r="I40" i="8" s="1"/>
  <c r="J40" i="8" s="1" a="1"/>
  <c r="J40" i="8" s="1"/>
  <c r="K40" i="8" s="1" a="1"/>
  <c r="K40" i="8" s="1"/>
  <c r="L40" i="8" s="1" a="1"/>
  <c r="L40" i="8" s="1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M3" i="8"/>
  <c r="N3" i="8"/>
  <c r="M4" i="8"/>
  <c r="N4" i="8"/>
  <c r="M5" i="8"/>
  <c r="M40" i="8" s="1"/>
  <c r="N5" i="8"/>
  <c r="N40" i="8" s="1"/>
  <c r="M6" i="8"/>
  <c r="N6" i="8"/>
  <c r="M7" i="8"/>
  <c r="N7" i="8"/>
  <c r="M8" i="8"/>
  <c r="N8" i="8"/>
  <c r="M9" i="8"/>
  <c r="N9" i="8"/>
  <c r="M10" i="8"/>
  <c r="N10" i="8"/>
  <c r="M11" i="8"/>
  <c r="N11" i="8"/>
  <c r="M12" i="8"/>
  <c r="N12" i="8"/>
  <c r="M13" i="8"/>
  <c r="N13" i="8"/>
  <c r="M14" i="8"/>
  <c r="N14" i="8"/>
  <c r="M15" i="8"/>
  <c r="N15" i="8"/>
  <c r="M16" i="8"/>
  <c r="N16" i="8"/>
  <c r="M17" i="8"/>
  <c r="N17" i="8"/>
  <c r="M18" i="8"/>
  <c r="N18" i="8"/>
  <c r="M19" i="8"/>
  <c r="N19" i="8"/>
  <c r="M20" i="8"/>
  <c r="N20" i="8"/>
  <c r="M21" i="8"/>
  <c r="N21" i="8"/>
  <c r="M22" i="8"/>
  <c r="N22" i="8"/>
  <c r="M23" i="8"/>
  <c r="N23" i="8"/>
  <c r="M24" i="8"/>
  <c r="N24" i="8"/>
  <c r="M25" i="8"/>
  <c r="N25" i="8"/>
  <c r="M26" i="8"/>
  <c r="N26" i="8"/>
  <c r="M27" i="8"/>
  <c r="N27" i="8"/>
  <c r="M28" i="8"/>
  <c r="N28" i="8"/>
  <c r="M29" i="8"/>
  <c r="N29" i="8"/>
  <c r="M30" i="8"/>
  <c r="N30" i="8"/>
  <c r="M31" i="8"/>
  <c r="N31" i="8"/>
  <c r="M32" i="8"/>
  <c r="N32" i="8"/>
  <c r="M33" i="8"/>
  <c r="N33" i="8"/>
  <c r="M34" i="8"/>
  <c r="N34" i="8"/>
  <c r="M35" i="8"/>
  <c r="N35" i="8"/>
  <c r="M36" i="8"/>
  <c r="N36" i="8"/>
  <c r="M37" i="8"/>
  <c r="N37" i="8"/>
  <c r="M38" i="8"/>
  <c r="N38" i="8"/>
  <c r="M39" i="8"/>
  <c r="N39" i="8"/>
  <c r="AJ7" i="6"/>
  <c r="X3" i="6"/>
  <c r="Y3" i="6" s="1"/>
  <c r="Z3" i="6" s="1"/>
  <c r="AA3" i="6" s="1"/>
  <c r="AB3" i="6" s="1"/>
  <c r="AC3" i="6" s="1"/>
  <c r="AD3" i="6" s="1"/>
  <c r="AE3" i="6" s="1"/>
  <c r="AF3" i="6" s="1"/>
  <c r="D2" i="8"/>
  <c r="M28" i="6"/>
  <c r="AJ28" i="6" s="1"/>
  <c r="AK40" i="6"/>
  <c r="AJ40" i="6"/>
  <c r="AK39" i="6"/>
  <c r="AJ39" i="6"/>
  <c r="AK38" i="6"/>
  <c r="AJ38" i="6"/>
  <c r="AK37" i="6"/>
  <c r="AJ37" i="6"/>
  <c r="AK36" i="6"/>
  <c r="AJ36" i="6"/>
  <c r="AK35" i="6"/>
  <c r="AJ35" i="6"/>
  <c r="AK34" i="6"/>
  <c r="AJ34" i="6"/>
  <c r="AK33" i="6"/>
  <c r="AJ33" i="6"/>
  <c r="AK32" i="6"/>
  <c r="AJ32" i="6"/>
  <c r="AK31" i="6"/>
  <c r="AJ31" i="6"/>
  <c r="AK30" i="6"/>
  <c r="AJ30" i="6"/>
  <c r="AK29" i="6"/>
  <c r="AJ29" i="6"/>
  <c r="AK28" i="6"/>
  <c r="AK27" i="6"/>
  <c r="AJ27" i="6"/>
  <c r="AK26" i="6"/>
  <c r="AJ26" i="6"/>
  <c r="AK25" i="6"/>
  <c r="AJ25" i="6"/>
  <c r="AK24" i="6"/>
  <c r="AJ24" i="6"/>
  <c r="AK23" i="6"/>
  <c r="AJ23" i="6"/>
  <c r="AK22" i="6"/>
  <c r="AJ22" i="6"/>
  <c r="AK21" i="6"/>
  <c r="AJ21" i="6"/>
  <c r="AK20" i="6"/>
  <c r="AJ20" i="6"/>
  <c r="AK19" i="6"/>
  <c r="AJ19" i="6"/>
  <c r="AK18" i="6"/>
  <c r="AJ18" i="6"/>
  <c r="AK17" i="6"/>
  <c r="AJ17" i="6"/>
  <c r="AK16" i="6"/>
  <c r="AJ16" i="6"/>
  <c r="AK15" i="6"/>
  <c r="AJ15" i="6"/>
  <c r="AK14" i="6"/>
  <c r="AJ14" i="6"/>
  <c r="AK13" i="6"/>
  <c r="AJ13" i="6"/>
  <c r="AK12" i="6"/>
  <c r="AJ12" i="6"/>
  <c r="AK11" i="6"/>
  <c r="AJ11" i="6"/>
  <c r="AK10" i="6"/>
  <c r="AJ10" i="6"/>
  <c r="AK9" i="6"/>
  <c r="AJ9" i="6"/>
  <c r="AK8" i="6"/>
  <c r="AJ8" i="6"/>
  <c r="AK7" i="6"/>
  <c r="AK6" i="6"/>
  <c r="AJ6" i="6"/>
  <c r="AK5" i="6"/>
  <c r="AJ5" i="6"/>
  <c r="AK4" i="6"/>
  <c r="AJ4" i="6"/>
  <c r="AG5" i="6"/>
  <c r="AH5" i="6"/>
  <c r="AG6" i="6"/>
  <c r="AH6" i="6"/>
  <c r="AG7" i="6"/>
  <c r="AH7" i="6"/>
  <c r="AG8" i="6"/>
  <c r="AH8" i="6"/>
  <c r="AG9" i="6"/>
  <c r="AH9" i="6"/>
  <c r="AG10" i="6"/>
  <c r="AH10" i="6"/>
  <c r="AG11" i="6"/>
  <c r="AH11" i="6"/>
  <c r="AG12" i="6"/>
  <c r="AH12" i="6"/>
  <c r="AG13" i="6"/>
  <c r="AH13" i="6"/>
  <c r="AG14" i="6"/>
  <c r="AH14" i="6"/>
  <c r="AG15" i="6"/>
  <c r="AH15" i="6"/>
  <c r="AG16" i="6"/>
  <c r="AH16" i="6"/>
  <c r="AG17" i="6"/>
  <c r="AH17" i="6"/>
  <c r="AG18" i="6"/>
  <c r="AH18" i="6"/>
  <c r="AG19" i="6"/>
  <c r="AH19" i="6"/>
  <c r="AG20" i="6"/>
  <c r="AH20" i="6"/>
  <c r="AG21" i="6"/>
  <c r="AH21" i="6"/>
  <c r="AG22" i="6"/>
  <c r="AH22" i="6"/>
  <c r="AG23" i="6"/>
  <c r="AH23" i="6"/>
  <c r="AG24" i="6"/>
  <c r="AH24" i="6"/>
  <c r="AG25" i="6"/>
  <c r="AH25" i="6"/>
  <c r="AG26" i="6"/>
  <c r="AH26" i="6"/>
  <c r="AG27" i="6"/>
  <c r="AH27" i="6"/>
  <c r="AG28" i="6"/>
  <c r="AH28" i="6"/>
  <c r="AG29" i="6"/>
  <c r="AH29" i="6"/>
  <c r="AG30" i="6"/>
  <c r="AH30" i="6"/>
  <c r="AG31" i="6"/>
  <c r="AH31" i="6"/>
  <c r="AG32" i="6"/>
  <c r="AH32" i="6"/>
  <c r="AG33" i="6"/>
  <c r="AH33" i="6"/>
  <c r="AG34" i="6"/>
  <c r="AH34" i="6"/>
  <c r="AG35" i="6"/>
  <c r="AH35" i="6"/>
  <c r="AG36" i="6"/>
  <c r="AH36" i="6"/>
  <c r="AG37" i="6"/>
  <c r="AH37" i="6"/>
  <c r="AG38" i="6"/>
  <c r="AH38" i="6"/>
  <c r="AG39" i="6"/>
  <c r="AH39" i="6"/>
  <c r="AG40" i="6"/>
  <c r="AH40" i="6"/>
  <c r="AH4" i="6"/>
  <c r="AX4" i="6" s="1"/>
  <c r="AG4" i="6"/>
  <c r="G2" i="2" a="1"/>
  <c r="G2" i="2" s="1"/>
  <c r="H2" i="2" s="1"/>
  <c r="F2" i="2" a="1"/>
  <c r="F2" i="2" s="1"/>
  <c r="N3" i="6"/>
  <c r="O3" i="6" s="1"/>
  <c r="P3" i="6" s="1"/>
  <c r="Q3" i="6" s="1"/>
  <c r="R3" i="6" s="1"/>
  <c r="S3" i="6" s="1"/>
  <c r="T3" i="6" s="1"/>
  <c r="U3" i="6" s="1"/>
  <c r="V3" i="6" s="1"/>
  <c r="D3" i="6"/>
  <c r="M40" i="5"/>
  <c r="O40" i="5" s="1"/>
  <c r="L40" i="5"/>
  <c r="K40" i="5"/>
  <c r="J40" i="5"/>
  <c r="I40" i="5"/>
  <c r="H40" i="5"/>
  <c r="G40" i="5"/>
  <c r="F40" i="5"/>
  <c r="E40" i="5"/>
  <c r="D40" i="5"/>
  <c r="C40" i="5"/>
  <c r="C3" i="5"/>
  <c r="M39" i="5"/>
  <c r="O39" i="5" s="1"/>
  <c r="M38" i="5"/>
  <c r="M37" i="5"/>
  <c r="O37" i="5" s="1"/>
  <c r="M36" i="5"/>
  <c r="O36" i="5" s="1"/>
  <c r="M35" i="5"/>
  <c r="O35" i="5" s="1"/>
  <c r="M34" i="5"/>
  <c r="M33" i="5"/>
  <c r="O33" i="5" s="1"/>
  <c r="M32" i="5"/>
  <c r="O32" i="5" s="1"/>
  <c r="M31" i="5"/>
  <c r="O31" i="5" s="1"/>
  <c r="M30" i="5"/>
  <c r="M29" i="5"/>
  <c r="M28" i="5"/>
  <c r="M27" i="5"/>
  <c r="O27" i="5" s="1"/>
  <c r="M26" i="5"/>
  <c r="M25" i="5"/>
  <c r="M24" i="5"/>
  <c r="O24" i="5" s="1"/>
  <c r="M23" i="5"/>
  <c r="O23" i="5" s="1"/>
  <c r="M22" i="5"/>
  <c r="M21" i="5"/>
  <c r="M20" i="5"/>
  <c r="O20" i="5" s="1"/>
  <c r="M19" i="5"/>
  <c r="O19" i="5" s="1"/>
  <c r="M18" i="5"/>
  <c r="M17" i="5"/>
  <c r="M16" i="5"/>
  <c r="O16" i="5" s="1"/>
  <c r="M15" i="5"/>
  <c r="M14" i="5"/>
  <c r="M13" i="5"/>
  <c r="M12" i="5"/>
  <c r="M11" i="5"/>
  <c r="O11" i="5" s="1"/>
  <c r="M10" i="5"/>
  <c r="O10" i="5" s="1"/>
  <c r="M9" i="5"/>
  <c r="O9" i="5" s="1"/>
  <c r="M8" i="5"/>
  <c r="M7" i="5"/>
  <c r="M6" i="5"/>
  <c r="O6" i="5" s="1"/>
  <c r="M5" i="5"/>
  <c r="M4" i="5"/>
  <c r="O4" i="5" s="1"/>
  <c r="M3" i="5"/>
  <c r="L39" i="5"/>
  <c r="K39" i="5"/>
  <c r="J39" i="5"/>
  <c r="I39" i="5"/>
  <c r="H39" i="5"/>
  <c r="G39" i="5"/>
  <c r="N39" i="5" s="1"/>
  <c r="F39" i="5"/>
  <c r="E39" i="5"/>
  <c r="D39" i="5"/>
  <c r="C39" i="5"/>
  <c r="L38" i="5"/>
  <c r="K38" i="5"/>
  <c r="J38" i="5"/>
  <c r="I38" i="5"/>
  <c r="H38" i="5"/>
  <c r="G38" i="5"/>
  <c r="N38" i="5" s="1"/>
  <c r="F38" i="5"/>
  <c r="E38" i="5"/>
  <c r="D38" i="5"/>
  <c r="C38" i="5"/>
  <c r="L37" i="5"/>
  <c r="K37" i="5"/>
  <c r="J37" i="5"/>
  <c r="I37" i="5"/>
  <c r="H37" i="5"/>
  <c r="G37" i="5"/>
  <c r="N37" i="5" s="1"/>
  <c r="F37" i="5"/>
  <c r="E37" i="5"/>
  <c r="D37" i="5"/>
  <c r="C37" i="5"/>
  <c r="L36" i="5"/>
  <c r="K36" i="5"/>
  <c r="J36" i="5"/>
  <c r="I36" i="5"/>
  <c r="H36" i="5"/>
  <c r="G36" i="5"/>
  <c r="F36" i="5"/>
  <c r="E36" i="5"/>
  <c r="D36" i="5"/>
  <c r="C36" i="5"/>
  <c r="L35" i="5"/>
  <c r="K35" i="5"/>
  <c r="J35" i="5"/>
  <c r="I35" i="5"/>
  <c r="H35" i="5"/>
  <c r="G35" i="5"/>
  <c r="F35" i="5"/>
  <c r="E35" i="5"/>
  <c r="D35" i="5"/>
  <c r="C35" i="5"/>
  <c r="L34" i="5"/>
  <c r="K34" i="5"/>
  <c r="J34" i="5"/>
  <c r="I34" i="5"/>
  <c r="H34" i="5"/>
  <c r="G34" i="5"/>
  <c r="F34" i="5"/>
  <c r="E34" i="5"/>
  <c r="D34" i="5"/>
  <c r="C34" i="5"/>
  <c r="L33" i="5"/>
  <c r="K33" i="5"/>
  <c r="J33" i="5"/>
  <c r="I33" i="5"/>
  <c r="H33" i="5"/>
  <c r="G33" i="5"/>
  <c r="F33" i="5"/>
  <c r="E33" i="5"/>
  <c r="D33" i="5"/>
  <c r="C33" i="5"/>
  <c r="L32" i="5"/>
  <c r="K32" i="5"/>
  <c r="J32" i="5"/>
  <c r="I32" i="5"/>
  <c r="H32" i="5"/>
  <c r="G32" i="5"/>
  <c r="N32" i="5" s="1"/>
  <c r="F32" i="5"/>
  <c r="E32" i="5"/>
  <c r="D32" i="5"/>
  <c r="C32" i="5"/>
  <c r="L31" i="5"/>
  <c r="K31" i="5"/>
  <c r="J31" i="5"/>
  <c r="I31" i="5"/>
  <c r="H31" i="5"/>
  <c r="G31" i="5"/>
  <c r="N31" i="5" s="1"/>
  <c r="F31" i="5"/>
  <c r="E31" i="5"/>
  <c r="D31" i="5"/>
  <c r="C31" i="5"/>
  <c r="L30" i="5"/>
  <c r="K30" i="5"/>
  <c r="J30" i="5"/>
  <c r="I30" i="5"/>
  <c r="H30" i="5"/>
  <c r="G30" i="5"/>
  <c r="F30" i="5"/>
  <c r="E30" i="5"/>
  <c r="D30" i="5"/>
  <c r="C30" i="5"/>
  <c r="L29" i="5"/>
  <c r="K29" i="5"/>
  <c r="J29" i="5"/>
  <c r="I29" i="5"/>
  <c r="H29" i="5"/>
  <c r="G29" i="5"/>
  <c r="F29" i="5"/>
  <c r="E29" i="5"/>
  <c r="D29" i="5"/>
  <c r="C29" i="5"/>
  <c r="L28" i="5"/>
  <c r="K28" i="5"/>
  <c r="J28" i="5"/>
  <c r="I28" i="5"/>
  <c r="H28" i="5"/>
  <c r="G28" i="5"/>
  <c r="N28" i="5" s="1"/>
  <c r="F28" i="5"/>
  <c r="E28" i="5"/>
  <c r="D28" i="5"/>
  <c r="C28" i="5"/>
  <c r="L27" i="5"/>
  <c r="K27" i="5"/>
  <c r="J27" i="5"/>
  <c r="I27" i="5"/>
  <c r="H27" i="5"/>
  <c r="G27" i="5"/>
  <c r="F27" i="5"/>
  <c r="E27" i="5"/>
  <c r="D27" i="5"/>
  <c r="C27" i="5"/>
  <c r="L26" i="5"/>
  <c r="K26" i="5"/>
  <c r="J26" i="5"/>
  <c r="I26" i="5"/>
  <c r="H26" i="5"/>
  <c r="G26" i="5"/>
  <c r="N26" i="5" s="1"/>
  <c r="F26" i="5"/>
  <c r="E26" i="5"/>
  <c r="D26" i="5"/>
  <c r="C26" i="5"/>
  <c r="L25" i="5"/>
  <c r="K25" i="5"/>
  <c r="J25" i="5"/>
  <c r="I25" i="5"/>
  <c r="H25" i="5"/>
  <c r="G25" i="5"/>
  <c r="F25" i="5"/>
  <c r="E25" i="5"/>
  <c r="D25" i="5"/>
  <c r="C25" i="5"/>
  <c r="L24" i="5"/>
  <c r="K24" i="5"/>
  <c r="J24" i="5"/>
  <c r="I24" i="5"/>
  <c r="H24" i="5"/>
  <c r="G24" i="5"/>
  <c r="F24" i="5"/>
  <c r="E24" i="5"/>
  <c r="D24" i="5"/>
  <c r="C24" i="5"/>
  <c r="L23" i="5"/>
  <c r="K23" i="5"/>
  <c r="J23" i="5"/>
  <c r="I23" i="5"/>
  <c r="H23" i="5"/>
  <c r="G23" i="5"/>
  <c r="N23" i="5" s="1"/>
  <c r="F23" i="5"/>
  <c r="E23" i="5"/>
  <c r="D23" i="5"/>
  <c r="C23" i="5"/>
  <c r="L22" i="5"/>
  <c r="K22" i="5"/>
  <c r="J22" i="5"/>
  <c r="I22" i="5"/>
  <c r="H22" i="5"/>
  <c r="G22" i="5"/>
  <c r="F22" i="5"/>
  <c r="E22" i="5"/>
  <c r="D22" i="5"/>
  <c r="C22" i="5"/>
  <c r="L21" i="5"/>
  <c r="K21" i="5"/>
  <c r="J21" i="5"/>
  <c r="I21" i="5"/>
  <c r="H21" i="5"/>
  <c r="G21" i="5"/>
  <c r="F21" i="5"/>
  <c r="E21" i="5"/>
  <c r="D21" i="5"/>
  <c r="C21" i="5"/>
  <c r="L20" i="5"/>
  <c r="K20" i="5"/>
  <c r="J20" i="5"/>
  <c r="I20" i="5"/>
  <c r="H20" i="5"/>
  <c r="G20" i="5"/>
  <c r="N20" i="5" s="1"/>
  <c r="F20" i="5"/>
  <c r="E20" i="5"/>
  <c r="D20" i="5"/>
  <c r="C20" i="5"/>
  <c r="L19" i="5"/>
  <c r="K19" i="5"/>
  <c r="J19" i="5"/>
  <c r="I19" i="5"/>
  <c r="H19" i="5"/>
  <c r="G19" i="5"/>
  <c r="N19" i="5" s="1"/>
  <c r="F19" i="5"/>
  <c r="E19" i="5"/>
  <c r="D19" i="5"/>
  <c r="C19" i="5"/>
  <c r="L18" i="5"/>
  <c r="K18" i="5"/>
  <c r="J18" i="5"/>
  <c r="I18" i="5"/>
  <c r="H18" i="5"/>
  <c r="G18" i="5"/>
  <c r="F18" i="5"/>
  <c r="E18" i="5"/>
  <c r="D18" i="5"/>
  <c r="C18" i="5"/>
  <c r="L17" i="5"/>
  <c r="K17" i="5"/>
  <c r="J17" i="5"/>
  <c r="I17" i="5"/>
  <c r="H17" i="5"/>
  <c r="G17" i="5"/>
  <c r="F17" i="5"/>
  <c r="E17" i="5"/>
  <c r="D17" i="5"/>
  <c r="C17" i="5"/>
  <c r="L16" i="5"/>
  <c r="K16" i="5"/>
  <c r="J16" i="5"/>
  <c r="I16" i="5"/>
  <c r="H16" i="5"/>
  <c r="G16" i="5"/>
  <c r="F16" i="5"/>
  <c r="E16" i="5"/>
  <c r="D16" i="5"/>
  <c r="C16" i="5"/>
  <c r="L15" i="5"/>
  <c r="K15" i="5"/>
  <c r="J15" i="5"/>
  <c r="I15" i="5"/>
  <c r="H15" i="5"/>
  <c r="G15" i="5"/>
  <c r="F15" i="5"/>
  <c r="E15" i="5"/>
  <c r="D15" i="5"/>
  <c r="C15" i="5"/>
  <c r="L14" i="5"/>
  <c r="K14" i="5"/>
  <c r="J14" i="5"/>
  <c r="I14" i="5"/>
  <c r="H14" i="5"/>
  <c r="G14" i="5"/>
  <c r="N14" i="5" s="1"/>
  <c r="F14" i="5"/>
  <c r="E14" i="5"/>
  <c r="D14" i="5"/>
  <c r="C14" i="5"/>
  <c r="L13" i="5"/>
  <c r="K13" i="5"/>
  <c r="J13" i="5"/>
  <c r="I13" i="5"/>
  <c r="H13" i="5"/>
  <c r="G13" i="5"/>
  <c r="F13" i="5"/>
  <c r="E13" i="5"/>
  <c r="D13" i="5"/>
  <c r="C13" i="5"/>
  <c r="L12" i="5"/>
  <c r="K12" i="5"/>
  <c r="J12" i="5"/>
  <c r="I12" i="5"/>
  <c r="H12" i="5"/>
  <c r="G12" i="5"/>
  <c r="F12" i="5"/>
  <c r="E12" i="5"/>
  <c r="D12" i="5"/>
  <c r="C12" i="5"/>
  <c r="L11" i="5"/>
  <c r="K11" i="5"/>
  <c r="J11" i="5"/>
  <c r="I11" i="5"/>
  <c r="H11" i="5"/>
  <c r="G11" i="5"/>
  <c r="N11" i="5" s="1"/>
  <c r="F11" i="5"/>
  <c r="E11" i="5"/>
  <c r="D11" i="5"/>
  <c r="C11" i="5"/>
  <c r="L10" i="5"/>
  <c r="K10" i="5"/>
  <c r="J10" i="5"/>
  <c r="I10" i="5"/>
  <c r="G10" i="5"/>
  <c r="N10" i="5" s="1"/>
  <c r="F10" i="5"/>
  <c r="E10" i="5"/>
  <c r="D10" i="5"/>
  <c r="C10" i="5"/>
  <c r="L9" i="5"/>
  <c r="K9" i="5"/>
  <c r="J9" i="5"/>
  <c r="I9" i="5"/>
  <c r="H9" i="5"/>
  <c r="G9" i="5"/>
  <c r="F9" i="5"/>
  <c r="E9" i="5"/>
  <c r="D9" i="5"/>
  <c r="C9" i="5"/>
  <c r="L8" i="5"/>
  <c r="K8" i="5"/>
  <c r="J8" i="5"/>
  <c r="I8" i="5"/>
  <c r="H8" i="5"/>
  <c r="G8" i="5"/>
  <c r="F8" i="5"/>
  <c r="E8" i="5"/>
  <c r="D8" i="5"/>
  <c r="C8" i="5"/>
  <c r="L7" i="5"/>
  <c r="K7" i="5"/>
  <c r="J7" i="5"/>
  <c r="I7" i="5"/>
  <c r="H7" i="5"/>
  <c r="G7" i="5"/>
  <c r="N7" i="5" s="1"/>
  <c r="F7" i="5"/>
  <c r="E7" i="5"/>
  <c r="D7" i="5"/>
  <c r="C7" i="5"/>
  <c r="L6" i="5"/>
  <c r="K6" i="5"/>
  <c r="J6" i="5"/>
  <c r="I6" i="5"/>
  <c r="G6" i="5"/>
  <c r="F6" i="5"/>
  <c r="E6" i="5"/>
  <c r="D6" i="5"/>
  <c r="C6" i="5"/>
  <c r="L5" i="5"/>
  <c r="K5" i="5"/>
  <c r="J5" i="5"/>
  <c r="I5" i="5"/>
  <c r="H5" i="5"/>
  <c r="G5" i="5"/>
  <c r="N5" i="5" s="1"/>
  <c r="F5" i="5"/>
  <c r="E5" i="5"/>
  <c r="D5" i="5"/>
  <c r="C5" i="5"/>
  <c r="L4" i="5"/>
  <c r="K4" i="5"/>
  <c r="J4" i="5"/>
  <c r="I4" i="5"/>
  <c r="H4" i="5"/>
  <c r="G4" i="5"/>
  <c r="F4" i="5"/>
  <c r="E4" i="5"/>
  <c r="D4" i="5"/>
  <c r="C4" i="5"/>
  <c r="D3" i="5"/>
  <c r="E3" i="5"/>
  <c r="F3" i="5"/>
  <c r="G3" i="5"/>
  <c r="N3" i="5" s="1"/>
  <c r="H3" i="5"/>
  <c r="I3" i="5"/>
  <c r="J3" i="5"/>
  <c r="K3" i="5"/>
  <c r="L3" i="5"/>
  <c r="F3" i="2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B9" i="4"/>
  <c r="I38" i="2" a="1"/>
  <c r="I38" i="2" s="1"/>
  <c r="I37" i="2" a="1"/>
  <c r="I37" i="2" s="1"/>
  <c r="I36" i="2" a="1"/>
  <c r="I36" i="2" s="1"/>
  <c r="I35" i="2" a="1"/>
  <c r="I35" i="2" s="1"/>
  <c r="I34" i="2" a="1"/>
  <c r="I34" i="2" s="1"/>
  <c r="I33" i="2" a="1"/>
  <c r="I33" i="2" s="1"/>
  <c r="I32" i="2" a="1"/>
  <c r="I32" i="2" s="1"/>
  <c r="I31" i="2" a="1"/>
  <c r="I31" i="2" s="1"/>
  <c r="I30" i="2" a="1"/>
  <c r="I30" i="2" s="1"/>
  <c r="I29" i="2" a="1"/>
  <c r="I29" i="2" s="1"/>
  <c r="I28" i="2" a="1"/>
  <c r="I28" i="2" s="1"/>
  <c r="I27" i="2" a="1"/>
  <c r="I27" i="2" s="1"/>
  <c r="I26" i="2" a="1"/>
  <c r="I26" i="2" s="1"/>
  <c r="I25" i="2" a="1"/>
  <c r="I25" i="2" s="1"/>
  <c r="I24" i="2" a="1"/>
  <c r="I24" i="2" s="1"/>
  <c r="I23" i="2" a="1"/>
  <c r="I23" i="2" s="1"/>
  <c r="I22" i="2" a="1"/>
  <c r="I22" i="2" s="1"/>
  <c r="I21" i="2" a="1"/>
  <c r="I21" i="2" s="1"/>
  <c r="I20" i="2" a="1"/>
  <c r="I20" i="2" s="1"/>
  <c r="I19" i="2" a="1"/>
  <c r="I19" i="2" s="1"/>
  <c r="I18" i="2" a="1"/>
  <c r="I18" i="2" s="1"/>
  <c r="I17" i="2" a="1"/>
  <c r="I17" i="2" s="1"/>
  <c r="I16" i="2" a="1"/>
  <c r="I16" i="2" s="1"/>
  <c r="I15" i="2" a="1"/>
  <c r="I15" i="2" s="1"/>
  <c r="I14" i="2" a="1"/>
  <c r="I14" i="2" s="1"/>
  <c r="I13" i="2" a="1"/>
  <c r="I13" i="2" s="1"/>
  <c r="I12" i="2" a="1"/>
  <c r="I12" i="2" s="1"/>
  <c r="I11" i="2" a="1"/>
  <c r="I11" i="2" s="1"/>
  <c r="I10" i="2" a="1"/>
  <c r="I10" i="2" s="1"/>
  <c r="I9" i="2" a="1"/>
  <c r="I9" i="2" s="1"/>
  <c r="I8" i="2" a="1"/>
  <c r="I8" i="2" s="1"/>
  <c r="I7" i="2" a="1"/>
  <c r="I7" i="2" s="1"/>
  <c r="I6" i="2" a="1"/>
  <c r="I6" i="2" s="1"/>
  <c r="I5" i="2" a="1"/>
  <c r="I5" i="2" s="1"/>
  <c r="I4" i="2" a="1"/>
  <c r="I4" i="2" s="1"/>
  <c r="I3" i="2" a="1"/>
  <c r="I3" i="2" s="1"/>
  <c r="I2" i="2" a="1"/>
  <c r="I2" i="2" s="1"/>
  <c r="G26" i="2" a="1"/>
  <c r="G26" i="2" s="1"/>
  <c r="G3" i="2" a="1"/>
  <c r="G3" i="2" s="1"/>
  <c r="G4" i="2" a="1"/>
  <c r="G4" i="2" s="1"/>
  <c r="G5" i="2" a="1"/>
  <c r="G5" i="2" s="1"/>
  <c r="H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H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AX8" i="6" l="1"/>
  <c r="AU24" i="6"/>
  <c r="AU33" i="6"/>
  <c r="AM41" i="6"/>
  <c r="AR10" i="6"/>
  <c r="AR18" i="6"/>
  <c r="AR26" i="6"/>
  <c r="AR34" i="6"/>
  <c r="AU9" i="6"/>
  <c r="AU17" i="6"/>
  <c r="AU25" i="6"/>
  <c r="AU19" i="6"/>
  <c r="AU27" i="6"/>
  <c r="AU35" i="6"/>
  <c r="AX36" i="6"/>
  <c r="AR9" i="6"/>
  <c r="AR25" i="6"/>
  <c r="AX12" i="6"/>
  <c r="AX20" i="6"/>
  <c r="AU6" i="6"/>
  <c r="AU14" i="6"/>
  <c r="AU22" i="6"/>
  <c r="AU30" i="6"/>
  <c r="AU38" i="6"/>
  <c r="AN41" i="6"/>
  <c r="AV8" i="6"/>
  <c r="AV12" i="6"/>
  <c r="AV16" i="6"/>
  <c r="AV20" i="6"/>
  <c r="AV24" i="6"/>
  <c r="AW28" i="6"/>
  <c r="AW32" i="6"/>
  <c r="AW36" i="6"/>
  <c r="AW40" i="6"/>
  <c r="AX10" i="6"/>
  <c r="AX18" i="6"/>
  <c r="AX26" i="6"/>
  <c r="AX35" i="6"/>
  <c r="AR4" i="6"/>
  <c r="AR12" i="6"/>
  <c r="AR20" i="6"/>
  <c r="AR28" i="6"/>
  <c r="AR36" i="6"/>
  <c r="AV4" i="6"/>
  <c r="AX11" i="6"/>
  <c r="AX19" i="6"/>
  <c r="AX27" i="6"/>
  <c r="AR22" i="6"/>
  <c r="AW9" i="6"/>
  <c r="AX30" i="6"/>
  <c r="AX38" i="6"/>
  <c r="AR7" i="6"/>
  <c r="AR15" i="6"/>
  <c r="AR23" i="6"/>
  <c r="AR31" i="6"/>
  <c r="AR39" i="6"/>
  <c r="AR30" i="6"/>
  <c r="AX6" i="6"/>
  <c r="AX14" i="6"/>
  <c r="AX22" i="6"/>
  <c r="AX31" i="6"/>
  <c r="AX39" i="6"/>
  <c r="AR8" i="6"/>
  <c r="AR16" i="6"/>
  <c r="AR24" i="6"/>
  <c r="AR32" i="6"/>
  <c r="AR40" i="6"/>
  <c r="AU32" i="6"/>
  <c r="AV6" i="6"/>
  <c r="AI41" i="6"/>
  <c r="AX7" i="6"/>
  <c r="AX15" i="6"/>
  <c r="AX23" i="6"/>
  <c r="AX32" i="6"/>
  <c r="AX40" i="6"/>
  <c r="AR6" i="6"/>
  <c r="AR38" i="6"/>
  <c r="AX16" i="6"/>
  <c r="AX24" i="6"/>
  <c r="AU8" i="6"/>
  <c r="AX34" i="6"/>
  <c r="AR11" i="6"/>
  <c r="AR19" i="6"/>
  <c r="AR14" i="6"/>
  <c r="AU11" i="6"/>
  <c r="AW5" i="6"/>
  <c r="AV10" i="6"/>
  <c r="AV14" i="6"/>
  <c r="AV18" i="6"/>
  <c r="AV22" i="6"/>
  <c r="AV26" i="6"/>
  <c r="AW30" i="6"/>
  <c r="AW34" i="6"/>
  <c r="AW38" i="6"/>
  <c r="AU7" i="6"/>
  <c r="AU15" i="6"/>
  <c r="AU23" i="6"/>
  <c r="AU31" i="6"/>
  <c r="AU39" i="6"/>
  <c r="AX9" i="6"/>
  <c r="AX17" i="6"/>
  <c r="AX25" i="6"/>
  <c r="AX33" i="6"/>
  <c r="AU10" i="6"/>
  <c r="AU18" i="6"/>
  <c r="AU26" i="6"/>
  <c r="AU34" i="6"/>
  <c r="AU4" i="6"/>
  <c r="AU12" i="6"/>
  <c r="AU20" i="6"/>
  <c r="AU36" i="6"/>
  <c r="AX5" i="6"/>
  <c r="AX13" i="6"/>
  <c r="AX21" i="6"/>
  <c r="AX29" i="6"/>
  <c r="AX37" i="6"/>
  <c r="AO41" i="6"/>
  <c r="AW13" i="6"/>
  <c r="AW17" i="6"/>
  <c r="AW21" i="6"/>
  <c r="AW25" i="6"/>
  <c r="AV30" i="6"/>
  <c r="AV34" i="6"/>
  <c r="AV38" i="6"/>
  <c r="AL28" i="6"/>
  <c r="AX28" i="6" s="1"/>
  <c r="P4" i="5"/>
  <c r="H24" i="2"/>
  <c r="H3" i="2"/>
  <c r="H15" i="2"/>
  <c r="H7" i="2"/>
  <c r="AV28" i="6"/>
  <c r="AV32" i="6"/>
  <c r="AV36" i="6"/>
  <c r="AV40" i="6"/>
  <c r="AV7" i="6"/>
  <c r="AW4" i="6"/>
  <c r="AV9" i="6"/>
  <c r="AV13" i="6"/>
  <c r="AV17" i="6"/>
  <c r="AV21" i="6"/>
  <c r="AV25" i="6"/>
  <c r="AW29" i="6"/>
  <c r="AW33" i="6"/>
  <c r="AW37" i="6"/>
  <c r="AW24" i="6"/>
  <c r="AW8" i="6"/>
  <c r="AW12" i="6"/>
  <c r="AW16" i="6"/>
  <c r="AW20" i="6"/>
  <c r="AV29" i="6"/>
  <c r="AV33" i="6"/>
  <c r="AV37" i="6"/>
  <c r="AV5" i="6"/>
  <c r="AW10" i="6"/>
  <c r="AW14" i="6"/>
  <c r="AW18" i="6"/>
  <c r="AW22" i="6"/>
  <c r="AW26" i="6"/>
  <c r="AV31" i="6"/>
  <c r="AV35" i="6"/>
  <c r="AV39" i="6"/>
  <c r="AW6" i="6"/>
  <c r="AV11" i="6"/>
  <c r="AV15" i="6"/>
  <c r="AV19" i="6"/>
  <c r="AV23" i="6"/>
  <c r="AV27" i="6"/>
  <c r="AW31" i="6"/>
  <c r="AW35" i="6"/>
  <c r="AW39" i="6"/>
  <c r="AW7" i="6"/>
  <c r="AW11" i="6"/>
  <c r="AW15" i="6"/>
  <c r="AW19" i="6"/>
  <c r="AW23" i="6"/>
  <c r="AW27" i="6"/>
  <c r="N35" i="5"/>
  <c r="N12" i="5"/>
  <c r="N9" i="5"/>
  <c r="O12" i="5"/>
  <c r="O22" i="5"/>
  <c r="O30" i="5"/>
  <c r="O7" i="5"/>
  <c r="N17" i="5"/>
  <c r="O18" i="5"/>
  <c r="O5" i="5"/>
  <c r="O8" i="5"/>
  <c r="O17" i="5"/>
  <c r="O25" i="5"/>
  <c r="O13" i="5"/>
  <c r="O21" i="5"/>
  <c r="O29" i="5"/>
  <c r="N40" i="5"/>
  <c r="O14" i="5"/>
  <c r="O38" i="5"/>
  <c r="N16" i="5"/>
  <c r="N36" i="5"/>
  <c r="O15" i="5"/>
  <c r="N13" i="5"/>
  <c r="O26" i="5"/>
  <c r="O28" i="5"/>
  <c r="O34" i="5"/>
  <c r="AS19" i="6"/>
  <c r="AK41" i="6"/>
  <c r="AG41" i="6"/>
  <c r="AH41" i="6"/>
  <c r="AJ41" i="6"/>
  <c r="E2" i="8"/>
  <c r="E3" i="6"/>
  <c r="N4" i="5"/>
  <c r="N25" i="5"/>
  <c r="N29" i="5"/>
  <c r="N6" i="5"/>
  <c r="N24" i="5"/>
  <c r="N21" i="5"/>
  <c r="N8" i="5"/>
  <c r="N33" i="5"/>
  <c r="N15" i="5"/>
  <c r="N22" i="5"/>
  <c r="N34" i="5"/>
  <c r="N18" i="5"/>
  <c r="N30" i="5"/>
  <c r="H22" i="2"/>
  <c r="H35" i="2"/>
  <c r="H27" i="2"/>
  <c r="H20" i="2"/>
  <c r="H13" i="2"/>
  <c r="H18" i="2"/>
  <c r="H11" i="2"/>
  <c r="H31" i="2"/>
  <c r="H23" i="2"/>
  <c r="H9" i="2"/>
  <c r="H36" i="2"/>
  <c r="H28" i="2"/>
  <c r="H21" i="2"/>
  <c r="H14" i="2"/>
  <c r="H6" i="2"/>
  <c r="H34" i="2"/>
  <c r="H25" i="2"/>
  <c r="H12" i="2"/>
  <c r="H4" i="2"/>
  <c r="H33" i="2"/>
  <c r="H32" i="2"/>
  <c r="H17" i="2"/>
  <c r="H10" i="2"/>
  <c r="H26" i="2"/>
  <c r="H38" i="2"/>
  <c r="H30" i="2"/>
  <c r="H16" i="2"/>
  <c r="H8" i="2"/>
  <c r="H37" i="2"/>
  <c r="H29" i="2"/>
  <c r="AU28" i="6" l="1"/>
  <c r="AR41" i="6"/>
  <c r="AL41" i="6"/>
  <c r="AX41" i="6" s="1"/>
  <c r="AS31" i="6"/>
  <c r="AT10" i="6"/>
  <c r="AT16" i="6"/>
  <c r="AT5" i="6"/>
  <c r="AS39" i="6"/>
  <c r="AP14" i="6"/>
  <c r="AS8" i="6"/>
  <c r="AS17" i="6"/>
  <c r="AP15" i="6"/>
  <c r="AS6" i="6"/>
  <c r="AT22" i="6"/>
  <c r="AP9" i="6"/>
  <c r="AS20" i="6"/>
  <c r="AP7" i="6"/>
  <c r="AP24" i="6"/>
  <c r="AS5" i="6"/>
  <c r="AT28" i="6"/>
  <c r="AS23" i="6"/>
  <c r="AS22" i="6"/>
  <c r="AS25" i="6"/>
  <c r="AS30" i="6"/>
  <c r="AT17" i="6"/>
  <c r="AT25" i="6"/>
  <c r="AQ7" i="6"/>
  <c r="AT9" i="6"/>
  <c r="AS11" i="6"/>
  <c r="AS16" i="6"/>
  <c r="AS37" i="6"/>
  <c r="AQ12" i="6"/>
  <c r="AS13" i="6"/>
  <c r="AT20" i="6"/>
  <c r="AT23" i="6"/>
  <c r="AP18" i="6"/>
  <c r="AT30" i="6"/>
  <c r="AS26" i="6"/>
  <c r="AS4" i="6"/>
  <c r="AT24" i="6"/>
  <c r="AQ27" i="6"/>
  <c r="AS33" i="6"/>
  <c r="AS34" i="6"/>
  <c r="AT40" i="6"/>
  <c r="AT19" i="6"/>
  <c r="AS35" i="6"/>
  <c r="AT32" i="6"/>
  <c r="AS38" i="6"/>
  <c r="AS21" i="6"/>
  <c r="AP21" i="6"/>
  <c r="AS10" i="6"/>
  <c r="AP10" i="6"/>
  <c r="AT34" i="6"/>
  <c r="AP28" i="6"/>
  <c r="AT18" i="6"/>
  <c r="AS40" i="6"/>
  <c r="AP19" i="6"/>
  <c r="AT31" i="6"/>
  <c r="AT38" i="6"/>
  <c r="AS32" i="6"/>
  <c r="AT14" i="6"/>
  <c r="AQ35" i="6"/>
  <c r="AS29" i="6"/>
  <c r="AP36" i="6"/>
  <c r="AQ11" i="6"/>
  <c r="AT4" i="6"/>
  <c r="AQ4" i="6"/>
  <c r="AP23" i="6"/>
  <c r="AQ21" i="6"/>
  <c r="AT36" i="6"/>
  <c r="AQ33" i="6"/>
  <c r="AS27" i="6"/>
  <c r="AT37" i="6"/>
  <c r="AT6" i="6"/>
  <c r="AP12" i="6"/>
  <c r="AT15" i="6"/>
  <c r="AQ29" i="6"/>
  <c r="AT39" i="6"/>
  <c r="AT26" i="6"/>
  <c r="AT8" i="6"/>
  <c r="AQ8" i="6"/>
  <c r="AW41" i="6"/>
  <c r="AV41" i="6"/>
  <c r="F2" i="8"/>
  <c r="F3" i="6"/>
  <c r="G3" i="6" s="1"/>
  <c r="AU41" i="6" l="1"/>
  <c r="AS9" i="6"/>
  <c r="AQ16" i="6"/>
  <c r="AP31" i="6"/>
  <c r="AQ22" i="6"/>
  <c r="AQ5" i="6"/>
  <c r="AS14" i="6"/>
  <c r="AT11" i="6"/>
  <c r="AQ17" i="6"/>
  <c r="AQ24" i="6"/>
  <c r="AP39" i="6"/>
  <c r="AP16" i="6"/>
  <c r="AP25" i="6"/>
  <c r="AP17" i="6"/>
  <c r="AS24" i="6"/>
  <c r="AT12" i="6"/>
  <c r="AQ6" i="6"/>
  <c r="AQ10" i="6"/>
  <c r="AQ34" i="6"/>
  <c r="AQ32" i="6"/>
  <c r="AP35" i="6"/>
  <c r="AP22" i="6"/>
  <c r="AT35" i="6"/>
  <c r="AP26" i="6"/>
  <c r="AP8" i="6"/>
  <c r="AS15" i="6"/>
  <c r="AP20" i="6"/>
  <c r="AP37" i="6"/>
  <c r="AP30" i="6"/>
  <c r="AQ40" i="6"/>
  <c r="AQ19" i="6"/>
  <c r="AT7" i="6"/>
  <c r="AS7" i="6"/>
  <c r="AQ20" i="6"/>
  <c r="AP6" i="6"/>
  <c r="AT29" i="6"/>
  <c r="AQ23" i="6"/>
  <c r="AP4" i="6"/>
  <c r="AP38" i="6"/>
  <c r="AS18" i="6"/>
  <c r="AQ9" i="6"/>
  <c r="AT27" i="6"/>
  <c r="AT21" i="6"/>
  <c r="AP11" i="6"/>
  <c r="AQ26" i="6"/>
  <c r="AQ30" i="6"/>
  <c r="AQ38" i="6"/>
  <c r="AQ36" i="6"/>
  <c r="AQ28" i="6"/>
  <c r="AP5" i="6"/>
  <c r="AQ37" i="6"/>
  <c r="AP13" i="6"/>
  <c r="AQ25" i="6"/>
  <c r="AT13" i="6"/>
  <c r="AQ13" i="6"/>
  <c r="AQ31" i="6"/>
  <c r="AP34" i="6"/>
  <c r="AP33" i="6"/>
  <c r="AT33" i="6"/>
  <c r="AP32" i="6"/>
  <c r="AS28" i="6"/>
  <c r="AS36" i="6"/>
  <c r="AQ39" i="6"/>
  <c r="AP40" i="6"/>
  <c r="AP29" i="6"/>
  <c r="AQ15" i="6"/>
  <c r="AQ18" i="6"/>
  <c r="AQ14" i="6"/>
  <c r="AS12" i="6"/>
  <c r="AP27" i="6"/>
  <c r="G2" i="8"/>
  <c r="H3" i="6"/>
  <c r="AT41" i="6" l="1"/>
  <c r="AS41" i="6"/>
  <c r="AP41" i="6"/>
  <c r="AQ41" i="6"/>
  <c r="H2" i="8"/>
  <c r="I3" i="6"/>
  <c r="I2" i="8" l="1"/>
  <c r="J3" i="6"/>
  <c r="J2" i="8" l="1"/>
  <c r="K3" i="6"/>
  <c r="K2" i="8" l="1"/>
  <c r="L3" i="6"/>
  <c r="L2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<sst xmlns="http://schemas.openxmlformats.org/spreadsheetml/2006/main" count="809" uniqueCount="184">
  <si>
    <t>Company</t>
  </si>
  <si>
    <t>Sector</t>
  </si>
  <si>
    <t>A2a</t>
  </si>
  <si>
    <t>Energy &amp; Utilities</t>
  </si>
  <si>
    <t>Amplifon</t>
  </si>
  <si>
    <t>Health</t>
  </si>
  <si>
    <t>Azimut</t>
  </si>
  <si>
    <t>Banking &amp; Financials</t>
  </si>
  <si>
    <t>Banca Mediolanum</t>
  </si>
  <si>
    <t>Banca Monte Paschi Siena</t>
  </si>
  <si>
    <t>Banco Bpm</t>
  </si>
  <si>
    <t>Bca Pop Sondrio</t>
  </si>
  <si>
    <t>Bper Banca</t>
  </si>
  <si>
    <t>Brunello Cucinelli</t>
  </si>
  <si>
    <t>Consumer &amp; Luxury</t>
  </si>
  <si>
    <t>Buzzi</t>
  </si>
  <si>
    <t>Industrials</t>
  </si>
  <si>
    <t>Campari</t>
  </si>
  <si>
    <t>Diasorin</t>
  </si>
  <si>
    <t>Enel</t>
  </si>
  <si>
    <t>Eni</t>
  </si>
  <si>
    <t>Ferrari</t>
  </si>
  <si>
    <t>Finecobank</t>
  </si>
  <si>
    <t>Generali</t>
  </si>
  <si>
    <t>Hera</t>
  </si>
  <si>
    <t>Intesa Sanpaolo</t>
  </si>
  <si>
    <t>Inwit</t>
  </si>
  <si>
    <t>Italgas</t>
  </si>
  <si>
    <t>Leonardo</t>
  </si>
  <si>
    <t>Mediobanca</t>
  </si>
  <si>
    <t>Moncler</t>
  </si>
  <si>
    <t>Nexi</t>
  </si>
  <si>
    <t>Poste Italiane</t>
  </si>
  <si>
    <t>Prysmian</t>
  </si>
  <si>
    <t>Recordati Ord</t>
  </si>
  <si>
    <t>Saipem</t>
  </si>
  <si>
    <t>Snam</t>
  </si>
  <si>
    <t>Stellantis</t>
  </si>
  <si>
    <t>Stmicroelectronics</t>
  </si>
  <si>
    <t>Telecom Italia</t>
  </si>
  <si>
    <t>Tenaris</t>
  </si>
  <si>
    <t>Terna</t>
  </si>
  <si>
    <t>Unicredit</t>
  </si>
  <si>
    <t>Unipol</t>
  </si>
  <si>
    <t>Yahoo Finance Format</t>
  </si>
  <si>
    <t>A2A</t>
  </si>
  <si>
    <t>A2A.MI</t>
  </si>
  <si>
    <t>AMP</t>
  </si>
  <si>
    <t>AMP.MI</t>
  </si>
  <si>
    <t>AZM</t>
  </si>
  <si>
    <t>AZM.MI</t>
  </si>
  <si>
    <t>BMED</t>
  </si>
  <si>
    <t>BMED.MI</t>
  </si>
  <si>
    <t>BMPS</t>
  </si>
  <si>
    <t>BMPS.MI</t>
  </si>
  <si>
    <t>BAMI</t>
  </si>
  <si>
    <t>BAMI.MI</t>
  </si>
  <si>
    <t>BPSO</t>
  </si>
  <si>
    <t>BPSO.MI</t>
  </si>
  <si>
    <t>BPE</t>
  </si>
  <si>
    <t>BPE.MI</t>
  </si>
  <si>
    <t>BC</t>
  </si>
  <si>
    <t>BC.MI</t>
  </si>
  <si>
    <t>BZU</t>
  </si>
  <si>
    <t>BZU.MI</t>
  </si>
  <si>
    <t>CPR</t>
  </si>
  <si>
    <t>CPR.MI</t>
  </si>
  <si>
    <t>DIA</t>
  </si>
  <si>
    <t>DIA.MI</t>
  </si>
  <si>
    <t>ENEL</t>
  </si>
  <si>
    <t>ENEL.MI</t>
  </si>
  <si>
    <t>ENI</t>
  </si>
  <si>
    <t>ENI.MI</t>
  </si>
  <si>
    <t>RACE</t>
  </si>
  <si>
    <t>RACE.MI</t>
  </si>
  <si>
    <t>FBK</t>
  </si>
  <si>
    <t>FBK.MI</t>
  </si>
  <si>
    <t>G</t>
  </si>
  <si>
    <t>G.MI</t>
  </si>
  <si>
    <t>HER</t>
  </si>
  <si>
    <t>HER.MI</t>
  </si>
  <si>
    <t>ISP</t>
  </si>
  <si>
    <t>ISP.MI</t>
  </si>
  <si>
    <t>INW</t>
  </si>
  <si>
    <t>INW.MI</t>
  </si>
  <si>
    <t>IG</t>
  </si>
  <si>
    <t>IG.MI</t>
  </si>
  <si>
    <t>LDO</t>
  </si>
  <si>
    <t>LDO.MI</t>
  </si>
  <si>
    <t>MB</t>
  </si>
  <si>
    <t>MB.MI</t>
  </si>
  <si>
    <t>MONC</t>
  </si>
  <si>
    <t>MONC.MI</t>
  </si>
  <si>
    <t>NEXI</t>
  </si>
  <si>
    <t>NEXI.MI</t>
  </si>
  <si>
    <t>PST</t>
  </si>
  <si>
    <t>PST.MI</t>
  </si>
  <si>
    <t>PRY</t>
  </si>
  <si>
    <t>PRY.MI</t>
  </si>
  <si>
    <t>REC</t>
  </si>
  <si>
    <t>REC.MI</t>
  </si>
  <si>
    <t>SPM</t>
  </si>
  <si>
    <t>SPM.MI</t>
  </si>
  <si>
    <t>SRG</t>
  </si>
  <si>
    <t>SRG.MI</t>
  </si>
  <si>
    <t>STLAM</t>
  </si>
  <si>
    <t>STLAM.MI</t>
  </si>
  <si>
    <t>STMMI</t>
  </si>
  <si>
    <t>STMMI.MI</t>
  </si>
  <si>
    <t>TIT</t>
  </si>
  <si>
    <t>TIT.MI</t>
  </si>
  <si>
    <t>TEN</t>
  </si>
  <si>
    <t>TEN.MI</t>
  </si>
  <si>
    <t>TRN</t>
  </si>
  <si>
    <t>TRN.MI</t>
  </si>
  <si>
    <t>UCG</t>
  </si>
  <si>
    <t>UCG.MI</t>
  </si>
  <si>
    <t>UNI</t>
  </si>
  <si>
    <t>UNI.MI</t>
  </si>
  <si>
    <t>Market Cap</t>
  </si>
  <si>
    <t>Ticker Symbol</t>
  </si>
  <si>
    <t>Book-to-Market Equity (BE/ME)</t>
  </si>
  <si>
    <t>Notes</t>
  </si>
  <si>
    <t>French and Fama Used  BE = {Stockholders' Equity} + {Deferred Taxes} - {Preferred Stock}</t>
  </si>
  <si>
    <t>Year</t>
  </si>
  <si>
    <t>Yield</t>
  </si>
  <si>
    <t>Average</t>
  </si>
  <si>
    <t>Historic lows due to pandemic stimulus.</t>
  </si>
  <si>
    <t>Rates began to rise slightly as inflation concerns started.</t>
  </si>
  <si>
    <t>Sharp increase due to aggressive ECB rate hikes.</t>
  </si>
  <si>
    <t>Rates stabilized but remained high.</t>
  </si>
  <si>
    <t>The most recent "Snapshot" value for your study.</t>
  </si>
  <si>
    <r>
      <t>Risk Free Rate: average yield</t>
    </r>
    <r>
      <rPr>
        <sz val="11"/>
        <color theme="1"/>
        <rFont val="Aptos Narrow"/>
        <family val="2"/>
        <scheme val="minor"/>
      </rPr>
      <t xml:space="preserve"> of the 10-Year Italian Bond over that same 5-year period (2020–2024).</t>
    </r>
  </si>
  <si>
    <t>Beta (Last 5y, monthly)</t>
  </si>
  <si>
    <t>Book Equity (2024)</t>
  </si>
  <si>
    <t>Market Cap (2024)</t>
  </si>
  <si>
    <t>AVG 2015-2019</t>
  </si>
  <si>
    <t>AVG 2020-2024</t>
  </si>
  <si>
    <t>/</t>
  </si>
  <si>
    <t>FTSEMIB</t>
  </si>
  <si>
    <t>FTSEMIB.MI</t>
  </si>
  <si>
    <t>Book to Equity</t>
  </si>
  <si>
    <t>AVG 2019-2024</t>
  </si>
  <si>
    <t>Unavailable</t>
  </si>
  <si>
    <t>Book To Equity AVG</t>
  </si>
  <si>
    <t>Market CAP AVG</t>
  </si>
  <si>
    <t>MKTCAP/BE AVG</t>
  </si>
  <si>
    <t>Negative</t>
  </si>
  <si>
    <t>negative</t>
  </si>
  <si>
    <t>Total Assets</t>
  </si>
  <si>
    <t>Total Assets AVG</t>
  </si>
  <si>
    <t>TA 2015 - 2019</t>
  </si>
  <si>
    <t>TA 2020 - 2024</t>
  </si>
  <si>
    <t>Market Leverage (TA/MKTCAP)</t>
  </si>
  <si>
    <t>Book Leverage (TA/BE)</t>
  </si>
  <si>
    <t>AVG PE 2015-2019</t>
  </si>
  <si>
    <t>AVG PE 2020-2024</t>
  </si>
  <si>
    <t>Total Market</t>
  </si>
  <si>
    <t>FTSMIB</t>
  </si>
  <si>
    <t>FTSIMIB.MI</t>
  </si>
  <si>
    <t>TA/BE 2015 - 2019</t>
  </si>
  <si>
    <t>TA/BE 2020 - 2024</t>
  </si>
  <si>
    <t>AVG Return  2015-2019</t>
  </si>
  <si>
    <t>AVG Return 2020-2024</t>
  </si>
  <si>
    <t>BE/MKTCAP 2015 - 2019</t>
  </si>
  <si>
    <t>BE/MKTCAP 2020-2024</t>
  </si>
  <si>
    <t>AVG 2015-2024</t>
  </si>
  <si>
    <t>TA/MKTCAP 2015-2024</t>
  </si>
  <si>
    <t>TA/MKTCAP 2015-2019</t>
  </si>
  <si>
    <t>TA/MKTCAP 2020-2024</t>
  </si>
  <si>
    <t>TA/BE 2015-2024</t>
  </si>
  <si>
    <t>BE/MKTCAP 2015-2024</t>
  </si>
  <si>
    <t>AVG PE 2015-2024</t>
  </si>
  <si>
    <t>Size Group</t>
  </si>
  <si>
    <t>Small</t>
  </si>
  <si>
    <t>Medium</t>
  </si>
  <si>
    <t>Large</t>
  </si>
  <si>
    <r>
      <t>Distribution:</t>
    </r>
    <r>
      <rPr>
        <sz val="11"/>
        <color theme="1"/>
        <rFont val="Aptos Narrow"/>
        <family val="2"/>
        <scheme val="minor"/>
      </rPr>
      <t xml:space="preserve"> Small: 12 | Medium: 12 | Large: 13</t>
    </r>
  </si>
  <si>
    <t>Dimensions</t>
  </si>
  <si>
    <t>AVG Return 2015-2024</t>
  </si>
  <si>
    <t>MKT CAP AVG 2015-2019</t>
  </si>
  <si>
    <t>MKT CAP AVG 2019-2024</t>
  </si>
  <si>
    <t>MKT CAP AVG 2015-2024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</si>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</sst>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€-2]\ #,##0.00"/>
    <numFmt numFmtId="165" formatCode="0.000"/>
    <numFmt numFmtId="166" formatCode="mm/dd/yyyy"/>
    <numFmt numFmtId="167" formatCode="[$€-2]\ #,##0.00;[Red]\-[$€-2]\ #,##0.00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2" fillId="0" borderId="0" xfId="0" applyFont="1"/>
    <xf numFmtId="43" fontId="0" fillId="0" borderId="0" xfId="1" applyFont="1"/>
    <xf numFmtId="0" fontId="2" fillId="0" borderId="0" xfId="0" applyFont="1" applyAlignment="1">
      <alignment horizontal="center" wrapText="1"/>
    </xf>
    <xf numFmtId="10" fontId="0" fillId="0" borderId="0" xfId="0" applyNumberFormat="1"/>
    <xf numFmtId="10" fontId="3" fillId="0" borderId="0" xfId="2" applyNumberFormat="1" applyFont="1" applyAlignment="1">
      <alignment vertical="center"/>
    </xf>
    <xf numFmtId="165" fontId="0" fillId="0" borderId="0" xfId="0" applyNumberFormat="1"/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166" fontId="0" fillId="0" borderId="0" xfId="0" applyNumberFormat="1"/>
    <xf numFmtId="2" fontId="0" fillId="0" borderId="0" xfId="0" applyNumberFormat="1"/>
    <xf numFmtId="10" fontId="0" fillId="0" borderId="0" xfId="2" applyNumberFormat="1" applyFont="1"/>
    <xf numFmtId="43" fontId="0" fillId="0" borderId="0" xfId="0" applyNumberFormat="1"/>
    <xf numFmtId="0" fontId="2" fillId="0" borderId="0" xfId="0" applyFont="1" applyAlignment="1">
      <alignment horizontal="center"/>
    </xf>
    <xf numFmtId="4" fontId="0" fillId="0" borderId="0" xfId="0" applyNumberFormat="1"/>
    <xf numFmtId="2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67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917A11-976D-48F5-89BB-A3455847AA22}">
  <we:reference id="wa200002252" version="1.0.0.3" store="en-US" storeType="OMEX"/>
  <we:alternateReferences>
    <we:reference id="wa200002252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_xldudf_WISE</we:customFunctionIds>
        <we:customFunctionIds>_xldudf_WISEPRICE</we:customFunctionIds>
        <we:customFunctionIds>_xldudf_WISEFUNDS</we:customFunctionIds>
        <we:customFunctionIds>_xldudf_WISEOPTIONS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BA14-1488-4B8B-8B6C-8FA29500B88C}">
  <dimension ref="A1:X39"/>
  <sheetViews>
    <sheetView tabSelected="1" topLeftCell="C1" workbookViewId="0">
      <selection activeCell="N1" sqref="N1"/>
    </sheetView>
  </sheetViews>
  <sheetFormatPr defaultRowHeight="14.4"/>
  <cols>
    <col min="1" max="1" width="18" bestFit="1" customWidth="1"/>
    <col min="2" max="2" width="19.109375" bestFit="1" customWidth="1"/>
    <col min="3" max="3" width="14.88671875" customWidth="1"/>
    <col min="4" max="4" width="12.88671875" customWidth="1"/>
    <col min="5" max="6" width="17.6640625" bestFit="1" customWidth="1"/>
    <col min="7" max="9" width="21.33203125" bestFit="1" customWidth="1"/>
    <col min="11" max="11" width="20.44140625" bestFit="1" customWidth="1"/>
    <col min="12" max="12" width="14.44140625" bestFit="1" customWidth="1"/>
    <col min="13" max="13" width="15.5546875" bestFit="1" customWidth="1"/>
    <col min="14" max="14" width="11.109375" bestFit="1" customWidth="1"/>
    <col min="15" max="16" width="10.6640625" bestFit="1" customWidth="1"/>
    <col min="17" max="19" width="10.5546875" bestFit="1" customWidth="1"/>
  </cols>
  <sheetData>
    <row r="1" spans="1:24" s="17" customFormat="1" ht="43.2">
      <c r="A1" s="8" t="s">
        <v>183</v>
      </c>
      <c r="B1" s="8" t="s">
        <v>120</v>
      </c>
      <c r="C1" s="8" t="s">
        <v>44</v>
      </c>
      <c r="D1" s="8" t="s">
        <v>133</v>
      </c>
      <c r="E1" s="8" t="s">
        <v>1</v>
      </c>
      <c r="F1" s="8" t="s">
        <v>178</v>
      </c>
      <c r="G1" s="20" t="s">
        <v>180</v>
      </c>
      <c r="H1" s="20" t="s">
        <v>181</v>
      </c>
      <c r="I1" s="20" t="s">
        <v>182</v>
      </c>
      <c r="J1" s="8" t="s">
        <v>155</v>
      </c>
      <c r="K1" s="8" t="s">
        <v>156</v>
      </c>
      <c r="L1" s="8" t="s">
        <v>172</v>
      </c>
      <c r="M1" s="8" t="s">
        <v>162</v>
      </c>
      <c r="N1" s="8" t="s">
        <v>163</v>
      </c>
      <c r="O1" s="8" t="s">
        <v>179</v>
      </c>
      <c r="P1" s="16" t="s">
        <v>168</v>
      </c>
      <c r="Q1" s="16" t="s">
        <v>169</v>
      </c>
      <c r="R1" s="16" t="s">
        <v>167</v>
      </c>
      <c r="S1" s="16" t="s">
        <v>160</v>
      </c>
      <c r="T1" s="16" t="s">
        <v>161</v>
      </c>
      <c r="U1" s="16" t="s">
        <v>170</v>
      </c>
      <c r="V1" s="8" t="s">
        <v>164</v>
      </c>
      <c r="W1" s="8" t="s">
        <v>165</v>
      </c>
      <c r="X1" s="8" t="s">
        <v>171</v>
      </c>
    </row>
    <row r="2" spans="1:24" ht="14.4" customHeight="1">
      <c r="A2" t="s">
        <v>2</v>
      </c>
      <c r="B2" t="s">
        <v>45</v>
      </c>
      <c r="C2" t="s">
        <v>46</v>
      </c>
      <c r="D2" s="7">
        <v>0.94299999999999995</v>
      </c>
      <c r="E2" s="7" t="str">
        <f>VLOOKUP(A2,Overview_Table!$A$1:$E$38,5)</f>
        <v>Energy &amp; Utilities</v>
      </c>
      <c r="F2" t="str">
        <f>VLOOKUP(A2,Overview_Table!A1:H38,4)</f>
        <v>Small</v>
      </c>
      <c r="G2" s="13">
        <v>4522439069.7580004</v>
      </c>
      <c r="H2" s="13">
        <v>5146661303.5119991</v>
      </c>
      <c r="I2" s="13">
        <v>4834550186.6350002</v>
      </c>
      <c r="J2" s="11">
        <v>22.873289389620002</v>
      </c>
      <c r="K2" s="11">
        <v>9.5626214116999986</v>
      </c>
      <c r="L2" s="11">
        <v>16.217955400659996</v>
      </c>
      <c r="M2" s="6">
        <v>0.13876656033131285</v>
      </c>
      <c r="N2" s="12">
        <v>5.4452368410198737E-2</v>
      </c>
      <c r="O2" s="12">
        <v>0.10115832388280244</v>
      </c>
      <c r="P2" s="11">
        <v>2.2636899783699711</v>
      </c>
      <c r="Q2" s="11">
        <v>3.5087989931797341</v>
      </c>
      <c r="R2" s="11">
        <v>2.9264356463010377</v>
      </c>
      <c r="S2" s="11">
        <v>2.8276985968401283</v>
      </c>
      <c r="T2" s="11">
        <v>3.8398043801828621</v>
      </c>
      <c r="U2" s="11">
        <v>3.3995722901698824</v>
      </c>
      <c r="V2" s="11">
        <v>0.8005414653809213</v>
      </c>
      <c r="W2" s="11">
        <v>0.91379628902153487</v>
      </c>
      <c r="X2" s="11">
        <v>0.80862130895618145</v>
      </c>
    </row>
    <row r="3" spans="1:24">
      <c r="A3" t="s">
        <v>4</v>
      </c>
      <c r="B3" t="s">
        <v>47</v>
      </c>
      <c r="C3" t="s">
        <v>48</v>
      </c>
      <c r="D3" s="7">
        <v>0.84199999999999997</v>
      </c>
      <c r="E3" s="7" t="str">
        <f>VLOOKUP(A3,Overview_Table!$A$1:$E$38,5)</f>
        <v>Health</v>
      </c>
      <c r="F3" t="str">
        <f>VLOOKUP(A3,Overview_Table!A2:H39,4)</f>
        <v>Small</v>
      </c>
      <c r="G3" s="13">
        <v>3060860653.9779997</v>
      </c>
      <c r="H3" s="13">
        <v>7440942984.4380007</v>
      </c>
      <c r="I3" s="13">
        <v>5250901819.2080002</v>
      </c>
      <c r="J3" s="11">
        <v>35.874403398640005</v>
      </c>
      <c r="K3" s="11">
        <v>52.427972132960008</v>
      </c>
      <c r="L3" s="11">
        <v>44.151187765800003</v>
      </c>
      <c r="M3" s="6">
        <v>0.23204397708946645</v>
      </c>
      <c r="N3" s="12">
        <v>-6.9909464198917304E-3</v>
      </c>
      <c r="O3" s="12">
        <v>0.17666441566405933</v>
      </c>
      <c r="P3" s="11">
        <v>0.60297674694905135</v>
      </c>
      <c r="Q3" s="11">
        <v>0.48394954880466395</v>
      </c>
      <c r="R3" s="11">
        <v>0.51864127225497503</v>
      </c>
      <c r="S3" s="11">
        <v>2.8681753256507374</v>
      </c>
      <c r="T3" s="11">
        <v>3.2888471813137885</v>
      </c>
      <c r="U3" s="11">
        <v>3.1331324597611458</v>
      </c>
      <c r="V3" s="11">
        <v>0.21023008654892697</v>
      </c>
      <c r="W3" s="11">
        <v>0.14714868831678024</v>
      </c>
      <c r="X3" s="11">
        <v>0.11681382345192762</v>
      </c>
    </row>
    <row r="4" spans="1:24">
      <c r="A4" t="s">
        <v>6</v>
      </c>
      <c r="B4" t="s">
        <v>49</v>
      </c>
      <c r="C4" t="s">
        <v>50</v>
      </c>
      <c r="D4" s="7">
        <v>1.0580000000000001</v>
      </c>
      <c r="E4" s="7" t="str">
        <f>VLOOKUP(A4,Overview_Table!$A$1:$E$38,5)</f>
        <v>Banking &amp; Financials</v>
      </c>
      <c r="F4" t="str">
        <f>VLOOKUP(A4,Overview_Table!A3:H40,4)</f>
        <v>Small</v>
      </c>
      <c r="G4" s="13">
        <v>2262557811.2480001</v>
      </c>
      <c r="H4" s="13">
        <v>3059976319.6300001</v>
      </c>
      <c r="I4" s="13">
        <v>2661267065.4390001</v>
      </c>
      <c r="J4" s="11">
        <v>10.381668472319999</v>
      </c>
      <c r="K4" s="11">
        <v>6.4665529063999996</v>
      </c>
      <c r="L4" s="11">
        <v>8.4241106893599991</v>
      </c>
      <c r="M4" s="6">
        <v>-0.11362535654484551</v>
      </c>
      <c r="N4" s="12">
        <v>2.4963901538676669E-2</v>
      </c>
      <c r="O4" s="12">
        <v>3.6483083439638575E-2</v>
      </c>
      <c r="P4" s="11">
        <v>3.36960769006593</v>
      </c>
      <c r="Q4" s="11">
        <v>3.1434373326010157</v>
      </c>
      <c r="R4" s="11">
        <v>3.2395801653893099</v>
      </c>
      <c r="S4" s="11">
        <v>13.65427895895073</v>
      </c>
      <c r="T4" s="11">
        <v>6.9041598902781329</v>
      </c>
      <c r="U4" s="11">
        <v>8.8354252933042225</v>
      </c>
      <c r="V4" s="11">
        <v>0.24678034630726989</v>
      </c>
      <c r="W4" s="11">
        <v>0.45529613777156924</v>
      </c>
      <c r="X4" s="11">
        <v>0.31888321940281772</v>
      </c>
    </row>
    <row r="5" spans="1:24">
      <c r="A5" t="s">
        <v>8</v>
      </c>
      <c r="B5" t="s">
        <v>51</v>
      </c>
      <c r="C5" t="s">
        <v>52</v>
      </c>
      <c r="D5" s="7">
        <v>0.84399999999999997</v>
      </c>
      <c r="E5" s="7" t="str">
        <f>VLOOKUP(A5,Overview_Table!$A$1:$E$38,5)</f>
        <v>Banking &amp; Financials</v>
      </c>
      <c r="F5" t="str">
        <f>VLOOKUP(A5,Overview_Table!A4:H41,4)</f>
        <v>Medium</v>
      </c>
      <c r="G5" s="13">
        <v>5167122745.4760008</v>
      </c>
      <c r="H5" s="13">
        <v>6433942010.2279997</v>
      </c>
      <c r="I5" s="13">
        <v>5800532377.8520002</v>
      </c>
      <c r="J5" s="11">
        <v>12.953421737580001</v>
      </c>
      <c r="K5" s="11">
        <v>9.5185307296600001</v>
      </c>
      <c r="L5" s="11">
        <v>11.235976233619999</v>
      </c>
      <c r="M5" s="6">
        <v>-1.1844442098523311E-2</v>
      </c>
      <c r="N5" s="12">
        <v>5.4722037582896066E-2</v>
      </c>
      <c r="O5" s="12">
        <v>7.8951648227991278E-2</v>
      </c>
      <c r="P5" s="11">
        <v>8.9318689478409947</v>
      </c>
      <c r="Q5" s="11">
        <v>11.505712311724224</v>
      </c>
      <c r="R5" s="11">
        <v>10.359320590888904</v>
      </c>
      <c r="S5" s="11">
        <v>2.9067348031109326</v>
      </c>
      <c r="T5" s="11">
        <v>24.426565470189246</v>
      </c>
      <c r="U5" s="11">
        <v>6.3559179203741589</v>
      </c>
      <c r="V5" s="11">
        <v>3.0728186617787294</v>
      </c>
      <c r="W5" s="11">
        <v>0.47103275021476371</v>
      </c>
      <c r="X5" s="11">
        <v>1.4694124200794552</v>
      </c>
    </row>
    <row r="6" spans="1:24">
      <c r="A6" t="s">
        <v>9</v>
      </c>
      <c r="B6" t="s">
        <v>53</v>
      </c>
      <c r="C6" t="s">
        <v>54</v>
      </c>
      <c r="D6" s="7">
        <v>0.93600000000000005</v>
      </c>
      <c r="E6" s="7" t="str">
        <f>VLOOKUP(A6,Overview_Table!$A$1:$E$38,5)</f>
        <v>Banking &amp; Financials</v>
      </c>
      <c r="F6" t="str">
        <f>VLOOKUP(A6,Overview_Table!A5:H42,4)</f>
        <v>Medium</v>
      </c>
      <c r="G6" s="13">
        <v>7373881975.3500004</v>
      </c>
      <c r="H6" s="13">
        <v>4809027151.3320007</v>
      </c>
      <c r="I6" s="13">
        <v>6091454563.3409986</v>
      </c>
      <c r="J6" s="11">
        <v>27.789553525400002</v>
      </c>
      <c r="K6" s="11">
        <v>6.6356608546333335</v>
      </c>
      <c r="L6" s="11">
        <v>15.097217922940001</v>
      </c>
      <c r="M6" s="6">
        <v>-0.62109179858725061</v>
      </c>
      <c r="N6" s="12">
        <v>-0.45627717267623114</v>
      </c>
      <c r="O6" s="12">
        <v>-0.54973300726659668</v>
      </c>
      <c r="P6" s="11">
        <v>19.637462341282845</v>
      </c>
      <c r="Q6" s="11">
        <v>27.186533509961055</v>
      </c>
      <c r="R6" s="11">
        <v>22.617348987404327</v>
      </c>
      <c r="S6" s="11">
        <v>17.209825594329143</v>
      </c>
      <c r="T6" s="11">
        <v>18.368601634288105</v>
      </c>
      <c r="U6" s="11">
        <v>17.740852160149952</v>
      </c>
      <c r="V6" s="11">
        <v>1.1410610894135755</v>
      </c>
      <c r="W6" s="11">
        <v>1.4800546090135021</v>
      </c>
      <c r="X6" s="11">
        <v>1.6148455926161749</v>
      </c>
    </row>
    <row r="7" spans="1:24">
      <c r="A7" t="s">
        <v>10</v>
      </c>
      <c r="B7" t="s">
        <v>55</v>
      </c>
      <c r="C7" t="s">
        <v>56</v>
      </c>
      <c r="D7" s="7">
        <v>0.61799999999999999</v>
      </c>
      <c r="E7" s="7" t="str">
        <f>VLOOKUP(A7,Overview_Table!$A$1:$E$38,5)</f>
        <v>Banking &amp; Financials</v>
      </c>
      <c r="F7" t="str">
        <f>VLOOKUP(A7,Overview_Table!A6:H43,4)</f>
        <v>Medium</v>
      </c>
      <c r="G7" s="13">
        <v>3316103752.7799997</v>
      </c>
      <c r="H7" s="13">
        <v>6141357206.5259991</v>
      </c>
      <c r="I7" s="13">
        <v>4728730479.6529999</v>
      </c>
      <c r="J7" s="11">
        <v>5.3859090361000002</v>
      </c>
      <c r="K7" s="11">
        <v>31.403341437279998</v>
      </c>
      <c r="L7" s="11">
        <v>21.646804286837501</v>
      </c>
      <c r="M7" s="6">
        <v>-0.23589693179597515</v>
      </c>
      <c r="N7" s="12">
        <v>0.30536941095527093</v>
      </c>
      <c r="O7" s="12">
        <v>1.6886803376139348E-3</v>
      </c>
      <c r="P7" s="11">
        <v>43.824343818605897</v>
      </c>
      <c r="Q7" s="11">
        <v>31.725930286705456</v>
      </c>
      <c r="R7" s="11">
        <v>35.968040794847944</v>
      </c>
      <c r="S7" s="11">
        <v>13.854071264490477</v>
      </c>
      <c r="T7" s="11">
        <v>14.376610520881053</v>
      </c>
      <c r="U7" s="11">
        <v>14.148624654742925</v>
      </c>
      <c r="V7" s="11">
        <v>3.163282690116699</v>
      </c>
      <c r="W7" s="11">
        <v>2.2067739986852737</v>
      </c>
      <c r="X7" s="11">
        <v>1.9574143134234101</v>
      </c>
    </row>
    <row r="8" spans="1:24">
      <c r="A8" t="s">
        <v>11</v>
      </c>
      <c r="B8" t="s">
        <v>57</v>
      </c>
      <c r="C8" t="s">
        <v>58</v>
      </c>
      <c r="D8" s="7">
        <v>0.77100000000000002</v>
      </c>
      <c r="E8" s="7" t="str">
        <f>VLOOKUP(A8,Overview_Table!$A$1:$E$38,5)</f>
        <v>Banking &amp; Financials</v>
      </c>
      <c r="F8" t="str">
        <f>VLOOKUP(A8,Overview_Table!A7:H44,4)</f>
        <v>Small</v>
      </c>
      <c r="G8" s="13">
        <v>1359007730.382</v>
      </c>
      <c r="H8" s="13">
        <v>2134208753.6279998</v>
      </c>
      <c r="I8" s="13">
        <v>1746608242.0049999</v>
      </c>
      <c r="J8" s="11">
        <v>11.0001390164</v>
      </c>
      <c r="K8" s="11">
        <v>6.8737366616999989</v>
      </c>
      <c r="L8" s="11">
        <v>8.9369378390499996</v>
      </c>
      <c r="M8" s="6">
        <v>-3.5066947885912136E-2</v>
      </c>
      <c r="N8" s="12">
        <v>0.30274781786665006</v>
      </c>
      <c r="O8" s="12">
        <v>9.9147800371942596E-2</v>
      </c>
      <c r="P8" s="11">
        <v>28.937731052453827</v>
      </c>
      <c r="Q8" s="11">
        <v>25.960764478083203</v>
      </c>
      <c r="R8" s="11">
        <v>27.118929340231755</v>
      </c>
      <c r="S8" s="11">
        <v>14.544075094004713</v>
      </c>
      <c r="T8" s="11">
        <v>15.633884029714647</v>
      </c>
      <c r="U8" s="11">
        <v>15.162238268051711</v>
      </c>
      <c r="V8" s="11">
        <v>1.9896577035952185</v>
      </c>
      <c r="W8" s="11">
        <v>1.6605447775319748</v>
      </c>
      <c r="X8" s="11">
        <v>1.4637531097600007</v>
      </c>
    </row>
    <row r="9" spans="1:24">
      <c r="A9" t="s">
        <v>12</v>
      </c>
      <c r="B9" t="s">
        <v>59</v>
      </c>
      <c r="C9" t="s">
        <v>60</v>
      </c>
      <c r="D9" s="7">
        <v>0.74</v>
      </c>
      <c r="E9" s="7" t="str">
        <f>VLOOKUP(A9,Overview_Table!$A$1:$E$38,5)</f>
        <v>Banking &amp; Financials</v>
      </c>
      <c r="F9" t="str">
        <f>VLOOKUP(A9,Overview_Table!A8:H45,4)</f>
        <v>Medium</v>
      </c>
      <c r="G9" s="13">
        <v>2326178222.6659999</v>
      </c>
      <c r="H9" s="13">
        <v>3850482103.1999998</v>
      </c>
      <c r="I9" s="13">
        <v>3088330162.9330001</v>
      </c>
      <c r="J9" s="11">
        <v>9.1238977713000011</v>
      </c>
      <c r="K9" s="11">
        <v>4.0080391607000001</v>
      </c>
      <c r="L9" s="11">
        <v>6.2817540987444449</v>
      </c>
      <c r="M9" s="6">
        <v>-0.10016555702749896</v>
      </c>
      <c r="N9" s="12">
        <v>0.1389303710857217</v>
      </c>
      <c r="O9" s="12">
        <v>4.6587265246072151E-2</v>
      </c>
      <c r="P9" s="11">
        <v>29.853716935072153</v>
      </c>
      <c r="Q9" s="11">
        <v>34.51107046817971</v>
      </c>
      <c r="R9" s="11">
        <v>32.757074976699869</v>
      </c>
      <c r="S9" s="11">
        <v>13.913543373509231</v>
      </c>
      <c r="T9" s="11">
        <v>15.913088390277204</v>
      </c>
      <c r="U9" s="11">
        <v>15.165056627917854</v>
      </c>
      <c r="V9" s="11">
        <v>2.1456588112494983</v>
      </c>
      <c r="W9" s="11">
        <v>2.1687223511726206</v>
      </c>
      <c r="X9" s="11">
        <v>1.7324858345545993</v>
      </c>
    </row>
    <row r="10" spans="1:24">
      <c r="A10" t="s">
        <v>13</v>
      </c>
      <c r="B10" t="s">
        <v>61</v>
      </c>
      <c r="C10" t="s">
        <v>62</v>
      </c>
      <c r="D10" s="7">
        <v>1.0640000000000001</v>
      </c>
      <c r="E10" s="7" t="str">
        <f>VLOOKUP(A10,Overview_Table!$A$1:$E$38,5)</f>
        <v>Consumer &amp; Luxury</v>
      </c>
      <c r="F10" t="str">
        <f>VLOOKUP(A10,Overview_Table!A9:H46,4)</f>
        <v>Small</v>
      </c>
      <c r="G10" s="13">
        <v>1708840000</v>
      </c>
      <c r="H10" s="13">
        <v>4888960892.960001</v>
      </c>
      <c r="I10" s="13">
        <v>3298900446.4800005</v>
      </c>
      <c r="J10" s="11">
        <v>37.77231336322</v>
      </c>
      <c r="K10" s="11">
        <v>62.062348644874994</v>
      </c>
      <c r="L10" s="11">
        <v>48.567884599511117</v>
      </c>
      <c r="M10" s="6">
        <v>0.10915715330540099</v>
      </c>
      <c r="N10" s="12">
        <v>0.26630310310204952</v>
      </c>
      <c r="O10" s="12">
        <v>0.19287549346961397</v>
      </c>
      <c r="P10" s="11">
        <v>0.32580030898153134</v>
      </c>
      <c r="Q10" s="11">
        <v>0.27392291108902445</v>
      </c>
      <c r="R10" s="11">
        <v>0.28735923238044492</v>
      </c>
      <c r="S10" s="11">
        <v>2.2070757645312673</v>
      </c>
      <c r="T10" s="11">
        <v>3.4604305801964532</v>
      </c>
      <c r="U10" s="11">
        <v>2.9658524910208115</v>
      </c>
      <c r="V10" s="11">
        <v>0.14761627770885513</v>
      </c>
      <c r="W10" s="11">
        <v>7.9158620507125882E-2</v>
      </c>
      <c r="X10" s="11">
        <v>6.5377491658863029E-2</v>
      </c>
    </row>
    <row r="11" spans="1:24">
      <c r="A11" t="s">
        <v>15</v>
      </c>
      <c r="B11" t="s">
        <v>63</v>
      </c>
      <c r="C11" t="s">
        <v>64</v>
      </c>
      <c r="D11" s="7">
        <v>1.113</v>
      </c>
      <c r="E11" s="7" t="str">
        <f>VLOOKUP(A11,Overview_Table!$A$1:$E$38,5)</f>
        <v>Industrials</v>
      </c>
      <c r="F11" t="str">
        <f>VLOOKUP(A11,Overview_Table!A10:H47,4)</f>
        <v>Small</v>
      </c>
      <c r="G11" s="13">
        <v>4088939548.0679998</v>
      </c>
      <c r="H11" s="13">
        <v>4526531394.3179998</v>
      </c>
      <c r="I11" s="13">
        <v>4307735471.1929998</v>
      </c>
      <c r="J11" s="11">
        <v>18.199619607959999</v>
      </c>
      <c r="K11" s="11">
        <v>6.6792561981000009</v>
      </c>
      <c r="L11" s="11">
        <v>12.439437903030001</v>
      </c>
      <c r="M11" s="6">
        <v>7.6577005277653543E-2</v>
      </c>
      <c r="N11" s="12">
        <v>9.7342623965435138E-2</v>
      </c>
      <c r="O11" s="12">
        <v>0.13100112886298554</v>
      </c>
      <c r="P11" s="11">
        <v>1.4277348763344726</v>
      </c>
      <c r="Q11" s="11">
        <v>1.6399077247797189</v>
      </c>
      <c r="R11" s="11">
        <v>1.5392095787543154</v>
      </c>
      <c r="S11" s="11">
        <v>1.7899933671981247</v>
      </c>
      <c r="T11" s="11">
        <v>1.4415140867185496</v>
      </c>
      <c r="U11" s="11">
        <v>1.5766403120450656</v>
      </c>
      <c r="V11" s="11">
        <v>0.79762020491132035</v>
      </c>
      <c r="W11" s="11">
        <v>1.1376286502428783</v>
      </c>
      <c r="X11" s="11">
        <v>0.92907039274685654</v>
      </c>
    </row>
    <row r="12" spans="1:24">
      <c r="A12" t="s">
        <v>17</v>
      </c>
      <c r="B12" t="s">
        <v>65</v>
      </c>
      <c r="C12" t="s">
        <v>66</v>
      </c>
      <c r="D12" s="7">
        <v>0.45800000000000002</v>
      </c>
      <c r="E12" s="7" t="str">
        <f>VLOOKUP(A12,Overview_Table!$A$1:$E$38,5)</f>
        <v>Consumer &amp; Luxury</v>
      </c>
      <c r="F12" t="str">
        <f>VLOOKUP(A12,Overview_Table!A11:H48,4)</f>
        <v>Medium</v>
      </c>
      <c r="G12" s="13">
        <v>7040788916.5839996</v>
      </c>
      <c r="H12" s="13">
        <v>10925249517.511999</v>
      </c>
      <c r="I12" s="13">
        <v>8983019217.0480003</v>
      </c>
      <c r="J12" s="11">
        <v>27.660732522499995</v>
      </c>
      <c r="K12" s="11">
        <v>42.074388485999997</v>
      </c>
      <c r="L12" s="11">
        <v>34.867560504249994</v>
      </c>
      <c r="M12" s="6">
        <v>0.23940541543344085</v>
      </c>
      <c r="N12" s="12">
        <v>-5.5602646987133908E-2</v>
      </c>
      <c r="O12" s="12">
        <v>9.2428267688483112E-2</v>
      </c>
      <c r="P12" s="11">
        <v>0.64199055724469012</v>
      </c>
      <c r="Q12" s="11">
        <v>0.56409878695415627</v>
      </c>
      <c r="R12" s="11">
        <v>0.59462413147940818</v>
      </c>
      <c r="S12" s="11">
        <v>1.9018951124276289</v>
      </c>
      <c r="T12" s="11">
        <v>1.9878719849302962</v>
      </c>
      <c r="U12" s="11">
        <v>1.9505632748452593</v>
      </c>
      <c r="V12" s="11">
        <v>0.33755308221242364</v>
      </c>
      <c r="W12" s="11">
        <v>0.28377017797448167</v>
      </c>
      <c r="X12" s="11">
        <v>0.25065331419758968</v>
      </c>
    </row>
    <row r="13" spans="1:24">
      <c r="A13" t="s">
        <v>18</v>
      </c>
      <c r="B13" t="s">
        <v>67</v>
      </c>
      <c r="C13" t="s">
        <v>68</v>
      </c>
      <c r="D13" s="7">
        <v>0.57299999999999995</v>
      </c>
      <c r="E13" s="7" t="str">
        <f>VLOOKUP(A13,Overview_Table!$A$1:$E$38,5)</f>
        <v>Health</v>
      </c>
      <c r="F13" t="str">
        <f>VLOOKUP(A13,Overview_Table!A12:H49,4)</f>
        <v>Small</v>
      </c>
      <c r="G13" s="13">
        <v>4021600424.3760004</v>
      </c>
      <c r="H13" s="13">
        <v>7433886661.2480011</v>
      </c>
      <c r="I13" s="13">
        <v>5727743542.8120003</v>
      </c>
      <c r="J13" s="11">
        <v>28.829761763859999</v>
      </c>
      <c r="K13" s="11">
        <v>32.336115401219999</v>
      </c>
      <c r="L13" s="11">
        <v>30.582938582539999</v>
      </c>
      <c r="M13" s="6">
        <v>0.16268243945747085</v>
      </c>
      <c r="N13" s="12">
        <v>-2.911447260840605E-2</v>
      </c>
      <c r="O13" s="12">
        <v>0.1160898623930624</v>
      </c>
      <c r="P13" s="11">
        <v>0.22338067067898459</v>
      </c>
      <c r="Q13" s="11">
        <v>0.38746996440169523</v>
      </c>
      <c r="R13" s="11">
        <v>0.32986424512163504</v>
      </c>
      <c r="S13" s="11">
        <v>1.2610379518116261</v>
      </c>
      <c r="T13" s="11">
        <v>1.7994777255572749</v>
      </c>
      <c r="U13" s="11">
        <v>1.633647728183556</v>
      </c>
      <c r="V13" s="11">
        <v>0.17714032345979164</v>
      </c>
      <c r="W13" s="11">
        <v>0.2153235679989875</v>
      </c>
      <c r="X13" s="11">
        <v>0.15557666570690495</v>
      </c>
    </row>
    <row r="14" spans="1:24">
      <c r="A14" t="s">
        <v>19</v>
      </c>
      <c r="B14" t="s">
        <v>69</v>
      </c>
      <c r="C14" t="s">
        <v>70</v>
      </c>
      <c r="D14" s="7">
        <v>0.89100000000000001</v>
      </c>
      <c r="E14" s="7" t="str">
        <f>VLOOKUP(A14,Overview_Table!$A$1:$E$38,5)</f>
        <v>Energy &amp; Utilities</v>
      </c>
      <c r="F14" t="str">
        <f>VLOOKUP(A14,Overview_Table!A13:H50,4)</f>
        <v>Large</v>
      </c>
      <c r="G14" s="13">
        <v>50761331526.857994</v>
      </c>
      <c r="H14" s="13">
        <v>69053058202.748001</v>
      </c>
      <c r="I14" s="13">
        <v>59907194864.803001</v>
      </c>
      <c r="J14" s="11">
        <v>18.099543880740001</v>
      </c>
      <c r="K14" s="11">
        <v>22.991818340599998</v>
      </c>
      <c r="L14" s="11">
        <v>20.545681110669999</v>
      </c>
      <c r="M14" s="6">
        <v>6.660392797243464E-2</v>
      </c>
      <c r="N14" s="12">
        <v>-5.0436867758654191E-3</v>
      </c>
      <c r="O14" s="12">
        <v>6.6868151535426135E-2</v>
      </c>
      <c r="P14" s="11">
        <v>3.188513680228481</v>
      </c>
      <c r="Q14" s="11">
        <v>2.8163097343060293</v>
      </c>
      <c r="R14" s="11">
        <v>2.9740000412650915</v>
      </c>
      <c r="S14" s="11">
        <v>4.3318648731111198</v>
      </c>
      <c r="T14" s="11">
        <v>6.4763623769498206</v>
      </c>
      <c r="U14" s="11">
        <v>5.2874088538961717</v>
      </c>
      <c r="V14" s="11">
        <v>0.73606028203241469</v>
      </c>
      <c r="W14" s="11">
        <v>0.43485981333126539</v>
      </c>
      <c r="X14" s="11">
        <v>0.48797114678201253</v>
      </c>
    </row>
    <row r="15" spans="1:24">
      <c r="A15" t="s">
        <v>20</v>
      </c>
      <c r="B15" t="s">
        <v>71</v>
      </c>
      <c r="C15" t="s">
        <v>72</v>
      </c>
      <c r="D15" s="7">
        <v>0.54400000000000004</v>
      </c>
      <c r="E15" s="7" t="str">
        <f>VLOOKUP(A15,Overview_Table!$A$1:$E$38,5)</f>
        <v>Energy &amp; Utilities</v>
      </c>
      <c r="F15" t="str">
        <f>VLOOKUP(A15,Overview_Table!A14:H51,4)</f>
        <v>Large</v>
      </c>
      <c r="G15" s="13">
        <v>50887228298.138</v>
      </c>
      <c r="H15" s="13">
        <v>42517687836</v>
      </c>
      <c r="I15" s="13">
        <v>46702458067.069</v>
      </c>
      <c r="J15" s="11">
        <v>13.37805046595</v>
      </c>
      <c r="K15" s="11">
        <v>9.312056410224999</v>
      </c>
      <c r="L15" s="11">
        <v>10.667387762133332</v>
      </c>
      <c r="M15" s="6">
        <v>-1.1358617603858812E-2</v>
      </c>
      <c r="N15" s="12">
        <v>-7.9778141968829264E-3</v>
      </c>
      <c r="O15" s="12">
        <v>-8.028997853633979E-3</v>
      </c>
      <c r="P15" s="11">
        <v>2.420418720359089</v>
      </c>
      <c r="Q15" s="11">
        <v>3.2416626353632556</v>
      </c>
      <c r="R15" s="11">
        <v>2.7942469283435285</v>
      </c>
      <c r="S15" s="11">
        <v>2.1974815253578068</v>
      </c>
      <c r="T15" s="11">
        <v>2.5325042812309366</v>
      </c>
      <c r="U15" s="11">
        <v>2.3625270879686875</v>
      </c>
      <c r="V15" s="11">
        <v>1.1014512260643385</v>
      </c>
      <c r="W15" s="11">
        <v>1.2800225687230149</v>
      </c>
      <c r="X15" s="11">
        <v>1.2991463743997558</v>
      </c>
    </row>
    <row r="16" spans="1:24">
      <c r="A16" t="s">
        <v>21</v>
      </c>
      <c r="B16" t="s">
        <v>73</v>
      </c>
      <c r="C16" t="s">
        <v>74</v>
      </c>
      <c r="D16" s="7">
        <v>0.59399999999999997</v>
      </c>
      <c r="E16" s="7" t="str">
        <f>VLOOKUP(A16,Overview_Table!$A$1:$E$38,5)</f>
        <v>Consumer &amp; Luxury</v>
      </c>
      <c r="F16" t="str">
        <f>VLOOKUP(A16,Overview_Table!A15:H52,4)</f>
        <v>Large</v>
      </c>
      <c r="G16" s="13">
        <v>15820808706</v>
      </c>
      <c r="H16" s="13">
        <v>48572648260</v>
      </c>
      <c r="I16" s="13">
        <v>32196728483</v>
      </c>
      <c r="J16" s="11">
        <v>29.222569911659996</v>
      </c>
      <c r="K16" s="11">
        <v>47.999588429339994</v>
      </c>
      <c r="L16" s="11">
        <v>38.611079170499998</v>
      </c>
      <c r="M16" s="6">
        <v>0.18640598724827018</v>
      </c>
      <c r="N16" s="12">
        <v>0.22300953099265008</v>
      </c>
      <c r="O16" s="12">
        <v>0.12498016400368162</v>
      </c>
      <c r="P16" s="11">
        <v>0.28019063262669097</v>
      </c>
      <c r="Q16" s="11">
        <v>0.15827769074578352</v>
      </c>
      <c r="R16" s="11">
        <v>0.18823044407135706</v>
      </c>
      <c r="S16" s="11">
        <v>5.435942261447094</v>
      </c>
      <c r="T16" s="11">
        <v>2.793269542744004</v>
      </c>
      <c r="U16" s="11">
        <v>3.3972903428769516</v>
      </c>
      <c r="V16" s="11">
        <v>5.1544078128619018E-2</v>
      </c>
      <c r="W16" s="11">
        <v>5.6663951804055909E-2</v>
      </c>
      <c r="X16" s="11">
        <v>3.6726298933736579E-2</v>
      </c>
    </row>
    <row r="17" spans="1:24">
      <c r="A17" t="s">
        <v>22</v>
      </c>
      <c r="B17" t="s">
        <v>75</v>
      </c>
      <c r="C17" t="s">
        <v>76</v>
      </c>
      <c r="D17" s="7">
        <v>0.76300000000000001</v>
      </c>
      <c r="E17" s="7" t="str">
        <f>VLOOKUP(A17,Overview_Table!$A$1:$E$38,5)</f>
        <v>Banking &amp; Financials</v>
      </c>
      <c r="F17" t="str">
        <f>VLOOKUP(A17,Overview_Table!A16:H53,4)</f>
        <v>Medium</v>
      </c>
      <c r="G17" s="13">
        <v>4958597720.5900002</v>
      </c>
      <c r="H17" s="13">
        <v>9121342642.0240002</v>
      </c>
      <c r="I17" s="13">
        <v>7039970181.3069992</v>
      </c>
      <c r="J17" s="11">
        <v>21.59140733608</v>
      </c>
      <c r="K17" s="11">
        <v>20.280832099439998</v>
      </c>
      <c r="L17" s="11">
        <v>20.93611971776</v>
      </c>
      <c r="M17" s="6">
        <v>0.1304359026894486</v>
      </c>
      <c r="N17" s="12">
        <v>8.9481542758547583E-2</v>
      </c>
      <c r="O17" s="12">
        <v>0.13556196145016641</v>
      </c>
      <c r="P17" s="11">
        <v>4.6146190285582138</v>
      </c>
      <c r="Q17" s="11">
        <v>3.7252321432867617</v>
      </c>
      <c r="R17" s="11">
        <v>4.0384516362996505</v>
      </c>
      <c r="S17" s="11">
        <v>25.328008032697614</v>
      </c>
      <c r="T17" s="11">
        <v>17.129053271124054</v>
      </c>
      <c r="U17" s="11">
        <v>19.694625251678339</v>
      </c>
      <c r="V17" s="11">
        <v>0.18219431321250745</v>
      </c>
      <c r="W17" s="11">
        <v>0.21748032914152426</v>
      </c>
      <c r="X17" s="11">
        <v>0.15826293449926532</v>
      </c>
    </row>
    <row r="18" spans="1:24">
      <c r="A18" t="s">
        <v>23</v>
      </c>
      <c r="B18" t="s">
        <v>77</v>
      </c>
      <c r="C18" t="s">
        <v>78</v>
      </c>
      <c r="D18" s="7">
        <v>0.69199999999999995</v>
      </c>
      <c r="E18" s="7" t="str">
        <f>VLOOKUP(A18,Overview_Table!$A$1:$E$38,5)</f>
        <v>Banking &amp; Financials</v>
      </c>
      <c r="F18" t="str">
        <f>VLOOKUP(A18,Overview_Table!A17:H54,4)</f>
        <v>Large</v>
      </c>
      <c r="G18" s="13">
        <v>24664704025.366001</v>
      </c>
      <c r="H18" s="13">
        <v>29838645204.493999</v>
      </c>
      <c r="I18" s="13">
        <v>27251674614.93</v>
      </c>
      <c r="J18" s="11">
        <v>11.057970452499998</v>
      </c>
      <c r="K18" s="11">
        <v>10.27892857536</v>
      </c>
      <c r="L18" s="11">
        <v>10.668449513929998</v>
      </c>
      <c r="M18" s="6">
        <v>-3.1633929219732959E-2</v>
      </c>
      <c r="N18" s="12">
        <v>8.3179750904433192E-2</v>
      </c>
      <c r="O18" s="12">
        <v>4.9406981536311623E-2</v>
      </c>
      <c r="P18" s="11">
        <v>20.995297550192909</v>
      </c>
      <c r="Q18" s="11">
        <v>18.069580448605464</v>
      </c>
      <c r="R18" s="11">
        <v>19.393571494885453</v>
      </c>
      <c r="S18" s="11">
        <v>18.707517791987282</v>
      </c>
      <c r="T18" s="11">
        <v>18.259184254016418</v>
      </c>
      <c r="U18" s="11">
        <v>18.476110736272457</v>
      </c>
      <c r="V18" s="11">
        <v>1.1222919995931002</v>
      </c>
      <c r="W18" s="11">
        <v>0.98961597611518459</v>
      </c>
      <c r="X18" s="11">
        <v>0.95865277407741745</v>
      </c>
    </row>
    <row r="19" spans="1:24">
      <c r="A19" t="s">
        <v>24</v>
      </c>
      <c r="B19" t="s">
        <v>79</v>
      </c>
      <c r="C19" t="s">
        <v>80</v>
      </c>
      <c r="D19" s="7">
        <v>0.84699999999999998</v>
      </c>
      <c r="E19" s="7" t="str">
        <f>VLOOKUP(A19,Overview_Table!$A$1:$E$38,5)</f>
        <v>Energy &amp; Utilities</v>
      </c>
      <c r="F19" t="str">
        <f>VLOOKUP(A19,Overview_Table!A17:H55,4)</f>
        <v>Small</v>
      </c>
      <c r="G19" s="13">
        <v>4178877609.9740005</v>
      </c>
      <c r="H19" s="13">
        <v>4525802319.3460007</v>
      </c>
      <c r="I19" s="13">
        <v>4352339964.6600008</v>
      </c>
      <c r="J19" s="11">
        <v>16.372855685200001</v>
      </c>
      <c r="K19" s="11">
        <v>12.91675819178</v>
      </c>
      <c r="L19" s="11">
        <v>14.644806938490001</v>
      </c>
      <c r="M19" s="6">
        <v>6.9925244892298455E-2</v>
      </c>
      <c r="N19" s="12">
        <v>-2.3657266474981675E-2</v>
      </c>
      <c r="O19" s="12">
        <v>5.9564592133020566E-2</v>
      </c>
      <c r="P19" s="11">
        <v>2.1442934769405104</v>
      </c>
      <c r="Q19" s="11">
        <v>3.1961360614818615</v>
      </c>
      <c r="R19" s="11">
        <v>2.6911753436326515</v>
      </c>
      <c r="S19" s="11">
        <v>3.4608141510891395</v>
      </c>
      <c r="T19" s="11">
        <v>4.1530519666953776</v>
      </c>
      <c r="U19" s="11">
        <v>3.8578801752247949</v>
      </c>
      <c r="V19" s="11">
        <v>0.61959220672560189</v>
      </c>
      <c r="W19" s="11">
        <v>0.7695873028107223</v>
      </c>
      <c r="X19" s="11">
        <v>0.67084238015033992</v>
      </c>
    </row>
    <row r="20" spans="1:24">
      <c r="A20" t="s">
        <v>25</v>
      </c>
      <c r="B20" t="s">
        <v>81</v>
      </c>
      <c r="C20" t="s">
        <v>82</v>
      </c>
      <c r="D20" s="7">
        <v>0.86199999999999999</v>
      </c>
      <c r="E20" s="7" t="str">
        <f>VLOOKUP(A20,Overview_Table!$A$1:$E$38,5)</f>
        <v>Banking &amp; Financials</v>
      </c>
      <c r="F20" t="str">
        <f>VLOOKUP(A20,Overview_Table!A18:H56,4)</f>
        <v>Large</v>
      </c>
      <c r="G20" s="13">
        <v>40813777728.645996</v>
      </c>
      <c r="H20" s="13">
        <v>47409511688</v>
      </c>
      <c r="I20" s="13">
        <v>44111644708.322998</v>
      </c>
      <c r="J20" s="11">
        <v>10.78347580782</v>
      </c>
      <c r="K20" s="11">
        <v>8.9242023913799997</v>
      </c>
      <c r="L20" s="11">
        <v>9.8538390996</v>
      </c>
      <c r="M20" s="6">
        <v>-4.857741493793577E-2</v>
      </c>
      <c r="N20" s="12">
        <v>0.10097321782112156</v>
      </c>
      <c r="O20" s="12">
        <v>4.6235529994636204E-2</v>
      </c>
      <c r="P20" s="11">
        <v>18.632335508267794</v>
      </c>
      <c r="Q20" s="11">
        <v>20.857228112946093</v>
      </c>
      <c r="R20" s="11">
        <v>19.827950324304549</v>
      </c>
      <c r="S20" s="11">
        <v>14.097660450113084</v>
      </c>
      <c r="T20" s="11">
        <v>15.286063652834201</v>
      </c>
      <c r="U20" s="11">
        <v>14.745689131959431</v>
      </c>
      <c r="V20" s="11">
        <v>1.3216615320110319</v>
      </c>
      <c r="W20" s="11">
        <v>1.3644603729671725</v>
      </c>
      <c r="X20" s="11">
        <v>1.2511244661271947</v>
      </c>
    </row>
    <row r="21" spans="1:24">
      <c r="A21" t="s">
        <v>26</v>
      </c>
      <c r="B21" t="s">
        <v>83</v>
      </c>
      <c r="C21" t="s">
        <v>84</v>
      </c>
      <c r="D21" s="7">
        <v>0.65300000000000002</v>
      </c>
      <c r="E21" s="7" t="str">
        <f>VLOOKUP(A21,Overview_Table!$A$1:$E$38,5)</f>
        <v>Industrials</v>
      </c>
      <c r="F21" t="str">
        <f>VLOOKUP(A21,Overview_Table!A19:H57,4)</f>
        <v>Medium</v>
      </c>
      <c r="G21" s="13">
        <v>3517828852.9199996</v>
      </c>
      <c r="H21" s="13">
        <v>9608288729.816</v>
      </c>
      <c r="I21" s="13">
        <v>6563058791.3679991</v>
      </c>
      <c r="J21" s="11">
        <v>31.451878208020002</v>
      </c>
      <c r="K21" s="11">
        <v>39.541889695439998</v>
      </c>
      <c r="L21" s="11">
        <v>35.496883951729998</v>
      </c>
      <c r="M21" s="6">
        <v>5.3081636419452405E-2</v>
      </c>
      <c r="N21" s="12">
        <v>2.8860125612249155E-2</v>
      </c>
      <c r="O21" s="12">
        <v>8.1383944879191317E-2</v>
      </c>
      <c r="P21" s="11">
        <v>0.55918462524610346</v>
      </c>
      <c r="Q21" s="11">
        <v>0.96879047557288145</v>
      </c>
      <c r="R21" s="11">
        <v>0.85901519209534116</v>
      </c>
      <c r="S21" s="11">
        <v>1.2645786102605574</v>
      </c>
      <c r="T21" s="11">
        <v>2.0261306554917362</v>
      </c>
      <c r="U21" s="11">
        <v>1.8334991720833131</v>
      </c>
      <c r="V21" s="11">
        <v>0.44219048203803435</v>
      </c>
      <c r="W21" s="11">
        <v>0.47814807645648039</v>
      </c>
      <c r="X21" s="11">
        <v>0.32002239854202258</v>
      </c>
    </row>
    <row r="22" spans="1:24">
      <c r="A22" t="s">
        <v>27</v>
      </c>
      <c r="B22" t="s">
        <v>85</v>
      </c>
      <c r="C22" t="s">
        <v>86</v>
      </c>
      <c r="D22" s="7">
        <v>0.67100000000000004</v>
      </c>
      <c r="E22" s="7" t="str">
        <f>VLOOKUP(A22,Overview_Table!$A$1:$E$38,5)</f>
        <v>Energy &amp; Utilities</v>
      </c>
      <c r="F22" t="str">
        <f>VLOOKUP(A22,Overview_Table!A20:H58,4)</f>
        <v>Small</v>
      </c>
      <c r="G22" s="13">
        <v>3746063845.6560006</v>
      </c>
      <c r="H22" s="13">
        <v>4380051911.9619999</v>
      </c>
      <c r="I22" s="13">
        <v>4063057878.8090005</v>
      </c>
      <c r="J22" s="11">
        <v>11.697655649449999</v>
      </c>
      <c r="K22" s="11">
        <v>10.69728940758</v>
      </c>
      <c r="L22" s="11">
        <v>11.141896626188888</v>
      </c>
      <c r="M22" s="6">
        <v>9.9196103966854743E-2</v>
      </c>
      <c r="N22" s="12">
        <v>-3.981306337755175E-3</v>
      </c>
      <c r="O22" s="12">
        <v>4.6004272327258455E-2</v>
      </c>
      <c r="P22" s="11">
        <v>1.7168115827651544</v>
      </c>
      <c r="Q22" s="11">
        <v>2.4391710908317399</v>
      </c>
      <c r="R22" s="11">
        <v>2.1061700707321571</v>
      </c>
      <c r="S22" s="11">
        <v>4.2344057867157892</v>
      </c>
      <c r="T22" s="11">
        <v>4.9604568281721111</v>
      </c>
      <c r="U22" s="11">
        <v>4.6601949926771011</v>
      </c>
      <c r="V22" s="11">
        <v>0.40544333000657357</v>
      </c>
      <c r="W22" s="11">
        <v>0.49172307618501249</v>
      </c>
      <c r="X22" s="11">
        <v>0.41924037360951061</v>
      </c>
    </row>
    <row r="23" spans="1:24">
      <c r="A23" t="s">
        <v>28</v>
      </c>
      <c r="B23" t="s">
        <v>87</v>
      </c>
      <c r="C23" t="s">
        <v>88</v>
      </c>
      <c r="D23" s="7">
        <v>0.48099999999999998</v>
      </c>
      <c r="E23" s="7" t="str">
        <f>VLOOKUP(A23,Overview_Table!$A$1:$E$38,5)</f>
        <v>Industrials</v>
      </c>
      <c r="F23" t="str">
        <f>VLOOKUP(A23,Overview_Table!A21:H59,4)</f>
        <v>Large</v>
      </c>
      <c r="G23" s="13">
        <v>6257406004</v>
      </c>
      <c r="H23" s="13">
        <v>7034291190</v>
      </c>
      <c r="I23" s="13">
        <v>6645848597</v>
      </c>
      <c r="J23" s="11">
        <v>13.4573600306</v>
      </c>
      <c r="K23" s="11">
        <v>10.44742966552</v>
      </c>
      <c r="L23" s="11">
        <v>11.952394848059999</v>
      </c>
      <c r="M23" s="6">
        <v>-1.2970212278982096E-3</v>
      </c>
      <c r="N23" s="12">
        <v>0.19983803705114944</v>
      </c>
      <c r="O23" s="12">
        <v>0.12922241880890506</v>
      </c>
      <c r="P23" s="11">
        <v>4.1149319675821374</v>
      </c>
      <c r="Q23" s="11">
        <v>4.2193305904357938</v>
      </c>
      <c r="R23" s="11">
        <v>4.1701822717584252</v>
      </c>
      <c r="S23" s="11">
        <v>5.598782343987823</v>
      </c>
      <c r="T23" s="11">
        <v>4.1478003242215884</v>
      </c>
      <c r="U23" s="11">
        <v>4.7154986133088324</v>
      </c>
      <c r="V23" s="11">
        <v>0.73496909055607451</v>
      </c>
      <c r="W23" s="11">
        <v>1.0172453494919933</v>
      </c>
      <c r="X23" s="11">
        <v>0.83552128299084527</v>
      </c>
    </row>
    <row r="24" spans="1:24">
      <c r="A24" t="s">
        <v>29</v>
      </c>
      <c r="B24" t="s">
        <v>89</v>
      </c>
      <c r="C24" t="s">
        <v>90</v>
      </c>
      <c r="D24" s="7">
        <v>0.64400000000000002</v>
      </c>
      <c r="E24" s="7" t="str">
        <f>VLOOKUP(A24,Overview_Table!$A$1:$E$38,5)</f>
        <v>Banking &amp; Financials</v>
      </c>
      <c r="F24" t="str">
        <f>VLOOKUP(A24,Overview_Table!A22:H60,4)</f>
        <v>Medium</v>
      </c>
      <c r="G24" s="13">
        <v>6802855047.4240007</v>
      </c>
      <c r="H24" s="13">
        <v>8356808988.7720003</v>
      </c>
      <c r="I24" s="13">
        <v>7579832018.0980015</v>
      </c>
      <c r="J24" s="11">
        <v>9.4613728079200001</v>
      </c>
      <c r="K24" s="11">
        <v>9.0876144352000008</v>
      </c>
      <c r="L24" s="11">
        <v>9.2744936215599996</v>
      </c>
      <c r="M24" s="6">
        <v>1.221606231037109E-2</v>
      </c>
      <c r="N24" s="12">
        <v>7.1589457706953574E-2</v>
      </c>
      <c r="O24" s="12">
        <v>7.4777441568024683E-2</v>
      </c>
      <c r="P24" s="11">
        <v>10.628479821480093</v>
      </c>
      <c r="Q24" s="11">
        <v>10.601703583154279</v>
      </c>
      <c r="R24" s="11">
        <v>10.613719342053081</v>
      </c>
      <c r="S24" s="11">
        <v>7.6032247327036275</v>
      </c>
      <c r="T24" s="11">
        <v>7.953324821913716</v>
      </c>
      <c r="U24" s="11">
        <v>7.7920919257953418</v>
      </c>
      <c r="V24" s="11">
        <v>1.397891052169481</v>
      </c>
      <c r="W24" s="11">
        <v>1.3329901419269978</v>
      </c>
      <c r="X24" s="11">
        <v>1.2354712323653527</v>
      </c>
    </row>
    <row r="25" spans="1:24">
      <c r="A25" t="s">
        <v>30</v>
      </c>
      <c r="B25" t="s">
        <v>91</v>
      </c>
      <c r="C25" t="s">
        <v>92</v>
      </c>
      <c r="D25" s="7">
        <v>1.161</v>
      </c>
      <c r="E25" s="7" t="str">
        <f>VLOOKUP(A25,Overview_Table!$A$1:$E$38,5)</f>
        <v>Consumer &amp; Luxury</v>
      </c>
      <c r="F25" t="str">
        <f>VLOOKUP(A25,Overview_Table!A23:H61,4)</f>
        <v>Medium</v>
      </c>
      <c r="G25" s="13">
        <v>6256302710.2560005</v>
      </c>
      <c r="H25" s="13">
        <v>14364271024.511999</v>
      </c>
      <c r="I25" s="13">
        <v>10310286867.383999</v>
      </c>
      <c r="J25" s="11">
        <v>23.303085646180001</v>
      </c>
      <c r="K25" s="11">
        <v>30.695589418680004</v>
      </c>
      <c r="L25" s="11">
        <v>26.999337532430001</v>
      </c>
      <c r="M25" s="6">
        <v>0.21374646976541878</v>
      </c>
      <c r="N25" s="12">
        <v>4.6555040208869691E-2</v>
      </c>
      <c r="O25" s="12">
        <v>0.16495239841624376</v>
      </c>
      <c r="P25" s="11">
        <v>0.24726987673790143</v>
      </c>
      <c r="Q25" s="11">
        <v>0.30855061090373526</v>
      </c>
      <c r="R25" s="11">
        <v>0.28995797482194891</v>
      </c>
      <c r="S25" s="11">
        <v>1.5800663037507643</v>
      </c>
      <c r="T25" s="11">
        <v>1.555927825680095</v>
      </c>
      <c r="U25" s="11">
        <v>1.5621022603156205</v>
      </c>
      <c r="V25" s="11">
        <v>0.15649335483639629</v>
      </c>
      <c r="W25" s="11">
        <v>0.19830650613171466</v>
      </c>
      <c r="X25" s="11">
        <v>0.13323329090172314</v>
      </c>
    </row>
    <row r="26" spans="1:24">
      <c r="A26" t="s">
        <v>31</v>
      </c>
      <c r="B26" t="s">
        <v>93</v>
      </c>
      <c r="C26" t="s">
        <v>94</v>
      </c>
      <c r="D26" s="7">
        <v>1.135</v>
      </c>
      <c r="E26" s="7" t="str">
        <f>VLOOKUP(A26,Overview_Table!$A$1:$E$38,5)</f>
        <v>Banking &amp; Financials</v>
      </c>
      <c r="F26" t="str">
        <f>VLOOKUP(A26,Overview_Table!A23:H62,4)</f>
        <v>Small</v>
      </c>
      <c r="G26" s="13">
        <v>5821254052.4250002</v>
      </c>
      <c r="H26" s="13">
        <v>9634842520.7999992</v>
      </c>
      <c r="I26" s="13">
        <v>7939914312.6333332</v>
      </c>
      <c r="J26" s="11">
        <v>80.484679679700008</v>
      </c>
      <c r="K26" s="11">
        <v>63.3879669198</v>
      </c>
      <c r="L26" s="11">
        <v>70.22665202376001</v>
      </c>
      <c r="M26" s="6" t="s">
        <v>138</v>
      </c>
      <c r="N26" s="12">
        <v>-0.15619198935967571</v>
      </c>
      <c r="O26" s="12">
        <v>-0.15619198935967571</v>
      </c>
      <c r="P26" s="11">
        <v>0.96301474725444924</v>
      </c>
      <c r="Q26" s="11">
        <v>2.2379687216942314</v>
      </c>
      <c r="R26" s="11">
        <v>1.8225244963045477</v>
      </c>
      <c r="S26" s="11">
        <v>4.0090390062134897</v>
      </c>
      <c r="T26" s="11">
        <v>2.0814320840003497</v>
      </c>
      <c r="U26" s="11">
        <v>2.461467944946357</v>
      </c>
      <c r="V26" s="11">
        <v>0.24021086992715746</v>
      </c>
      <c r="W26" s="11">
        <v>1.0752062192646856</v>
      </c>
      <c r="X26" s="11">
        <v>0.61016934499017272</v>
      </c>
    </row>
    <row r="27" spans="1:24">
      <c r="A27" t="s">
        <v>32</v>
      </c>
      <c r="B27" t="s">
        <v>95</v>
      </c>
      <c r="C27" t="s">
        <v>96</v>
      </c>
      <c r="D27" s="7">
        <v>0.749</v>
      </c>
      <c r="E27" s="7" t="str">
        <f>VLOOKUP(A27,Overview_Table!$A$1:$E$38,5)</f>
        <v>Banking &amp; Financials</v>
      </c>
      <c r="F27" t="str">
        <f>VLOOKUP(A27,Overview_Table!A24:H63,4)</f>
        <v>Large</v>
      </c>
      <c r="G27" s="13">
        <v>9599206869.1399994</v>
      </c>
      <c r="H27" s="13">
        <v>13753236328.958002</v>
      </c>
      <c r="I27" s="13">
        <v>11676221599.049</v>
      </c>
      <c r="J27" s="11">
        <v>11.656737787580001</v>
      </c>
      <c r="K27" s="11">
        <v>8.3660705686399996</v>
      </c>
      <c r="L27" s="11">
        <v>10.011404178109998</v>
      </c>
      <c r="M27" s="6">
        <v>0</v>
      </c>
      <c r="N27" s="12">
        <v>6.1550123730776951E-2</v>
      </c>
      <c r="O27" s="12">
        <v>7.8414073062886391E-2</v>
      </c>
      <c r="P27" s="11">
        <v>21.227691285108833</v>
      </c>
      <c r="Q27" s="11">
        <v>19.873664166193262</v>
      </c>
      <c r="R27" s="11">
        <v>20.430247745506062</v>
      </c>
      <c r="S27" s="11">
        <v>21.584784543027837</v>
      </c>
      <c r="T27" s="11">
        <v>23.593605413990748</v>
      </c>
      <c r="U27" s="11">
        <v>22.691636702623519</v>
      </c>
      <c r="V27" s="11">
        <v>0.98345625098980427</v>
      </c>
      <c r="W27" s="11">
        <v>0.84233264977841826</v>
      </c>
      <c r="X27" s="11">
        <v>0.76437281731757134</v>
      </c>
    </row>
    <row r="28" spans="1:24">
      <c r="A28" t="s">
        <v>33</v>
      </c>
      <c r="B28" t="s">
        <v>97</v>
      </c>
      <c r="C28" t="s">
        <v>98</v>
      </c>
      <c r="D28" s="7">
        <v>0.81899999999999995</v>
      </c>
      <c r="E28" s="7" t="str">
        <f>VLOOKUP(A28,Overview_Table!$A$1:$E$38,5)</f>
        <v>Industrials</v>
      </c>
      <c r="F28" t="str">
        <f>VLOOKUP(A28,Overview_Table!A24:H64,4)</f>
        <v>Large</v>
      </c>
      <c r="G28" s="13">
        <v>5002368565.6059999</v>
      </c>
      <c r="H28" s="13">
        <v>10845975036.784</v>
      </c>
      <c r="I28" s="13">
        <v>7924171801.1949997</v>
      </c>
      <c r="J28" s="11">
        <v>23.614446655899997</v>
      </c>
      <c r="K28" s="11">
        <v>26.947124601140001</v>
      </c>
      <c r="L28" s="11">
        <v>25.28078562852</v>
      </c>
      <c r="M28" s="6">
        <v>3.4893404893871605E-2</v>
      </c>
      <c r="N28" s="12">
        <v>0.23782385064413125</v>
      </c>
      <c r="O28" s="12">
        <v>0.15676106694421876</v>
      </c>
      <c r="P28" s="11">
        <v>1.5911662436723619</v>
      </c>
      <c r="Q28" s="11">
        <v>1.2212272253143104</v>
      </c>
      <c r="R28" s="11">
        <v>1.3379947161671957</v>
      </c>
      <c r="S28" s="11">
        <v>4.139588100686499</v>
      </c>
      <c r="T28" s="11">
        <v>3.4859985261606483</v>
      </c>
      <c r="U28" s="11">
        <v>3.7056130294981129</v>
      </c>
      <c r="V28" s="11">
        <v>0.3843779151380996</v>
      </c>
      <c r="W28" s="11">
        <v>0.35032350591935718</v>
      </c>
      <c r="X28" s="11">
        <v>0.26380293060755466</v>
      </c>
    </row>
    <row r="29" spans="1:24">
      <c r="A29" t="s">
        <v>34</v>
      </c>
      <c r="B29" t="s">
        <v>99</v>
      </c>
      <c r="C29" t="s">
        <v>100</v>
      </c>
      <c r="D29" s="7">
        <v>0.64600000000000002</v>
      </c>
      <c r="E29" s="7" t="str">
        <f>VLOOKUP(A29,Overview_Table!$A$1:$E$38,5)</f>
        <v>Health</v>
      </c>
      <c r="F29" t="str">
        <f>VLOOKUP(A29,Overview_Table!A25:H65,4)</f>
        <v>Medium</v>
      </c>
      <c r="G29" s="13">
        <v>6410329554.0059996</v>
      </c>
      <c r="H29" s="13">
        <v>9889724842.9200001</v>
      </c>
      <c r="I29" s="13">
        <v>8150027198.4630003</v>
      </c>
      <c r="J29" s="11">
        <v>23.1017866854</v>
      </c>
      <c r="K29" s="11">
        <v>26.578002777360002</v>
      </c>
      <c r="L29" s="11">
        <v>24.839894731379999</v>
      </c>
      <c r="M29" s="6">
        <v>0.18111858219846955</v>
      </c>
      <c r="N29" s="12">
        <v>6.3995312815083638E-2</v>
      </c>
      <c r="O29" s="12">
        <v>0.14761632553477333</v>
      </c>
      <c r="P29" s="11">
        <v>0.31381843679828342</v>
      </c>
      <c r="Q29" s="11">
        <v>0.38159326573192581</v>
      </c>
      <c r="R29" s="11">
        <v>0.35493942898074521</v>
      </c>
      <c r="S29" s="11">
        <v>2.1198455676011041</v>
      </c>
      <c r="T29" s="11">
        <v>2.4069689259255997</v>
      </c>
      <c r="U29" s="11">
        <v>2.298709932239491</v>
      </c>
      <c r="V29" s="11">
        <v>0.14803834845073738</v>
      </c>
      <c r="W29" s="11">
        <v>0.15853684757695163</v>
      </c>
      <c r="X29" s="11">
        <v>0.12724622980799138</v>
      </c>
    </row>
    <row r="30" spans="1:24">
      <c r="A30" t="s">
        <v>35</v>
      </c>
      <c r="B30" t="s">
        <v>101</v>
      </c>
      <c r="C30" t="s">
        <v>102</v>
      </c>
      <c r="D30" s="7">
        <v>1.6779999999999999</v>
      </c>
      <c r="E30" s="7" t="str">
        <f>VLOOKUP(A30,Overview_Table!$A$1:$E$38,5)</f>
        <v>Energy &amp; Utilities</v>
      </c>
      <c r="F30" t="str">
        <f>VLOOKUP(A30,Overview_Table!A26:H66,4)</f>
        <v>Small</v>
      </c>
      <c r="G30" s="13">
        <v>2334397141.1879997</v>
      </c>
      <c r="H30" s="13">
        <v>2200014151.5819998</v>
      </c>
      <c r="I30" s="13">
        <v>2267205646.3850002</v>
      </c>
      <c r="J30" s="11">
        <v>23.332866127300001</v>
      </c>
      <c r="K30" s="11">
        <v>16.262172904549999</v>
      </c>
      <c r="L30" s="11">
        <v>18.619070645466667</v>
      </c>
      <c r="M30" s="6">
        <v>-0.21574250890875757</v>
      </c>
      <c r="N30" s="12">
        <v>-0.2471684865979189</v>
      </c>
      <c r="O30" s="12">
        <v>-0.20899811583166228</v>
      </c>
      <c r="P30" s="11">
        <v>5.8157199391920633</v>
      </c>
      <c r="Q30" s="11">
        <v>5.6895088565676719</v>
      </c>
      <c r="R30" s="11">
        <v>5.7544846100760472</v>
      </c>
      <c r="S30" s="11">
        <v>3.2896050399806156</v>
      </c>
      <c r="T30" s="11">
        <v>6.2304629168740666</v>
      </c>
      <c r="U30" s="11">
        <v>4.2524771838331157</v>
      </c>
      <c r="V30" s="11">
        <v>1.7679082651290969</v>
      </c>
      <c r="W30" s="11">
        <v>0.91317594414352099</v>
      </c>
      <c r="X30" s="11">
        <v>1.3945364841375423</v>
      </c>
    </row>
    <row r="31" spans="1:24">
      <c r="A31" t="s">
        <v>36</v>
      </c>
      <c r="B31" t="s">
        <v>103</v>
      </c>
      <c r="C31" t="s">
        <v>104</v>
      </c>
      <c r="D31" s="7">
        <v>0.70899999999999996</v>
      </c>
      <c r="E31" s="7" t="str">
        <f>VLOOKUP(A31,Overview_Table!$A$1:$E$38,5)</f>
        <v>Energy &amp; Utilities</v>
      </c>
      <c r="F31" t="str">
        <f>VLOOKUP(A31,Overview_Table!A27:H67,4)</f>
        <v>Medium</v>
      </c>
      <c r="G31" s="13">
        <v>14623004487.457998</v>
      </c>
      <c r="H31" s="13">
        <v>15496381635.188</v>
      </c>
      <c r="I31" s="13">
        <v>15059693061.322998</v>
      </c>
      <c r="J31" s="11">
        <v>14.57726265096</v>
      </c>
      <c r="K31" s="11">
        <v>14.590594228719999</v>
      </c>
      <c r="L31" s="11">
        <v>14.583928439839999</v>
      </c>
      <c r="M31" s="6">
        <v>2.8712514512226228E-2</v>
      </c>
      <c r="N31" s="12">
        <v>-1.3673576259936038E-2</v>
      </c>
      <c r="O31" s="12">
        <v>2.4345149006960609E-2</v>
      </c>
      <c r="P31" s="11">
        <v>1.5685285482660207</v>
      </c>
      <c r="Q31" s="11">
        <v>2.0050099908128041</v>
      </c>
      <c r="R31" s="11">
        <v>1.7930976341975815</v>
      </c>
      <c r="S31" s="11">
        <v>3.4663140395949825</v>
      </c>
      <c r="T31" s="11">
        <v>4.0181051651449708</v>
      </c>
      <c r="U31" s="11">
        <v>3.7636589173217372</v>
      </c>
      <c r="V31" s="11">
        <v>0.45250618678776539</v>
      </c>
      <c r="W31" s="11">
        <v>0.49899390593487986</v>
      </c>
      <c r="X31" s="11">
        <v>0.46299840626717736</v>
      </c>
    </row>
    <row r="32" spans="1:24">
      <c r="A32" t="s">
        <v>37</v>
      </c>
      <c r="B32" t="s">
        <v>105</v>
      </c>
      <c r="C32" t="s">
        <v>106</v>
      </c>
      <c r="D32" s="7">
        <v>1.151</v>
      </c>
      <c r="E32" s="7" t="str">
        <f>VLOOKUP(A32,Overview_Table!$A$1:$E$38,5)</f>
        <v>Industrials</v>
      </c>
      <c r="F32" t="str">
        <f>VLOOKUP(A32,Overview_Table!A28:H68,4)</f>
        <v>Large</v>
      </c>
      <c r="G32" s="13">
        <v>17888685282</v>
      </c>
      <c r="H32" s="13">
        <v>43659057558.003998</v>
      </c>
      <c r="I32" s="13">
        <v>30773871420.002003</v>
      </c>
      <c r="J32" s="11">
        <v>12.250312045939999</v>
      </c>
      <c r="K32" s="11">
        <v>159.38476706854001</v>
      </c>
      <c r="L32" s="11">
        <v>85.817539557239996</v>
      </c>
      <c r="M32" s="6">
        <v>0.14633700064007082</v>
      </c>
      <c r="N32" s="12">
        <v>-1.1331768516682716E-2</v>
      </c>
      <c r="O32" s="12">
        <v>7.1096408213985773E-2</v>
      </c>
      <c r="P32" s="11">
        <v>5.5968227078567256</v>
      </c>
      <c r="Q32" s="11">
        <v>3.9734572778975723</v>
      </c>
      <c r="R32" s="11">
        <v>4.4452840571461349</v>
      </c>
      <c r="S32" s="11">
        <v>4.4449880572894926</v>
      </c>
      <c r="T32" s="11">
        <v>2.5748419271529075</v>
      </c>
      <c r="U32" s="11">
        <v>3.0434113252545658</v>
      </c>
      <c r="V32" s="11">
        <v>1.2591311013037028</v>
      </c>
      <c r="W32" s="11">
        <v>1.5431849372948352</v>
      </c>
      <c r="X32" s="11">
        <v>1.0295481055742464</v>
      </c>
    </row>
    <row r="33" spans="1:24">
      <c r="A33" t="s">
        <v>38</v>
      </c>
      <c r="B33" t="s">
        <v>107</v>
      </c>
      <c r="C33" t="s">
        <v>108</v>
      </c>
      <c r="D33" s="7">
        <v>1.292</v>
      </c>
      <c r="E33" s="7" t="str">
        <f>VLOOKUP(A33,Overview_Table!$A$1:$E$38,5)</f>
        <v>Industrials</v>
      </c>
      <c r="F33" t="str">
        <f>VLOOKUP(A33,Overview_Table!A29:H69,4)</f>
        <v>Large</v>
      </c>
      <c r="G33" s="13">
        <v>14495175720.253998</v>
      </c>
      <c r="H33" s="13">
        <v>35431395659.464005</v>
      </c>
      <c r="I33" s="13">
        <v>24963285689.859001</v>
      </c>
      <c r="J33" s="11">
        <v>47.90145257276</v>
      </c>
      <c r="K33" s="11">
        <v>17.223114930360001</v>
      </c>
      <c r="L33" s="11">
        <v>32.562283751560003</v>
      </c>
      <c r="M33" s="6">
        <v>0.14273657543659635</v>
      </c>
      <c r="N33" s="12">
        <v>-7.7942237404056147E-3</v>
      </c>
      <c r="O33" s="12">
        <v>0.14347621349114936</v>
      </c>
      <c r="P33" s="11">
        <v>0.72793874345768228</v>
      </c>
      <c r="Q33" s="11">
        <v>0.57520737246364251</v>
      </c>
      <c r="R33" s="11">
        <v>0.61954985381923722</v>
      </c>
      <c r="S33" s="11">
        <v>1.7311894995898278</v>
      </c>
      <c r="T33" s="11">
        <v>1.5501703784836316</v>
      </c>
      <c r="U33" s="11">
        <v>1.6075084969494133</v>
      </c>
      <c r="V33" s="11">
        <v>0.42048472661724984</v>
      </c>
      <c r="W33" s="11">
        <v>0.37106074303026443</v>
      </c>
      <c r="X33" s="11">
        <v>0.27154166018380166</v>
      </c>
    </row>
    <row r="34" spans="1:24">
      <c r="A34" t="s">
        <v>39</v>
      </c>
      <c r="B34" t="s">
        <v>109</v>
      </c>
      <c r="C34" t="s">
        <v>110</v>
      </c>
      <c r="D34" s="7">
        <v>0.70499999999999996</v>
      </c>
      <c r="E34" s="7" t="str">
        <f>VLOOKUP(A34,Overview_Table!$A$1:$E$38,5)</f>
        <v>Industrials</v>
      </c>
      <c r="F34" t="str">
        <f>VLOOKUP(A34,Overview_Table!A30:H70,4)</f>
        <v>Small</v>
      </c>
      <c r="G34" s="13">
        <v>15905947349.823999</v>
      </c>
      <c r="H34" s="13">
        <v>6649445137.5080004</v>
      </c>
      <c r="I34" s="13">
        <v>11277696243.665998</v>
      </c>
      <c r="J34" s="11">
        <v>10.982715408566667</v>
      </c>
      <c r="K34" s="11">
        <v>1.1012493227</v>
      </c>
      <c r="L34" s="11">
        <v>8.5123488870999999</v>
      </c>
      <c r="M34" s="6">
        <v>-0.10984125941079659</v>
      </c>
      <c r="N34" s="12">
        <v>-0.14901150176977163</v>
      </c>
      <c r="O34" s="12">
        <v>-0.11795357593401123</v>
      </c>
      <c r="P34" s="11">
        <v>4.352799520662697</v>
      </c>
      <c r="Q34" s="11">
        <v>9.1517410462921926</v>
      </c>
      <c r="R34" s="11">
        <v>5.7675520420699113</v>
      </c>
      <c r="S34" s="11">
        <v>3.6178815906359407</v>
      </c>
      <c r="T34" s="11">
        <v>3.5778370941758877</v>
      </c>
      <c r="U34" s="11">
        <v>3.5990383338497631</v>
      </c>
      <c r="V34" s="11">
        <v>1.2031348764782472</v>
      </c>
      <c r="W34" s="11">
        <v>2.5578976363092876</v>
      </c>
      <c r="X34" s="11">
        <v>2.7179410651958711</v>
      </c>
    </row>
    <row r="35" spans="1:24">
      <c r="A35" t="s">
        <v>40</v>
      </c>
      <c r="B35" t="s">
        <v>111</v>
      </c>
      <c r="C35" t="s">
        <v>112</v>
      </c>
      <c r="D35" s="7">
        <v>0.55700000000000005</v>
      </c>
      <c r="E35" s="7" t="str">
        <f>VLOOKUP(A35,Overview_Table!$A$1:$E$38,5)</f>
        <v>Energy &amp; Utilities</v>
      </c>
      <c r="F35" t="str">
        <f>VLOOKUP(A35,Overview_Table!A31:H71,4)</f>
        <v>Large</v>
      </c>
      <c r="G35" s="13">
        <v>16012805233.710001</v>
      </c>
      <c r="H35" s="13">
        <v>16808378707.771999</v>
      </c>
      <c r="I35" s="13">
        <v>16410591970.741001</v>
      </c>
      <c r="J35" s="11">
        <v>22.365862400500003</v>
      </c>
      <c r="K35" s="11">
        <v>8.7189603035249998</v>
      </c>
      <c r="L35" s="11">
        <v>14.567632630800002</v>
      </c>
      <c r="M35" s="6">
        <v>-5.1945805667677591E-2</v>
      </c>
      <c r="N35" s="12">
        <v>0.12806727169814902</v>
      </c>
      <c r="O35" s="12">
        <v>4.0285449843520782E-2</v>
      </c>
      <c r="P35" s="11">
        <v>0.9040609180410254</v>
      </c>
      <c r="Q35" s="11">
        <v>1.038147551490586</v>
      </c>
      <c r="R35" s="11">
        <v>0.97272934020059032</v>
      </c>
      <c r="S35" s="11">
        <v>1.1918828296354675</v>
      </c>
      <c r="T35" s="11">
        <v>1.2225756980113012</v>
      </c>
      <c r="U35" s="11">
        <v>1.2084647317995065</v>
      </c>
      <c r="V35" s="11">
        <v>0.7585149274425983</v>
      </c>
      <c r="W35" s="11">
        <v>0.84914787131732239</v>
      </c>
      <c r="X35" s="11">
        <v>0.78588040105808288</v>
      </c>
    </row>
    <row r="36" spans="1:24">
      <c r="A36" t="s">
        <v>41</v>
      </c>
      <c r="B36" t="s">
        <v>113</v>
      </c>
      <c r="C36" t="s">
        <v>114</v>
      </c>
      <c r="D36" s="7">
        <v>0.64</v>
      </c>
      <c r="E36" s="7" t="str">
        <f>VLOOKUP(A36,Overview_Table!$A$1:$E$38,5)</f>
        <v>Energy &amp; Utilities</v>
      </c>
      <c r="F36" t="str">
        <f>VLOOKUP(A36,Overview_Table!A32:H72,4)</f>
        <v>Large</v>
      </c>
      <c r="G36" s="13">
        <v>10021795052.450001</v>
      </c>
      <c r="H36" s="13">
        <v>14091361382.226002</v>
      </c>
      <c r="I36" s="13">
        <v>12056578217.337999</v>
      </c>
      <c r="J36" s="11">
        <v>14.822319009699999</v>
      </c>
      <c r="K36" s="11">
        <v>16.188229463039999</v>
      </c>
      <c r="L36" s="11">
        <v>15.505274236369999</v>
      </c>
      <c r="M36" s="6">
        <v>6.2173197333575736E-2</v>
      </c>
      <c r="N36" s="12">
        <v>5.5076259013834283E-2</v>
      </c>
      <c r="O36" s="12">
        <v>7.5154728555224315E-2</v>
      </c>
      <c r="P36" s="11">
        <v>1.6757716469061457</v>
      </c>
      <c r="Q36" s="11">
        <v>1.6542035483811954</v>
      </c>
      <c r="R36" s="11">
        <v>1.6631675786056779</v>
      </c>
      <c r="S36" s="11">
        <v>4.326873431614529</v>
      </c>
      <c r="T36" s="11">
        <v>4.1325648517168512</v>
      </c>
      <c r="U36" s="11">
        <v>4.2117698704255648</v>
      </c>
      <c r="V36" s="11">
        <v>0.38729389093335426</v>
      </c>
      <c r="W36" s="11">
        <v>0.40028495806761893</v>
      </c>
      <c r="X36" s="11">
        <v>0.33786444551803219</v>
      </c>
    </row>
    <row r="37" spans="1:24">
      <c r="A37" t="s">
        <v>42</v>
      </c>
      <c r="B37" t="s">
        <v>115</v>
      </c>
      <c r="C37" t="s">
        <v>116</v>
      </c>
      <c r="D37" s="7">
        <v>1.0840000000000001</v>
      </c>
      <c r="E37" s="7" t="str">
        <f>VLOOKUP(A37,Overview_Table!$A$1:$E$38,5)</f>
        <v>Banking &amp; Financials</v>
      </c>
      <c r="F37" t="str">
        <f>VLOOKUP(A37,Overview_Table!A33:H73,4)</f>
        <v>Large</v>
      </c>
      <c r="G37" s="13">
        <v>29514633683.802002</v>
      </c>
      <c r="H37" s="13">
        <v>36378292502.790001</v>
      </c>
      <c r="I37" s="13">
        <v>32946463093.296001</v>
      </c>
      <c r="J37" s="11">
        <v>11.251718203775001</v>
      </c>
      <c r="K37" s="11">
        <v>7.4356460396499999</v>
      </c>
      <c r="L37" s="11">
        <v>9.3436821217125008</v>
      </c>
      <c r="M37" s="6">
        <v>-0.18535314641093448</v>
      </c>
      <c r="N37" s="12">
        <v>0.23258989830010757</v>
      </c>
      <c r="O37" s="12">
        <v>3.4917505168384322E-2</v>
      </c>
      <c r="P37" s="11">
        <v>28.757745343992458</v>
      </c>
      <c r="Q37" s="11">
        <v>23.502356520291006</v>
      </c>
      <c r="R37" s="11">
        <v>25.856340247743947</v>
      </c>
      <c r="S37" s="11">
        <v>15.789550375250686</v>
      </c>
      <c r="T37" s="11">
        <v>13.671035126768491</v>
      </c>
      <c r="U37" s="11">
        <v>14.650286844099318</v>
      </c>
      <c r="V37" s="11">
        <v>1.8213150254784176</v>
      </c>
      <c r="W37" s="11">
        <v>1.7191351132053163</v>
      </c>
      <c r="X37" s="11">
        <v>1.5984071516121996</v>
      </c>
    </row>
    <row r="38" spans="1:24">
      <c r="A38" t="s">
        <v>43</v>
      </c>
      <c r="B38" t="s">
        <v>117</v>
      </c>
      <c r="C38" t="s">
        <v>118</v>
      </c>
      <c r="D38" s="7">
        <v>0.89500000000000002</v>
      </c>
      <c r="E38" s="7" t="str">
        <f>VLOOKUP(A38,Overview_Table!$A$1:$E$38,5)</f>
        <v>Banking &amp; Financials</v>
      </c>
      <c r="F38" t="str">
        <f>VLOOKUP(A38,Overview_Table!A34:H74,4)</f>
        <v>Medium</v>
      </c>
      <c r="G38" s="13">
        <v>2959033000</v>
      </c>
      <c r="H38" s="13">
        <v>4358114060</v>
      </c>
      <c r="I38" s="13">
        <v>3658573530</v>
      </c>
      <c r="J38" s="11">
        <v>4.2659531792000003</v>
      </c>
      <c r="K38" s="11">
        <v>5.4010998991600001</v>
      </c>
      <c r="L38" s="11">
        <v>4.8965902458444459</v>
      </c>
      <c r="M38" s="6">
        <v>-3.6918319804959521E-2</v>
      </c>
      <c r="N38" s="12">
        <v>0.17960210307188151</v>
      </c>
      <c r="O38" s="12">
        <v>0.11030459324749042</v>
      </c>
      <c r="P38" s="11">
        <v>28.747621266812502</v>
      </c>
      <c r="Q38" s="11">
        <v>18.222900756296404</v>
      </c>
      <c r="R38" s="11">
        <v>22.479067135217587</v>
      </c>
      <c r="S38" s="11">
        <v>14.880740878095885</v>
      </c>
      <c r="T38" s="11">
        <v>10.071433100583102</v>
      </c>
      <c r="U38" s="11">
        <v>12.092640135040156</v>
      </c>
      <c r="V38" s="11">
        <v>1.9318676067485561</v>
      </c>
      <c r="W38" s="11">
        <v>1.8093652188625831</v>
      </c>
      <c r="X38" s="11">
        <v>1.5605236362262624</v>
      </c>
    </row>
    <row r="39" spans="1:24">
      <c r="A39" t="s">
        <v>157</v>
      </c>
      <c r="B39" t="s">
        <v>158</v>
      </c>
      <c r="C39" t="s">
        <v>159</v>
      </c>
      <c r="D39" s="7">
        <v>0.89500000000000002</v>
      </c>
      <c r="E39" s="7"/>
      <c r="F39" t="s">
        <v>138</v>
      </c>
      <c r="G39" s="11">
        <f t="shared" ref="G39:H39" si="0">AVERAGE(J2:J38)</f>
        <v>20.495406699845997</v>
      </c>
      <c r="H39" s="11">
        <f t="shared" si="0"/>
        <v>23.643447570620495</v>
      </c>
      <c r="I39" s="11">
        <f>AVERAGE(L2:L38)</f>
        <v>22.000249264786454</v>
      </c>
      <c r="J39" s="6">
        <v>-8.4965322432102308E-3</v>
      </c>
      <c r="K39" s="12">
        <v>7.5974220296580075E-2</v>
      </c>
      <c r="L39" s="12">
        <v>6.0358625929871401E-2</v>
      </c>
      <c r="M39" s="11">
        <v>8.427712155213154</v>
      </c>
      <c r="N39" s="11">
        <v>8.1356906971222749</v>
      </c>
      <c r="O39" s="11">
        <v>7.8943793137119691</v>
      </c>
      <c r="P39" s="11">
        <v>7.2262441899808874</v>
      </c>
      <c r="Q39" s="11">
        <v>7.4954328887727097</v>
      </c>
      <c r="R39" s="11">
        <v>8.8225176211879432</v>
      </c>
      <c r="S39" s="11">
        <v>1.0410527187435694</v>
      </c>
      <c r="T39" s="11">
        <v>1.178689790306779</v>
      </c>
      <c r="U39" s="11">
        <v>0.76781086135154486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FFFB-0FF6-41B6-890A-809FB830E1EA}">
  <dimension ref="A1:J38"/>
  <sheetViews>
    <sheetView topLeftCell="A13" workbookViewId="0">
      <selection activeCell="D1" sqref="D1:D1048576"/>
    </sheetView>
  </sheetViews>
  <sheetFormatPr defaultRowHeight="14.4"/>
  <cols>
    <col min="1" max="1" width="22.33203125" bestFit="1" customWidth="1"/>
    <col min="2" max="2" width="18" bestFit="1" customWidth="1"/>
    <col min="3" max="3" width="19.109375" bestFit="1" customWidth="1"/>
    <col min="4" max="4" width="17.6640625" bestFit="1" customWidth="1"/>
    <col min="5" max="5" width="18.77734375" bestFit="1" customWidth="1"/>
    <col min="6" max="7" width="17.77734375" bestFit="1" customWidth="1"/>
    <col min="8" max="8" width="12.88671875" customWidth="1"/>
    <col min="9" max="9" width="18.21875" customWidth="1"/>
  </cols>
  <sheetData>
    <row r="1" spans="1:9" ht="30.6" customHeight="1">
      <c r="A1" s="2" t="s">
        <v>0</v>
      </c>
      <c r="B1" s="2" t="s">
        <v>120</v>
      </c>
      <c r="C1" s="2" t="s">
        <v>44</v>
      </c>
      <c r="D1" s="2" t="s">
        <v>178</v>
      </c>
      <c r="E1" s="2" t="s">
        <v>1</v>
      </c>
      <c r="F1" s="2" t="s">
        <v>135</v>
      </c>
      <c r="G1" s="2" t="s">
        <v>134</v>
      </c>
      <c r="H1" s="4" t="s">
        <v>121</v>
      </c>
      <c r="I1" s="8" t="s">
        <v>133</v>
      </c>
    </row>
    <row r="2" spans="1:9">
      <c r="A2" t="s">
        <v>2</v>
      </c>
      <c r="B2" t="s">
        <v>45</v>
      </c>
      <c r="C2" t="s">
        <v>46</v>
      </c>
      <c r="D2" s="18" t="s">
        <v>174</v>
      </c>
      <c r="E2" t="s">
        <v>3</v>
      </c>
      <c r="F2" s="1" cm="1">
        <f t="array" ref="F2">_xldudf_WISE(C2, "Market Cap", 2024)</f>
        <v>6735315446.8500004</v>
      </c>
      <c r="G2" s="1" cm="1">
        <f t="array" ref="G2">_xldudf_WISE(C2, "Total Stockholders Equity", 2024) + _xldudf_WISE(C2, "Deferred Tax Liabilities Non Current", 2024) - _xldudf_WISE(C2, "Preferred Stock", 2024)</f>
        <v>5445000000</v>
      </c>
      <c r="H2" s="7">
        <f t="shared" ref="H2:H38" si="0">G2/F2</f>
        <v>0.80842538749191617</v>
      </c>
      <c r="I2" s="7" cm="1">
        <f t="array" ref="I2">_xldudf_WISEPRICE(C2, "beta")</f>
        <v>0.94299999999999995</v>
      </c>
    </row>
    <row r="3" spans="1:9">
      <c r="A3" t="s">
        <v>4</v>
      </c>
      <c r="B3" t="s">
        <v>47</v>
      </c>
      <c r="C3" t="s">
        <v>48</v>
      </c>
      <c r="D3" s="18" t="s">
        <v>174</v>
      </c>
      <c r="E3" t="s">
        <v>5</v>
      </c>
      <c r="F3" s="1" cm="1">
        <f t="array" ref="F3">_xldudf_WISE(C3, "Market Cap", 2024)</f>
        <v>5610931200</v>
      </c>
      <c r="G3" s="1" cm="1">
        <f t="array" ref="G3">_xldudf_WISE(C3, "Total Stockholders Equity", 2024) + _xldudf_WISE(C3, "Deferred Tax Liabilities Non Current", 2024) - _xldudf_WISE(C3, "Preferred Stock", 2024)</f>
        <v>1249495000</v>
      </c>
      <c r="H3" s="7">
        <f t="shared" si="0"/>
        <v>0.22268941740009215</v>
      </c>
      <c r="I3" s="7" cm="1">
        <f t="array" ref="I3">_xldudf_WISEPRICE(C3, "beta")</f>
        <v>0.84199999999999997</v>
      </c>
    </row>
    <row r="4" spans="1:9">
      <c r="A4" t="s">
        <v>6</v>
      </c>
      <c r="B4" t="s">
        <v>49</v>
      </c>
      <c r="C4" t="s">
        <v>50</v>
      </c>
      <c r="D4" s="18" t="s">
        <v>174</v>
      </c>
      <c r="E4" t="s">
        <v>7</v>
      </c>
      <c r="F4" s="1" cm="1">
        <f t="array" ref="F4">_xldudf_WISE(C4, "Market Cap", 2024)</f>
        <v>3371267895.5100002</v>
      </c>
      <c r="G4" s="1" cm="1">
        <f t="array" ref="G4">_xldudf_WISE(C4, "Total Stockholders Equity", 2024) + _xldudf_WISE(C4, "Deferred Tax Liabilities Non Current", 2024) - _xldudf_WISE(C4, "Preferred Stock", 2024)</f>
        <v>1992495000</v>
      </c>
      <c r="H4" s="7">
        <f t="shared" si="0"/>
        <v>0.59102244667464443</v>
      </c>
      <c r="I4" s="7" cm="1">
        <f t="array" ref="I4">_xldudf_WISEPRICE(C4, "beta")</f>
        <v>1.0580000000000001</v>
      </c>
    </row>
    <row r="5" spans="1:9">
      <c r="A5" t="s">
        <v>8</v>
      </c>
      <c r="B5" t="s">
        <v>51</v>
      </c>
      <c r="C5" t="s">
        <v>52</v>
      </c>
      <c r="D5" s="18" t="s">
        <v>175</v>
      </c>
      <c r="E5" t="s">
        <v>7</v>
      </c>
      <c r="F5" s="1" cm="1">
        <f t="array" ref="F5">_xldudf_WISE(C5, "Market Cap", 2024)</f>
        <v>8471898720</v>
      </c>
      <c r="G5" s="1" cm="1">
        <f t="array" ref="G5">_xldudf_WISE(C5, "Total Stockholders Equity", 2024) + _xldudf_WISE(C5, "Deferred Tax Liabilities Non Current", 2024) - _xldudf_WISE(C5, "Preferred Stock", 2024)</f>
        <v>4025720000</v>
      </c>
      <c r="H5" s="7">
        <f t="shared" si="0"/>
        <v>0.47518509522502883</v>
      </c>
      <c r="I5" s="7" cm="1">
        <f t="array" ref="I5">_xldudf_WISEPRICE(C5, "beta")</f>
        <v>0.84399999999999997</v>
      </c>
    </row>
    <row r="6" spans="1:9">
      <c r="A6" t="s">
        <v>9</v>
      </c>
      <c r="B6" t="s">
        <v>53</v>
      </c>
      <c r="C6" t="s">
        <v>54</v>
      </c>
      <c r="D6" s="18" t="s">
        <v>175</v>
      </c>
      <c r="E6" t="s">
        <v>7</v>
      </c>
      <c r="F6" s="1" cm="1">
        <f t="array" ref="F6">_xldudf_WISE(C6, "Market Cap", 2024)</f>
        <v>8576467399.1700001</v>
      </c>
      <c r="G6" s="1" cm="1">
        <f t="array" ref="G6">_xldudf_WISE(C6, "Total Stockholders Equity", 2024) + _xldudf_WISE(C6, "Deferred Tax Liabilities Non Current", 2024) - _xldudf_WISE(C6, "Preferred Stock", 2024)</f>
        <v>11648948000</v>
      </c>
      <c r="H6" s="7">
        <f t="shared" si="0"/>
        <v>1.3582454707549338</v>
      </c>
      <c r="I6" s="7" cm="1">
        <f t="array" ref="I6">_xldudf_WISEPRICE(C6, "beta")</f>
        <v>0.93600000000000005</v>
      </c>
    </row>
    <row r="7" spans="1:9">
      <c r="A7" t="s">
        <v>10</v>
      </c>
      <c r="B7" t="s">
        <v>55</v>
      </c>
      <c r="C7" t="s">
        <v>56</v>
      </c>
      <c r="D7" s="18" t="s">
        <v>175</v>
      </c>
      <c r="E7" t="s">
        <v>7</v>
      </c>
      <c r="F7" s="1" cm="1">
        <f t="array" ref="F7">_xldudf_WISE(C7, "Market Cap", 2024)</f>
        <v>11754058840.92</v>
      </c>
      <c r="G7" s="1" cm="1">
        <f t="array" ref="G7">_xldudf_WISE(C7, "Total Stockholders Equity", 2024) + _xldudf_WISE(C7, "Deferred Tax Liabilities Non Current", 2024) - _xldudf_WISE(C7, "Preferred Stock", 2024)</f>
        <v>14603943000</v>
      </c>
      <c r="H7" s="7">
        <f t="shared" si="0"/>
        <v>1.242459579082466</v>
      </c>
      <c r="I7" s="7" cm="1">
        <f t="array" ref="I7">_xldudf_WISEPRICE(C7, "beta")</f>
        <v>0.61799999999999999</v>
      </c>
    </row>
    <row r="8" spans="1:9">
      <c r="A8" t="s">
        <v>11</v>
      </c>
      <c r="B8" t="s">
        <v>57</v>
      </c>
      <c r="C8" t="s">
        <v>58</v>
      </c>
      <c r="D8" s="18" t="s">
        <v>174</v>
      </c>
      <c r="E8" t="s">
        <v>7</v>
      </c>
      <c r="F8" s="1" cm="1">
        <f t="array" ref="F8">_xldudf_WISE(C8, "Market Cap", 2024)</f>
        <v>3660864064</v>
      </c>
      <c r="G8" s="1" cm="1">
        <f t="array" ref="G8">_xldudf_WISE(C8, "Total Stockholders Equity", 2024) + _xldudf_WISE(C8, "Deferred Tax Liabilities Non Current", 2024) - _xldudf_WISE(C8, "Preferred Stock", 2024)</f>
        <v>4156325000</v>
      </c>
      <c r="H8" s="7">
        <f t="shared" si="0"/>
        <v>1.1353398889820128</v>
      </c>
      <c r="I8" s="7" cm="1">
        <f t="array" ref="I8">_xldudf_WISEPRICE(C8, "beta")</f>
        <v>0.77100000000000002</v>
      </c>
    </row>
    <row r="9" spans="1:9">
      <c r="A9" t="s">
        <v>12</v>
      </c>
      <c r="B9" t="s">
        <v>59</v>
      </c>
      <c r="C9" t="s">
        <v>60</v>
      </c>
      <c r="D9" s="18" t="s">
        <v>175</v>
      </c>
      <c r="E9" t="s">
        <v>7</v>
      </c>
      <c r="F9" s="1" cm="1">
        <f t="array" ref="F9">_xldudf_WISE(C9, "Market Cap", 2024)</f>
        <v>8671406050</v>
      </c>
      <c r="G9" s="1" cm="1">
        <f t="array" ref="G9">_xldudf_WISE(C9, "Total Stockholders Equity", 2024) + _xldudf_WISE(C9, "Deferred Tax Liabilities Non Current", 2024) - _xldudf_WISE(C9, "Preferred Stock", 2024)</f>
        <v>11353867000</v>
      </c>
      <c r="H9" s="7">
        <f t="shared" si="0"/>
        <v>1.3093455587862823</v>
      </c>
      <c r="I9" s="7" cm="1">
        <f t="array" ref="I9">_xldudf_WISEPRICE(C9, "beta")</f>
        <v>0.74</v>
      </c>
    </row>
    <row r="10" spans="1:9">
      <c r="A10" t="s">
        <v>13</v>
      </c>
      <c r="B10" t="s">
        <v>61</v>
      </c>
      <c r="C10" t="s">
        <v>62</v>
      </c>
      <c r="D10" s="18" t="s">
        <v>174</v>
      </c>
      <c r="E10" t="s">
        <v>14</v>
      </c>
      <c r="F10" s="1" cm="1">
        <f t="array" ref="F10">_xldudf_WISE(C10, "Market Cap", 2024)</f>
        <v>7166792207.3999996</v>
      </c>
      <c r="G10" s="1" cm="1">
        <f t="array" ref="G10">_xldudf_WISE(C10, "Total Stockholders Equity", 2024) + _xldudf_WISE(C10, "Deferred Tax Liabilities Non Current", 2024) - _xldudf_WISE(C10, "Preferred Stock", 2024)</f>
        <v>497862000</v>
      </c>
      <c r="H10" s="7">
        <f t="shared" si="0"/>
        <v>6.9467899388228047E-2</v>
      </c>
      <c r="I10" s="7" cm="1">
        <f t="array" ref="I10">_xldudf_WISEPRICE(C10, "beta")</f>
        <v>1.0640000000000001</v>
      </c>
    </row>
    <row r="11" spans="1:9">
      <c r="A11" t="s">
        <v>15</v>
      </c>
      <c r="B11" t="s">
        <v>63</v>
      </c>
      <c r="C11" t="s">
        <v>64</v>
      </c>
      <c r="D11" s="18" t="s">
        <v>174</v>
      </c>
      <c r="E11" t="s">
        <v>16</v>
      </c>
      <c r="F11" s="1" cm="1">
        <f t="array" ref="F11">_xldudf_WISE(C11, "Market Cap", 2024)</f>
        <v>6522510976.6199999</v>
      </c>
      <c r="G11" s="1" cm="1">
        <f t="array" ref="G11">_xldudf_WISE(C11, "Total Stockholders Equity", 2024) + _xldudf_WISE(C11, "Deferred Tax Liabilities Non Current", 2024) - _xldudf_WISE(C11, "Preferred Stock", 2024)</f>
        <v>7078379000</v>
      </c>
      <c r="H11" s="7">
        <f t="shared" si="0"/>
        <v>1.0852230107963809</v>
      </c>
      <c r="I11" s="7" cm="1">
        <f t="array" ref="I11">_xldudf_WISEPRICE(C11, "beta")</f>
        <v>1.113</v>
      </c>
    </row>
    <row r="12" spans="1:9">
      <c r="A12" t="s">
        <v>17</v>
      </c>
      <c r="B12" t="s">
        <v>65</v>
      </c>
      <c r="C12" t="s">
        <v>66</v>
      </c>
      <c r="D12" s="18" t="s">
        <v>175</v>
      </c>
      <c r="E12" t="s">
        <v>14</v>
      </c>
      <c r="F12" s="1" cm="1">
        <f t="array" ref="F12">_xldudf_WISE(C12, "Market Cap", 2024)</f>
        <v>7226088632.9799995</v>
      </c>
      <c r="G12" s="1" cm="1">
        <f t="array" ref="G12">_xldudf_WISE(C12, "Total Stockholders Equity", 2024) + _xldudf_WISE(C12, "Deferred Tax Liabilities Non Current", 2024) - _xldudf_WISE(C12, "Preferred Stock", 2024)</f>
        <v>4352200000</v>
      </c>
      <c r="H12" s="7">
        <f t="shared" si="0"/>
        <v>0.60228987230193665</v>
      </c>
      <c r="I12" s="7" cm="1">
        <f t="array" ref="I12">_xldudf_WISEPRICE(C12, "beta")</f>
        <v>0.45800000000000002</v>
      </c>
    </row>
    <row r="13" spans="1:9">
      <c r="A13" t="s">
        <v>18</v>
      </c>
      <c r="B13" t="s">
        <v>67</v>
      </c>
      <c r="C13" t="s">
        <v>68</v>
      </c>
      <c r="D13" s="18" t="s">
        <v>174</v>
      </c>
      <c r="E13" t="s">
        <v>5</v>
      </c>
      <c r="F13" s="1" cm="1">
        <f t="array" ref="F13">_xldudf_WISE(C13, "Market Cap", 2024)</f>
        <v>5562288668.04</v>
      </c>
      <c r="G13" s="1" cm="1">
        <f t="array" ref="G13">_xldudf_WISE(C13, "Total Stockholders Equity", 2024) + _xldudf_WISE(C13, "Deferred Tax Liabilities Non Current", 2024) - _xldudf_WISE(C13, "Preferred Stock", 2024)</f>
        <v>2000491000</v>
      </c>
      <c r="H13" s="7">
        <f t="shared" si="0"/>
        <v>0.35965249547268086</v>
      </c>
      <c r="I13" s="7" cm="1">
        <f t="array" ref="I13">_xldudf_WISEPRICE(C13, "beta")</f>
        <v>0.57299999999999995</v>
      </c>
    </row>
    <row r="14" spans="1:9">
      <c r="A14" t="s">
        <v>19</v>
      </c>
      <c r="B14" t="s">
        <v>69</v>
      </c>
      <c r="C14" t="s">
        <v>70</v>
      </c>
      <c r="D14" s="18" t="s">
        <v>176</v>
      </c>
      <c r="E14" t="s">
        <v>3</v>
      </c>
      <c r="F14" s="1" cm="1">
        <f t="array" ref="F14">_xldudf_WISE(C14, "Market Cap", 2024)</f>
        <v>69975880390</v>
      </c>
      <c r="G14" s="1" cm="1">
        <f t="array" ref="G14">_xldudf_WISE(C14, "Total Stockholders Equity", 2024) + _xldudf_WISE(C14, "Deferred Tax Liabilities Non Current", 2024) - _xldudf_WISE(C14, "Preferred Stock", 2024)</f>
        <v>33731000000</v>
      </c>
      <c r="H14" s="7">
        <f t="shared" si="0"/>
        <v>0.48203752224345542</v>
      </c>
      <c r="I14" s="7" cm="1">
        <f t="array" ref="I14">_xldudf_WISEPRICE(C14, "beta")</f>
        <v>0.89100000000000001</v>
      </c>
    </row>
    <row r="15" spans="1:9">
      <c r="A15" t="s">
        <v>20</v>
      </c>
      <c r="B15" t="s">
        <v>71</v>
      </c>
      <c r="C15" t="s">
        <v>72</v>
      </c>
      <c r="D15" s="18" t="s">
        <v>176</v>
      </c>
      <c r="E15" t="s">
        <v>3</v>
      </c>
      <c r="F15" s="1" cm="1">
        <f t="array" ref="F15">_xldudf_WISE(C15, "Market Cap", 2024)</f>
        <v>41456108540</v>
      </c>
      <c r="G15" s="1" cm="1">
        <f t="array" ref="G15">_xldudf_WISE(C15, "Total Stockholders Equity", 2024) + _xldudf_WISE(C15, "Deferred Tax Liabilities Non Current", 2024) - _xldudf_WISE(C15, "Preferred Stock", 2024)</f>
        <v>58409000000</v>
      </c>
      <c r="H15" s="7">
        <f t="shared" si="0"/>
        <v>1.4089359097379477</v>
      </c>
      <c r="I15" s="7" cm="1">
        <f t="array" ref="I15">_xldudf_WISEPRICE(C15, "beta")</f>
        <v>0.54400000000000004</v>
      </c>
    </row>
    <row r="16" spans="1:9">
      <c r="A16" t="s">
        <v>21</v>
      </c>
      <c r="B16" t="s">
        <v>73</v>
      </c>
      <c r="C16" t="s">
        <v>74</v>
      </c>
      <c r="D16" s="18" t="s">
        <v>176</v>
      </c>
      <c r="E16" t="s">
        <v>14</v>
      </c>
      <c r="F16" s="1" cm="1">
        <f t="array" ref="F16">_xldudf_WISE(C16, "Market Cap", 2024)</f>
        <v>74126013200</v>
      </c>
      <c r="G16" s="1" cm="1">
        <f t="array" ref="G16">_xldudf_WISE(C16, "Total Stockholders Equity", 2024) + _xldudf_WISE(C16, "Deferred Tax Liabilities Non Current", 2024) - _xldudf_WISE(C16, "Preferred Stock", 2024)</f>
        <v>3643962000</v>
      </c>
      <c r="H16" s="7">
        <f t="shared" si="0"/>
        <v>4.9159017768407379E-2</v>
      </c>
      <c r="I16" s="7" cm="1">
        <f t="array" ref="I16">_xldudf_WISEPRICE(C16, "beta")</f>
        <v>0.59399999999999997</v>
      </c>
    </row>
    <row r="17" spans="1:10">
      <c r="A17" t="s">
        <v>22</v>
      </c>
      <c r="B17" t="s">
        <v>75</v>
      </c>
      <c r="C17" t="s">
        <v>76</v>
      </c>
      <c r="D17" s="18" t="s">
        <v>175</v>
      </c>
      <c r="E17" t="s">
        <v>7</v>
      </c>
      <c r="F17" s="1" cm="1">
        <f t="array" ref="F17">_xldudf_WISE(C17, "Market Cap", 2024)</f>
        <v>10255830495.1</v>
      </c>
      <c r="G17" s="1" cm="1">
        <f t="array" ref="G17">_xldudf_WISE(C17, "Total Stockholders Equity", 2024) + _xldudf_WISE(C17, "Deferred Tax Liabilities Non Current", 2024) - _xldudf_WISE(C17, "Preferred Stock", 2024)</f>
        <v>2389312000</v>
      </c>
      <c r="H17" s="7">
        <f t="shared" si="0"/>
        <v>0.23297108909332678</v>
      </c>
      <c r="I17" s="7" cm="1">
        <f t="array" ref="I17">_xldudf_WISEPRICE(C17, "beta")</f>
        <v>0.76300000000000001</v>
      </c>
    </row>
    <row r="18" spans="1:10">
      <c r="A18" t="s">
        <v>23</v>
      </c>
      <c r="B18" t="s">
        <v>77</v>
      </c>
      <c r="C18" t="s">
        <v>78</v>
      </c>
      <c r="D18" s="18" t="s">
        <v>176</v>
      </c>
      <c r="E18" t="s">
        <v>7</v>
      </c>
      <c r="F18" s="1" cm="1">
        <f t="array" ref="F18">_xldudf_WISE(C18, "Market Cap", 2024)</f>
        <v>41960103570</v>
      </c>
      <c r="G18" s="1" cm="1">
        <f t="array" ref="G18">_xldudf_WISE(C18, "Total Stockholders Equity", 2024) + _xldudf_WISE(C18, "Deferred Tax Liabilities Non Current", 2024) - _xldudf_WISE(C18, "Preferred Stock", 2024)</f>
        <v>32555000000</v>
      </c>
      <c r="H18" s="7">
        <f t="shared" si="0"/>
        <v>0.7758560449139521</v>
      </c>
      <c r="I18" s="7" cm="1">
        <f t="array" ref="I18">_xldudf_WISEPRICE(C18, "beta")</f>
        <v>0.69199999999999995</v>
      </c>
    </row>
    <row r="19" spans="1:10">
      <c r="A19" t="s">
        <v>24</v>
      </c>
      <c r="B19" t="s">
        <v>79</v>
      </c>
      <c r="C19" t="s">
        <v>80</v>
      </c>
      <c r="D19" s="18" t="s">
        <v>174</v>
      </c>
      <c r="E19" t="s">
        <v>3</v>
      </c>
      <c r="F19" s="1" cm="1">
        <f t="array" ref="F19">_xldudf_WISE(C19, "Market Cap", 2024)</f>
        <v>4945807233.0100002</v>
      </c>
      <c r="G19" s="1" cm="1">
        <f t="array" ref="G19">_xldudf_WISE(C19, "Total Stockholders Equity", 2024) + _xldudf_WISE(C19, "Deferred Tax Liabilities Non Current", 2024) - _xldudf_WISE(C19, "Preferred Stock", 2024)</f>
        <v>3824900000</v>
      </c>
      <c r="H19" s="7">
        <f t="shared" si="0"/>
        <v>0.773362126706297</v>
      </c>
      <c r="I19" s="7" cm="1">
        <f t="array" ref="I19">_xldudf_WISEPRICE(C19, "beta")</f>
        <v>0.84699999999999998</v>
      </c>
    </row>
    <row r="20" spans="1:10">
      <c r="A20" t="s">
        <v>25</v>
      </c>
      <c r="B20" t="s">
        <v>81</v>
      </c>
      <c r="C20" t="s">
        <v>82</v>
      </c>
      <c r="D20" s="18" t="s">
        <v>176</v>
      </c>
      <c r="E20" t="s">
        <v>7</v>
      </c>
      <c r="F20" s="1" cm="1">
        <f t="array" ref="F20">_xldudf_WISE(C20, "Market Cap", 2024)</f>
        <v>69546932400</v>
      </c>
      <c r="G20" s="1" cm="1">
        <f t="array" ref="G20">_xldudf_WISE(C20, "Total Stockholders Equity", 2024) + _xldudf_WISE(C20, "Deferred Tax Liabilities Non Current", 2024) - _xldudf_WISE(C20, "Preferred Stock", 2024)</f>
        <v>65176000000</v>
      </c>
      <c r="H20" s="7">
        <f t="shared" si="0"/>
        <v>0.93715132718060756</v>
      </c>
      <c r="I20" s="7" cm="1">
        <f t="array" ref="I20">_xldudf_WISEPRICE(C20, "beta")</f>
        <v>0.86199999999999999</v>
      </c>
    </row>
    <row r="21" spans="1:10">
      <c r="A21" t="s">
        <v>26</v>
      </c>
      <c r="B21" t="s">
        <v>83</v>
      </c>
      <c r="C21" t="s">
        <v>84</v>
      </c>
      <c r="D21" s="18" t="s">
        <v>175</v>
      </c>
      <c r="E21" t="s">
        <v>16</v>
      </c>
      <c r="F21" s="1" cm="1">
        <f t="array" ref="F21">_xldudf_WISE(C21, "Market Cap", 2024)</f>
        <v>9156036549.4799995</v>
      </c>
      <c r="G21" s="1" cm="1">
        <f t="array" ref="G21">_xldudf_WISE(C21, "Total Stockholders Equity", 2024) + _xldudf_WISE(C21, "Deferred Tax Liabilities Non Current", 2024) - _xldudf_WISE(C21, "Preferred Stock", 2024)</f>
        <v>4219032000</v>
      </c>
      <c r="H21" s="7">
        <f t="shared" si="0"/>
        <v>0.46079239387042553</v>
      </c>
      <c r="I21" s="7" cm="1">
        <f t="array" ref="I21">_xldudf_WISEPRICE(C21, "beta")</f>
        <v>0.65300000000000002</v>
      </c>
    </row>
    <row r="22" spans="1:10">
      <c r="A22" t="s">
        <v>27</v>
      </c>
      <c r="B22" t="s">
        <v>85</v>
      </c>
      <c r="C22" t="s">
        <v>86</v>
      </c>
      <c r="D22" s="18" t="s">
        <v>174</v>
      </c>
      <c r="E22" t="s">
        <v>3</v>
      </c>
      <c r="F22" s="1" cm="1">
        <f t="array" ref="F22">_xldudf_WISE(C22, "Market Cap", 2024)</f>
        <v>4388820891.6899996</v>
      </c>
      <c r="G22" s="1" cm="1">
        <f t="array" ref="G22">_xldudf_WISE(C22, "Total Stockholders Equity", 2024) + _xldudf_WISE(C22, "Deferred Tax Liabilities Non Current", 2024) - _xldudf_WISE(C22, "Preferred Stock", 2024)</f>
        <v>2506262000</v>
      </c>
      <c r="H22" s="7">
        <f t="shared" si="0"/>
        <v>0.57105588536216523</v>
      </c>
      <c r="I22" s="7" cm="1">
        <f t="array" ref="I22">_xldudf_WISEPRICE(C22, "beta")</f>
        <v>0.67100000000000004</v>
      </c>
    </row>
    <row r="23" spans="1:10">
      <c r="A23" t="s">
        <v>28</v>
      </c>
      <c r="B23" t="s">
        <v>87</v>
      </c>
      <c r="C23" t="s">
        <v>88</v>
      </c>
      <c r="D23" s="18" t="s">
        <v>176</v>
      </c>
      <c r="E23" t="s">
        <v>16</v>
      </c>
      <c r="F23" s="1" cm="1">
        <f t="array" ref="F23">_xldudf_WISE(C23, "Market Cap", 2024)</f>
        <v>14917710510</v>
      </c>
      <c r="G23" s="1" cm="1">
        <f t="array" ref="G23">_xldudf_WISE(C23, "Total Stockholders Equity", 2024) + _xldudf_WISE(C23, "Deferred Tax Liabilities Non Current", 2024) - _xldudf_WISE(C23, "Preferred Stock", 2024)</f>
        <v>9365000000</v>
      </c>
      <c r="H23" s="7">
        <f t="shared" si="0"/>
        <v>0.62777729824708872</v>
      </c>
      <c r="I23" s="7" cm="1">
        <f t="array" ref="I23">_xldudf_WISEPRICE(C23, "beta")</f>
        <v>0.48099999999999998</v>
      </c>
    </row>
    <row r="24" spans="1:10">
      <c r="A24" t="s">
        <v>29</v>
      </c>
      <c r="B24" t="s">
        <v>89</v>
      </c>
      <c r="C24" t="s">
        <v>90</v>
      </c>
      <c r="D24" s="18" t="s">
        <v>175</v>
      </c>
      <c r="E24" t="s">
        <v>7</v>
      </c>
      <c r="F24" s="1" cm="1">
        <f t="array" ref="F24">_xldudf_WISE(C24, "Market Cap", 2024)</f>
        <v>11646907607.67</v>
      </c>
      <c r="G24" s="1" cm="1">
        <f t="array" ref="G24">_xldudf_WISE(C24, "Total Stockholders Equity", 2024) + _xldudf_WISE(C24, "Deferred Tax Liabilities Non Current", 2024) - _xldudf_WISE(C24, "Preferred Stock", 2024)</f>
        <v>11546865000</v>
      </c>
      <c r="H24" s="7">
        <f t="shared" si="0"/>
        <v>0.99141037165915891</v>
      </c>
      <c r="I24" s="7" cm="1">
        <f t="array" ref="I24">_xldudf_WISEPRICE(C24, "beta")</f>
        <v>0.64400000000000002</v>
      </c>
    </row>
    <row r="25" spans="1:10">
      <c r="A25" t="s">
        <v>30</v>
      </c>
      <c r="B25" t="s">
        <v>91</v>
      </c>
      <c r="C25" t="s">
        <v>92</v>
      </c>
      <c r="D25" s="18" t="s">
        <v>175</v>
      </c>
      <c r="E25" t="s">
        <v>14</v>
      </c>
      <c r="F25" s="1" cm="1">
        <f t="array" ref="F25">_xldudf_WISE(C25, "Market Cap", 2024)</f>
        <v>13791256065.540001</v>
      </c>
      <c r="G25" s="1" cm="1">
        <f t="array" ref="G25">_xldudf_WISE(C25, "Total Stockholders Equity", 2024) + _xldudf_WISE(C25, "Deferred Tax Liabilities Non Current", 2024) - _xldudf_WISE(C25, "Preferred Stock", 2024)</f>
        <v>3689862000</v>
      </c>
      <c r="H25" s="7">
        <f t="shared" si="0"/>
        <v>0.26755082948679354</v>
      </c>
      <c r="I25" s="7" cm="1">
        <f t="array" ref="I25">_xldudf_WISEPRICE(C25, "beta")</f>
        <v>1.161</v>
      </c>
      <c r="J25" s="3"/>
    </row>
    <row r="26" spans="1:10">
      <c r="A26" t="s">
        <v>31</v>
      </c>
      <c r="B26" t="s">
        <v>93</v>
      </c>
      <c r="C26" t="s">
        <v>94</v>
      </c>
      <c r="D26" s="18" t="s">
        <v>174</v>
      </c>
      <c r="E26" t="s">
        <v>7</v>
      </c>
      <c r="F26" s="1" cm="1">
        <f t="array" ref="F26">_xldudf_WISE(C26, "Market Cap", 2024)</f>
        <v>6865934880</v>
      </c>
      <c r="G26" s="1" cm="1">
        <f t="array" ref="G26">_xldudf_WISE(C26, "Total Stockholders Equity", 2024) + _xldudf_WISE(C26, "Deferred Tax Liabilities Non Current", 2024) - _xldudf_WISE(C26, "Preferred Stock", 2024)</f>
        <v>11855841000</v>
      </c>
      <c r="H26" s="7">
        <f t="shared" si="0"/>
        <v>1.7267628090291471</v>
      </c>
      <c r="I26" s="7" cm="1">
        <f t="array" ref="I26">_xldudf_WISEPRICE(C26, "beta")</f>
        <v>1.135</v>
      </c>
    </row>
    <row r="27" spans="1:10">
      <c r="A27" t="s">
        <v>32</v>
      </c>
      <c r="B27" t="s">
        <v>95</v>
      </c>
      <c r="C27" t="s">
        <v>96</v>
      </c>
      <c r="D27" s="18" t="s">
        <v>176</v>
      </c>
      <c r="E27" t="s">
        <v>7</v>
      </c>
      <c r="F27" s="1" cm="1">
        <f t="array" ref="F27">_xldudf_WISE(C27, "Market Cap", 2024)</f>
        <v>17635246755.900002</v>
      </c>
      <c r="G27" s="1" cm="1">
        <f t="array" ref="G27">_xldudf_WISE(C27, "Total Stockholders Equity", 2024) + _xldudf_WISE(C27, "Deferred Tax Liabilities Non Current", 2024) - _xldudf_WISE(C27, "Preferred Stock", 2024)</f>
        <v>12480000000</v>
      </c>
      <c r="H27" s="7">
        <f t="shared" si="0"/>
        <v>0.70767368173199641</v>
      </c>
      <c r="I27" s="7" cm="1">
        <f t="array" ref="I27">_xldudf_WISEPRICE(C27, "beta")</f>
        <v>0.749</v>
      </c>
    </row>
    <row r="28" spans="1:10">
      <c r="A28" t="s">
        <v>33</v>
      </c>
      <c r="B28" t="s">
        <v>97</v>
      </c>
      <c r="C28" t="s">
        <v>98</v>
      </c>
      <c r="D28" s="18" t="s">
        <v>176</v>
      </c>
      <c r="E28" t="s">
        <v>16</v>
      </c>
      <c r="F28" s="1" cm="1">
        <f t="array" ref="F28">_xldudf_WISE(C28, "Market Cap", 2024)</f>
        <v>17359756400</v>
      </c>
      <c r="G28" s="1" cm="1">
        <f t="array" ref="G28">_xldudf_WISE(C28, "Total Stockholders Equity", 2024) + _xldudf_WISE(C28, "Deferred Tax Liabilities Non Current", 2024) - _xldudf_WISE(C28, "Preferred Stock", 2024)</f>
        <v>5666000000</v>
      </c>
      <c r="H28" s="7">
        <f t="shared" si="0"/>
        <v>0.32638706842683574</v>
      </c>
      <c r="I28" s="7" cm="1">
        <f t="array" ref="I28">_xldudf_WISEPRICE(C28, "beta")</f>
        <v>0.81899999999999995</v>
      </c>
    </row>
    <row r="29" spans="1:10">
      <c r="A29" t="s">
        <v>34</v>
      </c>
      <c r="B29" t="s">
        <v>99</v>
      </c>
      <c r="C29" t="s">
        <v>100</v>
      </c>
      <c r="D29" s="18" t="s">
        <v>175</v>
      </c>
      <c r="E29" t="s">
        <v>5</v>
      </c>
      <c r="F29" s="1" cm="1">
        <f t="array" ref="F29">_xldudf_WISE(C29, "Market Cap", 2024)</f>
        <v>10439601794.6</v>
      </c>
      <c r="G29" s="1" cm="1">
        <f t="array" ref="G29">_xldudf_WISE(C29, "Total Stockholders Equity", 2024) + _xldudf_WISE(C29, "Deferred Tax Liabilities Non Current", 2024) - _xldudf_WISE(C29, "Preferred Stock", 2024)</f>
        <v>2010231000</v>
      </c>
      <c r="H29" s="7">
        <f t="shared" si="0"/>
        <v>0.19255820667794191</v>
      </c>
      <c r="I29" s="7" cm="1">
        <f t="array" ref="I29">_xldudf_WISEPRICE(C29, "beta")</f>
        <v>0.64600000000000002</v>
      </c>
    </row>
    <row r="30" spans="1:10">
      <c r="A30" t="s">
        <v>35</v>
      </c>
      <c r="B30" t="s">
        <v>101</v>
      </c>
      <c r="C30" t="s">
        <v>102</v>
      </c>
      <c r="D30" s="18" t="s">
        <v>174</v>
      </c>
      <c r="E30" t="s">
        <v>3</v>
      </c>
      <c r="F30" s="1" cm="1">
        <f t="array" ref="F30">_xldudf_WISE(C30, "Market Cap", 2024)</f>
        <v>4938721180</v>
      </c>
      <c r="G30" s="1" cm="1">
        <f t="array" ref="G30">_xldudf_WISE(C30, "Total Stockholders Equity", 2024) + _xldudf_WISE(C30, "Deferred Tax Liabilities Non Current", 2024) - _xldudf_WISE(C30, "Preferred Stock", 2024)</f>
        <v>2533000000</v>
      </c>
      <c r="H30" s="7">
        <f t="shared" si="0"/>
        <v>0.51288580741462308</v>
      </c>
      <c r="I30" s="7" cm="1">
        <f t="array" ref="I30">_xldudf_WISEPRICE(C30, "beta")</f>
        <v>1.6779999999999999</v>
      </c>
    </row>
    <row r="31" spans="1:10">
      <c r="A31" t="s">
        <v>36</v>
      </c>
      <c r="B31" t="s">
        <v>103</v>
      </c>
      <c r="C31" t="s">
        <v>104</v>
      </c>
      <c r="D31" s="18" t="s">
        <v>175</v>
      </c>
      <c r="E31" t="s">
        <v>3</v>
      </c>
      <c r="F31" s="1" cm="1">
        <f t="array" ref="F31">_xldudf_WISE(C31, "Market Cap", 2024)</f>
        <v>14354873681.719999</v>
      </c>
      <c r="G31" s="1" cm="1">
        <f t="array" ref="G31">_xldudf_WISE(C31, "Total Stockholders Equity", 2024) + _xldudf_WISE(C31, "Deferred Tax Liabilities Non Current", 2024) - _xldudf_WISE(C31, "Preferred Stock", 2024)</f>
        <v>8997000000</v>
      </c>
      <c r="H31" s="7">
        <f t="shared" si="0"/>
        <v>0.62675577643411073</v>
      </c>
      <c r="I31" s="7" cm="1">
        <f t="array" ref="I31">_xldudf_WISEPRICE(C31, "beta")</f>
        <v>0.70899999999999996</v>
      </c>
    </row>
    <row r="32" spans="1:10">
      <c r="A32" t="s">
        <v>37</v>
      </c>
      <c r="B32" t="s">
        <v>105</v>
      </c>
      <c r="C32" t="s">
        <v>106</v>
      </c>
      <c r="D32" s="18" t="s">
        <v>176</v>
      </c>
      <c r="E32" t="s">
        <v>16</v>
      </c>
      <c r="F32" s="1" cm="1">
        <f t="array" ref="F32">_xldudf_WISE(C32, "Market Cap", 2024)</f>
        <v>37172650120.019997</v>
      </c>
      <c r="G32" s="1" cm="1">
        <f t="array" ref="G32">_xldudf_WISE(C32, "Total Stockholders Equity", 2024) + _xldudf_WISE(C32, "Deferred Tax Liabilities Non Current", 2024) - _xldudf_WISE(C32, "Preferred Stock", 2024)</f>
        <v>86199000000</v>
      </c>
      <c r="H32" s="7">
        <f t="shared" si="0"/>
        <v>2.3188822890401344</v>
      </c>
      <c r="I32" s="7" cm="1">
        <f t="array" ref="I32">_xldudf_WISEPRICE(C32, "beta")</f>
        <v>1.151</v>
      </c>
    </row>
    <row r="33" spans="1:9">
      <c r="A33" t="s">
        <v>38</v>
      </c>
      <c r="B33" t="s">
        <v>107</v>
      </c>
      <c r="C33" t="s">
        <v>108</v>
      </c>
      <c r="D33" s="18" t="s">
        <v>176</v>
      </c>
      <c r="E33" t="s">
        <v>16</v>
      </c>
      <c r="F33" s="1" cm="1">
        <f t="array" ref="F33">_xldudf_WISE(C33, "Market Cap", 2024)</f>
        <v>22657950743.810001</v>
      </c>
      <c r="G33" s="1" cm="1">
        <f t="array" ref="G33">_xldudf_WISE(C33, "Total Stockholders Equity", 2024) + _xldudf_WISE(C33, "Deferred Tax Liabilities Non Current", 2024) - _xldudf_WISE(C33, "Preferred Stock", 2024)</f>
        <v>17496000000</v>
      </c>
      <c r="H33" s="7">
        <f t="shared" si="0"/>
        <v>0.77217927595591529</v>
      </c>
      <c r="I33" s="7" cm="1">
        <f t="array" ref="I33">_xldudf_WISEPRICE(C33, "beta")</f>
        <v>1.292</v>
      </c>
    </row>
    <row r="34" spans="1:9">
      <c r="A34" t="s">
        <v>39</v>
      </c>
      <c r="B34" t="s">
        <v>109</v>
      </c>
      <c r="C34" t="s">
        <v>110</v>
      </c>
      <c r="D34" s="18" t="s">
        <v>174</v>
      </c>
      <c r="E34" t="s">
        <v>16</v>
      </c>
      <c r="F34" s="1" cm="1">
        <f t="array" ref="F34">_xldudf_WISE(C34, "Market Cap", 2024)</f>
        <v>5238109463.6700001</v>
      </c>
      <c r="G34" s="1" cm="1">
        <f t="array" ref="G34">_xldudf_WISE(C34, "Total Stockholders Equity", 2024) + _xldudf_WISE(C34, "Deferred Tax Liabilities Non Current", 2024) - _xldudf_WISE(C34, "Preferred Stock", 2024)</f>
        <v>12018000000</v>
      </c>
      <c r="H34" s="7">
        <f t="shared" si="0"/>
        <v>2.2943392235983886</v>
      </c>
      <c r="I34" s="7" cm="1">
        <f t="array" ref="I34">_xldudf_WISEPRICE(C34, "beta")</f>
        <v>0.70499999999999996</v>
      </c>
    </row>
    <row r="35" spans="1:9">
      <c r="A35" t="s">
        <v>40</v>
      </c>
      <c r="B35" t="s">
        <v>111</v>
      </c>
      <c r="C35" t="s">
        <v>112</v>
      </c>
      <c r="D35" s="18" t="s">
        <v>176</v>
      </c>
      <c r="E35" t="s">
        <v>3</v>
      </c>
      <c r="F35" s="1" cm="1">
        <f t="array" ref="F35">_xldudf_WISE(C35, "Market Cap", 2024)</f>
        <v>21052233181.16</v>
      </c>
      <c r="G35" s="1" cm="1">
        <f t="array" ref="G35">_xldudf_WISE(C35, "Total Stockholders Equity", 2024) + _xldudf_WISE(C35, "Deferred Tax Liabilities Non Current", 2024) - _xldudf_WISE(C35, "Preferred Stock", 2024)</f>
        <v>16593257000</v>
      </c>
      <c r="H35" s="7">
        <f t="shared" si="0"/>
        <v>0.78819462321221045</v>
      </c>
      <c r="I35" s="7" cm="1">
        <f t="array" ref="I35">_xldudf_WISEPRICE(C35, "beta")</f>
        <v>0.55700000000000005</v>
      </c>
    </row>
    <row r="36" spans="1:9">
      <c r="A36" t="s">
        <v>41</v>
      </c>
      <c r="B36" t="s">
        <v>113</v>
      </c>
      <c r="C36" t="s">
        <v>114</v>
      </c>
      <c r="D36" s="18" t="s">
        <v>176</v>
      </c>
      <c r="E36" t="s">
        <v>3</v>
      </c>
      <c r="F36" s="1" cm="1">
        <f t="array" ref="F36">_xldudf_WISE(C36, "Market Cap", 2024)</f>
        <v>15316445203.98</v>
      </c>
      <c r="G36" s="1" cm="1">
        <f t="array" ref="G36">_xldudf_WISE(C36, "Total Stockholders Equity", 2024) + _xldudf_WISE(C36, "Deferred Tax Liabilities Non Current", 2024) - _xldudf_WISE(C36, "Preferred Stock", 2024)</f>
        <v>7548700000</v>
      </c>
      <c r="H36" s="7">
        <f t="shared" si="0"/>
        <v>0.49284934588075696</v>
      </c>
      <c r="I36" s="7" cm="1">
        <f t="array" ref="I36">_xldudf_WISEPRICE(C36, "beta")</f>
        <v>0.64</v>
      </c>
    </row>
    <row r="37" spans="1:9">
      <c r="A37" t="s">
        <v>42</v>
      </c>
      <c r="B37" t="s">
        <v>115</v>
      </c>
      <c r="C37" t="s">
        <v>116</v>
      </c>
      <c r="D37" s="18" t="s">
        <v>176</v>
      </c>
      <c r="E37" t="s">
        <v>7</v>
      </c>
      <c r="F37" s="1" cm="1">
        <f t="array" ref="F37">_xldudf_WISE(C37, "Market Cap", 2024)</f>
        <v>65239227180</v>
      </c>
      <c r="G37" s="1" cm="1">
        <f t="array" ref="G37">_xldudf_WISE(C37, "Total Stockholders Equity", 2024) + _xldudf_WISE(C37, "Deferred Tax Liabilities Non Current", 2024) - _xldudf_WISE(C37, "Preferred Stock", 2024)</f>
        <v>62441000000</v>
      </c>
      <c r="H37" s="7">
        <f t="shared" si="0"/>
        <v>0.95710821079655839</v>
      </c>
      <c r="I37" s="7" cm="1">
        <f t="array" ref="I37">_xldudf_WISEPRICE(C37, "beta")</f>
        <v>1.0840000000000001</v>
      </c>
    </row>
    <row r="38" spans="1:9">
      <c r="A38" t="s">
        <v>43</v>
      </c>
      <c r="B38" t="s">
        <v>117</v>
      </c>
      <c r="C38" t="s">
        <v>118</v>
      </c>
      <c r="D38" s="18" t="s">
        <v>175</v>
      </c>
      <c r="E38" t="s">
        <v>7</v>
      </c>
      <c r="F38" s="1" cm="1">
        <f t="array" ref="F38">_xldudf_WISE(C38, "Market Cap", 2024)</f>
        <v>8613480000</v>
      </c>
      <c r="G38" s="1" cm="1">
        <f t="array" ref="G38">_xldudf_WISE(C38, "Total Stockholders Equity", 2024) + _xldudf_WISE(C38, "Deferred Tax Liabilities Non Current", 2024) - _xldudf_WISE(C38, "Preferred Stock", 2024)</f>
        <v>9383000000</v>
      </c>
      <c r="H38" s="7">
        <f t="shared" si="0"/>
        <v>1.0893390360226065</v>
      </c>
      <c r="I38" s="7" cm="1">
        <f t="array" ref="I38">_xldudf_WISEPRICE(C38, "beta")</f>
        <v>0.89500000000000002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C6EA-B76D-40A4-8483-2A32B8A31D99}">
  <dimension ref="A2:AX92"/>
  <sheetViews>
    <sheetView topLeftCell="Y7" zoomScale="77" workbookViewId="0">
      <selection activeCell="AG3" sqref="AG3:AI40"/>
    </sheetView>
  </sheetViews>
  <sheetFormatPr defaultRowHeight="14.4"/>
  <cols>
    <col min="1" max="1" width="22.33203125" bestFit="1" customWidth="1"/>
    <col min="2" max="2" width="19.44140625" bestFit="1" customWidth="1"/>
    <col min="3" max="9" width="18.33203125" customWidth="1"/>
    <col min="10" max="12" width="18.88671875" customWidth="1"/>
    <col min="13" max="13" width="16.5546875" customWidth="1"/>
    <col min="14" max="16" width="17.109375" customWidth="1"/>
    <col min="17" max="22" width="16.5546875" customWidth="1"/>
    <col min="23" max="27" width="18.88671875" bestFit="1" customWidth="1"/>
    <col min="28" max="29" width="20.44140625" bestFit="1" customWidth="1"/>
    <col min="30" max="32" width="18.88671875" bestFit="1" customWidth="1"/>
    <col min="33" max="33" width="18.44140625" customWidth="1"/>
    <col min="34" max="38" width="18.88671875" customWidth="1"/>
    <col min="39" max="41" width="19.33203125" bestFit="1" customWidth="1"/>
    <col min="42" max="44" width="19.6640625" bestFit="1" customWidth="1"/>
    <col min="45" max="45" width="19.77734375" bestFit="1" customWidth="1"/>
    <col min="46" max="46" width="15.6640625" bestFit="1" customWidth="1"/>
    <col min="47" max="47" width="14.88671875" bestFit="1" customWidth="1"/>
    <col min="48" max="48" width="20.5546875" bestFit="1" customWidth="1"/>
    <col min="49" max="50" width="19.77734375" bestFit="1" customWidth="1"/>
  </cols>
  <sheetData>
    <row r="2" spans="1:50" ht="25.8" customHeight="1">
      <c r="A2" s="23" t="s">
        <v>0</v>
      </c>
      <c r="B2" s="23" t="s">
        <v>44</v>
      </c>
      <c r="C2" s="21" t="s">
        <v>119</v>
      </c>
      <c r="D2" s="21"/>
      <c r="E2" s="21"/>
      <c r="F2" s="21"/>
      <c r="G2" s="21"/>
      <c r="H2" s="21"/>
      <c r="I2" s="21"/>
      <c r="J2" s="21"/>
      <c r="K2" s="21"/>
      <c r="L2" s="21"/>
      <c r="M2" s="21" t="s">
        <v>141</v>
      </c>
      <c r="N2" s="21"/>
      <c r="O2" s="21"/>
      <c r="P2" s="21"/>
      <c r="Q2" s="21"/>
      <c r="R2" s="21"/>
      <c r="S2" s="21"/>
      <c r="T2" s="21"/>
      <c r="U2" s="21"/>
      <c r="V2" s="21"/>
      <c r="W2" s="21" t="s">
        <v>149</v>
      </c>
      <c r="X2" s="21"/>
      <c r="Y2" s="21"/>
      <c r="Z2" s="21"/>
      <c r="AA2" s="21"/>
      <c r="AB2" s="21"/>
      <c r="AC2" s="21"/>
      <c r="AD2" s="21"/>
      <c r="AE2" s="21"/>
      <c r="AF2" s="21"/>
      <c r="AG2" s="21" t="s">
        <v>145</v>
      </c>
      <c r="AH2" s="21"/>
      <c r="AI2" s="14"/>
      <c r="AJ2" s="21" t="s">
        <v>144</v>
      </c>
      <c r="AK2" s="21"/>
      <c r="AL2" s="14"/>
      <c r="AM2" s="21" t="s">
        <v>150</v>
      </c>
      <c r="AN2" s="21"/>
      <c r="AO2" s="14"/>
      <c r="AP2" s="22" t="s">
        <v>153</v>
      </c>
      <c r="AQ2" s="22"/>
      <c r="AS2" s="8" t="s">
        <v>154</v>
      </c>
      <c r="AT2" s="8"/>
      <c r="AV2" s="14" t="s">
        <v>146</v>
      </c>
      <c r="AW2" s="14"/>
    </row>
    <row r="3" spans="1:50">
      <c r="A3" s="23"/>
      <c r="B3" s="23"/>
      <c r="C3">
        <v>2015</v>
      </c>
      <c r="D3">
        <f t="shared" ref="D3:L3" si="0">C3+1</f>
        <v>2016</v>
      </c>
      <c r="E3">
        <f t="shared" si="0"/>
        <v>2017</v>
      </c>
      <c r="F3">
        <f t="shared" si="0"/>
        <v>2018</v>
      </c>
      <c r="G3">
        <f t="shared" si="0"/>
        <v>2019</v>
      </c>
      <c r="H3">
        <f t="shared" si="0"/>
        <v>2020</v>
      </c>
      <c r="I3">
        <f t="shared" si="0"/>
        <v>2021</v>
      </c>
      <c r="J3">
        <f t="shared" si="0"/>
        <v>2022</v>
      </c>
      <c r="K3">
        <f t="shared" si="0"/>
        <v>2023</v>
      </c>
      <c r="L3">
        <f t="shared" si="0"/>
        <v>2024</v>
      </c>
      <c r="M3">
        <v>2015</v>
      </c>
      <c r="N3">
        <f t="shared" ref="N3:V3" si="1">M3+1</f>
        <v>2016</v>
      </c>
      <c r="O3">
        <f t="shared" si="1"/>
        <v>2017</v>
      </c>
      <c r="P3">
        <f t="shared" si="1"/>
        <v>2018</v>
      </c>
      <c r="Q3">
        <f t="shared" si="1"/>
        <v>2019</v>
      </c>
      <c r="R3">
        <f t="shared" si="1"/>
        <v>2020</v>
      </c>
      <c r="S3">
        <f t="shared" si="1"/>
        <v>2021</v>
      </c>
      <c r="T3">
        <f t="shared" si="1"/>
        <v>2022</v>
      </c>
      <c r="U3">
        <f t="shared" si="1"/>
        <v>2023</v>
      </c>
      <c r="V3">
        <f t="shared" si="1"/>
        <v>2024</v>
      </c>
      <c r="W3">
        <v>2015</v>
      </c>
      <c r="X3">
        <f t="shared" ref="X3:AF3" si="2">W3+1</f>
        <v>2016</v>
      </c>
      <c r="Y3">
        <f t="shared" si="2"/>
        <v>2017</v>
      </c>
      <c r="Z3">
        <f t="shared" si="2"/>
        <v>2018</v>
      </c>
      <c r="AA3">
        <f t="shared" si="2"/>
        <v>2019</v>
      </c>
      <c r="AB3">
        <f t="shared" si="2"/>
        <v>2020</v>
      </c>
      <c r="AC3">
        <f t="shared" si="2"/>
        <v>2021</v>
      </c>
      <c r="AD3">
        <f t="shared" si="2"/>
        <v>2022</v>
      </c>
      <c r="AE3">
        <f t="shared" si="2"/>
        <v>2023</v>
      </c>
      <c r="AF3">
        <f t="shared" si="2"/>
        <v>2024</v>
      </c>
      <c r="AG3" t="s">
        <v>180</v>
      </c>
      <c r="AH3" t="s">
        <v>181</v>
      </c>
      <c r="AI3" t="s">
        <v>182</v>
      </c>
      <c r="AJ3" t="s">
        <v>136</v>
      </c>
      <c r="AK3" t="s">
        <v>142</v>
      </c>
      <c r="AL3" t="s">
        <v>166</v>
      </c>
      <c r="AM3" t="s">
        <v>151</v>
      </c>
      <c r="AN3" t="s">
        <v>152</v>
      </c>
      <c r="AO3" t="s">
        <v>166</v>
      </c>
      <c r="AP3" t="s">
        <v>168</v>
      </c>
      <c r="AQ3" t="s">
        <v>169</v>
      </c>
      <c r="AR3" t="s">
        <v>167</v>
      </c>
      <c r="AS3" t="s">
        <v>160</v>
      </c>
      <c r="AT3" t="s">
        <v>161</v>
      </c>
      <c r="AU3" t="s">
        <v>170</v>
      </c>
      <c r="AV3" t="s">
        <v>164</v>
      </c>
      <c r="AW3" t="s">
        <v>165</v>
      </c>
      <c r="AX3" t="s">
        <v>171</v>
      </c>
    </row>
    <row r="4" spans="1:50">
      <c r="A4" t="s">
        <v>2</v>
      </c>
      <c r="B4" t="s">
        <v>46</v>
      </c>
      <c r="C4" s="3">
        <v>3894908535.6700001</v>
      </c>
      <c r="D4" s="3">
        <v>3824296142.8800001</v>
      </c>
      <c r="E4" s="3">
        <v>4725959461.1199999</v>
      </c>
      <c r="F4" s="3">
        <v>4974694169.6000004</v>
      </c>
      <c r="G4" s="3">
        <v>5192337039.5200005</v>
      </c>
      <c r="H4" s="3">
        <v>4041939012.8000002</v>
      </c>
      <c r="I4" s="3">
        <v>5286740396.4399996</v>
      </c>
      <c r="J4" s="3">
        <v>3842107846.25</v>
      </c>
      <c r="K4" s="3">
        <v>5827203815.2200003</v>
      </c>
      <c r="L4" s="3">
        <v>6735315446.8500004</v>
      </c>
      <c r="M4" s="15">
        <v>3432000000</v>
      </c>
      <c r="N4" s="15">
        <v>3429000000</v>
      </c>
      <c r="O4" s="15">
        <v>3543000000</v>
      </c>
      <c r="P4" s="15">
        <v>3805000000</v>
      </c>
      <c r="Q4" s="15">
        <v>3893000000</v>
      </c>
      <c r="R4" s="15">
        <v>4603000000</v>
      </c>
      <c r="S4" s="15">
        <v>4880000000</v>
      </c>
      <c r="T4" s="15">
        <v>4347000000</v>
      </c>
      <c r="U4" s="15">
        <v>4240000000</v>
      </c>
      <c r="V4" s="15">
        <v>5445000000</v>
      </c>
      <c r="W4" s="3">
        <v>9801000000</v>
      </c>
      <c r="X4" s="3">
        <v>10379000000</v>
      </c>
      <c r="Y4" s="3">
        <v>9949000000</v>
      </c>
      <c r="Z4" s="3">
        <v>10333000000</v>
      </c>
      <c r="AA4" s="3">
        <v>10725000000</v>
      </c>
      <c r="AB4" s="3">
        <v>12226000000</v>
      </c>
      <c r="AC4" s="3">
        <v>18008000000</v>
      </c>
      <c r="AD4" s="3">
        <v>21367000000</v>
      </c>
      <c r="AE4" s="3">
        <v>18798000000</v>
      </c>
      <c r="AF4" s="3">
        <v>19894000000</v>
      </c>
      <c r="AG4" s="13">
        <f t="shared" ref="AG4:AG40" si="3">AVERAGE(C4:G4)</f>
        <v>4522439069.7580004</v>
      </c>
      <c r="AH4" s="13">
        <f t="shared" ref="AH4:AH40" si="4">AVERAGE(H4:L4)</f>
        <v>5146661303.5119991</v>
      </c>
      <c r="AI4" s="13">
        <f t="shared" ref="AI4:AI40" si="5">AVERAGE(C4:L4)</f>
        <v>4834550186.6350002</v>
      </c>
      <c r="AJ4" s="13">
        <f t="shared" ref="AJ4:AJ40" si="6">AVERAGE(M4:Q4)</f>
        <v>3620400000</v>
      </c>
      <c r="AK4" s="13">
        <f t="shared" ref="AK4:AK40" si="7">AVERAGE(R4:V4)</f>
        <v>4703000000</v>
      </c>
      <c r="AL4" s="13">
        <f>AVERAGE(M4:V4)</f>
        <v>4161700000</v>
      </c>
      <c r="AM4" s="15">
        <f>AVERAGE(W4:AA4)</f>
        <v>10237400000</v>
      </c>
      <c r="AN4" s="15">
        <f>AVERAGE(AB4:AF4)</f>
        <v>18058600000</v>
      </c>
      <c r="AO4" s="15">
        <f>AVERAGE(W4:AF4)</f>
        <v>14148000000</v>
      </c>
      <c r="AP4" s="13">
        <f t="shared" ref="AP4:AP40" si="8">AM4/AG4</f>
        <v>2.2636899783699711</v>
      </c>
      <c r="AQ4" s="13">
        <f t="shared" ref="AQ4:AQ40" si="9">AN4/AH4</f>
        <v>3.5087989931797341</v>
      </c>
      <c r="AR4" s="13">
        <f>AO4/AI4</f>
        <v>2.9264356463010377</v>
      </c>
      <c r="AS4" s="13">
        <f>AM4/AJ4</f>
        <v>2.8276985968401283</v>
      </c>
      <c r="AT4" s="13">
        <f>AN4/AK4</f>
        <v>3.8398043801828621</v>
      </c>
      <c r="AU4" s="13">
        <f>AO4/AL4</f>
        <v>3.3995722901698824</v>
      </c>
      <c r="AV4" s="11">
        <f t="shared" ref="AV4:AV40" si="10">AJ4/AG4</f>
        <v>0.8005414653809213</v>
      </c>
      <c r="AW4" s="11">
        <f t="shared" ref="AW4:AW40" si="11">AK4/AH4</f>
        <v>0.91379628902153487</v>
      </c>
      <c r="AX4" s="11">
        <f>AL4/AH4</f>
        <v>0.80862130895618145</v>
      </c>
    </row>
    <row r="5" spans="1:50">
      <c r="A5" t="s">
        <v>4</v>
      </c>
      <c r="B5" t="s">
        <v>48</v>
      </c>
      <c r="C5" s="3">
        <v>1743293368.25</v>
      </c>
      <c r="D5" s="3">
        <v>1984867321.8</v>
      </c>
      <c r="E5" s="3">
        <v>2830718304.48</v>
      </c>
      <c r="F5" s="3">
        <v>3056839956.04</v>
      </c>
      <c r="G5" s="3">
        <v>5688584319.3199997</v>
      </c>
      <c r="H5" s="3">
        <v>7618072720.8400002</v>
      </c>
      <c r="I5" s="3">
        <v>10667895336.15</v>
      </c>
      <c r="J5" s="3">
        <v>6241787506.7600002</v>
      </c>
      <c r="K5" s="3">
        <v>7066028158.4399996</v>
      </c>
      <c r="L5" s="3">
        <v>5610931200</v>
      </c>
      <c r="M5" s="15">
        <v>555166000</v>
      </c>
      <c r="N5" s="15">
        <v>619776000</v>
      </c>
      <c r="O5" s="15">
        <v>634392001</v>
      </c>
      <c r="P5" s="15">
        <v>635618000</v>
      </c>
      <c r="Q5" s="15">
        <v>772473000</v>
      </c>
      <c r="R5" s="15">
        <v>855471000</v>
      </c>
      <c r="S5" s="15">
        <v>1025097000</v>
      </c>
      <c r="T5" s="15">
        <v>1145192000</v>
      </c>
      <c r="U5" s="15">
        <v>1199370000</v>
      </c>
      <c r="V5" s="15">
        <v>1249495000</v>
      </c>
      <c r="W5" s="3">
        <v>1286985000</v>
      </c>
      <c r="X5" s="3">
        <v>1405963000</v>
      </c>
      <c r="Y5" s="3">
        <v>1465419000</v>
      </c>
      <c r="Z5" s="3">
        <v>2218434000</v>
      </c>
      <c r="AA5" s="3">
        <v>2851338000</v>
      </c>
      <c r="AB5" s="3">
        <v>3228472000</v>
      </c>
      <c r="AC5" s="3">
        <v>3515291000</v>
      </c>
      <c r="AD5" s="3">
        <v>3575465000</v>
      </c>
      <c r="AE5" s="3">
        <v>3693215000</v>
      </c>
      <c r="AF5" s="3">
        <v>3992762000</v>
      </c>
      <c r="AG5" s="13">
        <f t="shared" si="3"/>
        <v>3060860653.9779997</v>
      </c>
      <c r="AH5" s="13">
        <f t="shared" si="4"/>
        <v>7440942984.4380007</v>
      </c>
      <c r="AI5" s="13">
        <f t="shared" si="5"/>
        <v>5250901819.2080002</v>
      </c>
      <c r="AJ5" s="13">
        <f t="shared" si="6"/>
        <v>643485000.20000005</v>
      </c>
      <c r="AK5" s="13">
        <f t="shared" si="7"/>
        <v>1094925000</v>
      </c>
      <c r="AL5" s="13">
        <f t="shared" ref="AL5:AL40" si="12">AVERAGE(M5:V5)</f>
        <v>869205000.10000002</v>
      </c>
      <c r="AM5" s="15">
        <f t="shared" ref="AM5:AM40" si="13">AVERAGE(W5:AA5)</f>
        <v>1845627800</v>
      </c>
      <c r="AN5" s="15">
        <f t="shared" ref="AN5:AN40" si="14">AVERAGE(AB5:AF5)</f>
        <v>3601041000</v>
      </c>
      <c r="AO5" s="15">
        <f t="shared" ref="AO5:AO40" si="15">AVERAGE(W5:AF5)</f>
        <v>2723334400</v>
      </c>
      <c r="AP5" s="13">
        <f t="shared" si="8"/>
        <v>0.60297674694905135</v>
      </c>
      <c r="AQ5" s="13">
        <f t="shared" si="9"/>
        <v>0.48394954880466395</v>
      </c>
      <c r="AR5" s="13">
        <f t="shared" ref="AR5:AR41" si="16">AO5/AI5</f>
        <v>0.51864127225497503</v>
      </c>
      <c r="AS5" s="13">
        <f t="shared" ref="AS5:AS40" si="17">AM5/AJ5</f>
        <v>2.8681753256507374</v>
      </c>
      <c r="AT5" s="13">
        <f t="shared" ref="AT5:AT40" si="18">AN5/AK5</f>
        <v>3.2888471813137885</v>
      </c>
      <c r="AU5" s="13">
        <f t="shared" ref="AU5:AU41" si="19">AO5/AL5</f>
        <v>3.1331324597611458</v>
      </c>
      <c r="AV5" s="11">
        <f t="shared" si="10"/>
        <v>0.21023008654892697</v>
      </c>
      <c r="AW5" s="11">
        <f t="shared" si="11"/>
        <v>0.14714868831678024</v>
      </c>
      <c r="AX5" s="11">
        <f t="shared" ref="AX5:AX41" si="20">AL5/AH5</f>
        <v>0.11681382345192762</v>
      </c>
    </row>
    <row r="6" spans="1:50">
      <c r="A6" t="s">
        <v>6</v>
      </c>
      <c r="B6" t="s">
        <v>50</v>
      </c>
      <c r="C6" s="3">
        <v>3063946716.6599998</v>
      </c>
      <c r="D6" s="3">
        <v>2078386317.28</v>
      </c>
      <c r="E6" s="3">
        <v>1955950306.04</v>
      </c>
      <c r="F6" s="3">
        <v>1274979810.52</v>
      </c>
      <c r="G6" s="3">
        <v>2939525905.7399998</v>
      </c>
      <c r="H6" s="3">
        <v>2428104228.48</v>
      </c>
      <c r="I6" s="3">
        <v>3385628985</v>
      </c>
      <c r="J6" s="3">
        <v>2872235639.54</v>
      </c>
      <c r="K6" s="3">
        <v>3242644849.6199999</v>
      </c>
      <c r="L6" s="3">
        <v>3371267895.5100002</v>
      </c>
      <c r="M6" s="15">
        <v>775303000</v>
      </c>
      <c r="N6" s="15">
        <v>512365000</v>
      </c>
      <c r="O6" s="15">
        <v>654285000</v>
      </c>
      <c r="P6" s="15">
        <v>149696001</v>
      </c>
      <c r="Q6" s="15">
        <v>700125000</v>
      </c>
      <c r="R6" s="15">
        <v>802556000</v>
      </c>
      <c r="S6" s="15">
        <v>1152812000</v>
      </c>
      <c r="T6" s="15">
        <v>1390614000</v>
      </c>
      <c r="U6" s="15">
        <v>1627500000</v>
      </c>
      <c r="V6" s="15">
        <v>1992495000</v>
      </c>
      <c r="W6" s="3">
        <v>6946241000</v>
      </c>
      <c r="X6" s="3">
        <v>7727276000</v>
      </c>
      <c r="Y6" s="3">
        <v>8106607000</v>
      </c>
      <c r="Z6" s="3">
        <v>7085877000</v>
      </c>
      <c r="AA6" s="3">
        <v>8253660000</v>
      </c>
      <c r="AB6" s="3">
        <v>8473501000</v>
      </c>
      <c r="AC6" s="3">
        <v>9922499000</v>
      </c>
      <c r="AD6" s="3">
        <v>9506645000</v>
      </c>
      <c r="AE6" s="3">
        <v>9958322000</v>
      </c>
      <c r="AF6" s="3">
        <v>10233252000</v>
      </c>
      <c r="AG6" s="13">
        <f t="shared" si="3"/>
        <v>2262557811.2480001</v>
      </c>
      <c r="AH6" s="13">
        <f t="shared" si="4"/>
        <v>3059976319.6300001</v>
      </c>
      <c r="AI6" s="13">
        <f t="shared" si="5"/>
        <v>2661267065.4390001</v>
      </c>
      <c r="AJ6" s="13">
        <f t="shared" si="6"/>
        <v>558354800.20000005</v>
      </c>
      <c r="AK6" s="13">
        <f t="shared" si="7"/>
        <v>1393195400</v>
      </c>
      <c r="AL6" s="13">
        <f t="shared" si="12"/>
        <v>975775100.10000002</v>
      </c>
      <c r="AM6" s="15">
        <f t="shared" si="13"/>
        <v>7623932200</v>
      </c>
      <c r="AN6" s="15">
        <f t="shared" si="14"/>
        <v>9618843800</v>
      </c>
      <c r="AO6" s="15">
        <f t="shared" si="15"/>
        <v>8621388000</v>
      </c>
      <c r="AP6" s="13">
        <f t="shared" si="8"/>
        <v>3.36960769006593</v>
      </c>
      <c r="AQ6" s="13">
        <f t="shared" si="9"/>
        <v>3.1434373326010157</v>
      </c>
      <c r="AR6" s="13">
        <f t="shared" si="16"/>
        <v>3.2395801653893099</v>
      </c>
      <c r="AS6" s="13">
        <f t="shared" si="17"/>
        <v>13.65427895895073</v>
      </c>
      <c r="AT6" s="13">
        <f t="shared" si="18"/>
        <v>6.9041598902781329</v>
      </c>
      <c r="AU6" s="13">
        <f t="shared" si="19"/>
        <v>8.8354252933042225</v>
      </c>
      <c r="AV6" s="11">
        <f t="shared" si="10"/>
        <v>0.24678034630726989</v>
      </c>
      <c r="AW6" s="11">
        <f t="shared" si="11"/>
        <v>0.45529613777156924</v>
      </c>
      <c r="AX6" s="11">
        <f t="shared" si="20"/>
        <v>0.31888321940281772</v>
      </c>
    </row>
    <row r="7" spans="1:50">
      <c r="A7" t="s">
        <v>8</v>
      </c>
      <c r="B7" t="s">
        <v>52</v>
      </c>
      <c r="C7" s="3">
        <v>5394191018.6800003</v>
      </c>
      <c r="D7" s="3">
        <v>5034030415.79</v>
      </c>
      <c r="E7" s="3">
        <v>5209930888.6800003</v>
      </c>
      <c r="F7" s="3">
        <v>3702538259.6500001</v>
      </c>
      <c r="G7" s="3">
        <v>6494923144.5799999</v>
      </c>
      <c r="H7" s="3">
        <v>5213973189.1000004</v>
      </c>
      <c r="I7" s="3">
        <v>6386013196.0799999</v>
      </c>
      <c r="J7" s="3">
        <v>5750567269.1999998</v>
      </c>
      <c r="K7" s="3">
        <v>6347257676.7600002</v>
      </c>
      <c r="L7" s="3">
        <v>8471898720</v>
      </c>
      <c r="M7" s="15">
        <v>2185139000</v>
      </c>
      <c r="N7" s="15">
        <v>22834146000</v>
      </c>
      <c r="O7" s="15">
        <v>23622355000</v>
      </c>
      <c r="P7" s="15">
        <v>28459627000</v>
      </c>
      <c r="Q7" s="15">
        <v>2286889000</v>
      </c>
      <c r="R7" s="15">
        <v>2772001000</v>
      </c>
      <c r="S7" s="15">
        <v>2369701000</v>
      </c>
      <c r="T7" s="15">
        <v>2629144000</v>
      </c>
      <c r="U7" s="15">
        <v>3356420999</v>
      </c>
      <c r="V7" s="15">
        <v>4025720000</v>
      </c>
      <c r="W7" s="3">
        <v>44710171000</v>
      </c>
      <c r="X7" s="3">
        <v>41971360000</v>
      </c>
      <c r="Y7" s="3">
        <v>43266786000</v>
      </c>
      <c r="Z7" s="3">
        <v>47374365000</v>
      </c>
      <c r="AA7" s="3">
        <v>53437634000</v>
      </c>
      <c r="AB7" s="3">
        <v>59029046000</v>
      </c>
      <c r="AC7" s="3">
        <v>73522370000</v>
      </c>
      <c r="AD7" s="3">
        <v>73598890000</v>
      </c>
      <c r="AE7" s="3">
        <v>77830851000</v>
      </c>
      <c r="AF7" s="3">
        <v>86154272000</v>
      </c>
      <c r="AG7" s="13">
        <f t="shared" si="3"/>
        <v>5167122745.4760008</v>
      </c>
      <c r="AH7" s="13">
        <f t="shared" si="4"/>
        <v>6433942010.2279997</v>
      </c>
      <c r="AI7" s="13">
        <f t="shared" si="5"/>
        <v>5800532377.8520002</v>
      </c>
      <c r="AJ7" s="13">
        <f t="shared" si="6"/>
        <v>15877631200</v>
      </c>
      <c r="AK7" s="13">
        <f t="shared" si="7"/>
        <v>3030597399.8000002</v>
      </c>
      <c r="AL7" s="13">
        <f t="shared" si="12"/>
        <v>9454114299.8999996</v>
      </c>
      <c r="AM7" s="15">
        <f t="shared" si="13"/>
        <v>46152063200</v>
      </c>
      <c r="AN7" s="15">
        <f t="shared" si="14"/>
        <v>74027085800</v>
      </c>
      <c r="AO7" s="15">
        <f t="shared" si="15"/>
        <v>60089574500</v>
      </c>
      <c r="AP7" s="13">
        <f t="shared" si="8"/>
        <v>8.9318689478409947</v>
      </c>
      <c r="AQ7" s="13">
        <f t="shared" si="9"/>
        <v>11.505712311724224</v>
      </c>
      <c r="AR7" s="13">
        <f t="shared" si="16"/>
        <v>10.359320590888904</v>
      </c>
      <c r="AS7" s="13">
        <f t="shared" si="17"/>
        <v>2.9067348031109326</v>
      </c>
      <c r="AT7" s="13">
        <f t="shared" si="18"/>
        <v>24.426565470189246</v>
      </c>
      <c r="AU7" s="13">
        <f t="shared" si="19"/>
        <v>6.3559179203741589</v>
      </c>
      <c r="AV7" s="11">
        <f t="shared" si="10"/>
        <v>3.0728186617787294</v>
      </c>
      <c r="AW7" s="11">
        <f t="shared" si="11"/>
        <v>0.47103275021476371</v>
      </c>
      <c r="AX7" s="11">
        <f t="shared" si="20"/>
        <v>1.4694124200794552</v>
      </c>
    </row>
    <row r="8" spans="1:50">
      <c r="A8" t="s">
        <v>9</v>
      </c>
      <c r="B8" t="s">
        <v>54</v>
      </c>
      <c r="C8" s="3">
        <v>10276728000</v>
      </c>
      <c r="D8" s="3">
        <v>2121873624</v>
      </c>
      <c r="E8" s="3">
        <v>8957364905</v>
      </c>
      <c r="F8" s="3">
        <v>8106409863</v>
      </c>
      <c r="G8" s="3">
        <v>7407033484.75</v>
      </c>
      <c r="H8" s="3">
        <v>5467516298.0600004</v>
      </c>
      <c r="I8" s="3">
        <v>4221126985.6300001</v>
      </c>
      <c r="J8" s="3">
        <v>1938410585.0999999</v>
      </c>
      <c r="K8" s="3">
        <v>3841614488.6999998</v>
      </c>
      <c r="L8" s="3">
        <v>8576467399.1700001</v>
      </c>
      <c r="M8" s="15">
        <v>9883963000</v>
      </c>
      <c r="N8" s="15">
        <v>6744401000</v>
      </c>
      <c r="O8" s="15">
        <v>10660938000</v>
      </c>
      <c r="P8" s="15">
        <v>8171404000</v>
      </c>
      <c r="Q8" s="15">
        <v>6609543000</v>
      </c>
      <c r="R8" s="15">
        <v>2758460000</v>
      </c>
      <c r="S8" s="15">
        <v>3294734001</v>
      </c>
      <c r="T8" s="15">
        <v>7907514000</v>
      </c>
      <c r="U8" s="15">
        <v>9978458000</v>
      </c>
      <c r="V8" s="15">
        <v>11648948000</v>
      </c>
      <c r="W8" s="3">
        <v>169011977000</v>
      </c>
      <c r="X8" s="3">
        <v>153178466000</v>
      </c>
      <c r="Y8" s="3">
        <v>139154192000</v>
      </c>
      <c r="Z8" s="3">
        <v>130481006000</v>
      </c>
      <c r="AA8" s="3">
        <v>132196007000</v>
      </c>
      <c r="AB8" s="3">
        <v>150356103000</v>
      </c>
      <c r="AC8" s="3">
        <v>137868562000</v>
      </c>
      <c r="AD8" s="3">
        <v>120172918000</v>
      </c>
      <c r="AE8" s="3">
        <v>122704556000</v>
      </c>
      <c r="AF8" s="3">
        <v>122601750000</v>
      </c>
      <c r="AG8" s="13">
        <f t="shared" si="3"/>
        <v>7373881975.3500004</v>
      </c>
      <c r="AH8" s="13">
        <f t="shared" si="4"/>
        <v>4809027151.3320007</v>
      </c>
      <c r="AI8" s="13">
        <f t="shared" si="5"/>
        <v>6091454563.3409986</v>
      </c>
      <c r="AJ8" s="13">
        <f t="shared" si="6"/>
        <v>8414049800</v>
      </c>
      <c r="AK8" s="13">
        <f t="shared" si="7"/>
        <v>7117622800.1999998</v>
      </c>
      <c r="AL8" s="13">
        <f t="shared" si="12"/>
        <v>7765836300.1000004</v>
      </c>
      <c r="AM8" s="15">
        <f t="shared" si="13"/>
        <v>144804329600</v>
      </c>
      <c r="AN8" s="15">
        <f t="shared" si="14"/>
        <v>130740777800</v>
      </c>
      <c r="AO8" s="15">
        <f t="shared" si="15"/>
        <v>137772553700</v>
      </c>
      <c r="AP8" s="13">
        <f t="shared" si="8"/>
        <v>19.637462341282845</v>
      </c>
      <c r="AQ8" s="13">
        <f t="shared" si="9"/>
        <v>27.186533509961055</v>
      </c>
      <c r="AR8" s="13">
        <f t="shared" si="16"/>
        <v>22.617348987404327</v>
      </c>
      <c r="AS8" s="13">
        <f t="shared" si="17"/>
        <v>17.209825594329143</v>
      </c>
      <c r="AT8" s="13">
        <f t="shared" si="18"/>
        <v>18.368601634288105</v>
      </c>
      <c r="AU8" s="13">
        <f t="shared" si="19"/>
        <v>17.740852160149952</v>
      </c>
      <c r="AV8" s="11">
        <f t="shared" si="10"/>
        <v>1.1410610894135755</v>
      </c>
      <c r="AW8" s="11">
        <f t="shared" si="11"/>
        <v>1.4800546090135021</v>
      </c>
      <c r="AX8" s="11">
        <f t="shared" si="20"/>
        <v>1.6148455926161749</v>
      </c>
    </row>
    <row r="9" spans="1:50">
      <c r="A9" t="s">
        <v>10</v>
      </c>
      <c r="B9" t="s">
        <v>56</v>
      </c>
      <c r="C9" s="3">
        <v>4636209199.5</v>
      </c>
      <c r="D9" s="3">
        <v>1871110328.3399999</v>
      </c>
      <c r="E9" s="3">
        <v>3998380475.7600002</v>
      </c>
      <c r="F9" s="3">
        <v>3006800135.5799999</v>
      </c>
      <c r="G9" s="3">
        <v>3068018624.7199998</v>
      </c>
      <c r="H9" s="3">
        <v>2732203595.6900001</v>
      </c>
      <c r="I9" s="3">
        <v>3988573464.48</v>
      </c>
      <c r="J9" s="3">
        <v>5024271432.6000004</v>
      </c>
      <c r="K9" s="3">
        <v>7207678698.9399996</v>
      </c>
      <c r="L9" s="3">
        <v>11754058840.92</v>
      </c>
      <c r="M9" s="15">
        <v>8828029000</v>
      </c>
      <c r="N9" s="15">
        <v>7840871999</v>
      </c>
      <c r="O9" s="15">
        <v>12555231000</v>
      </c>
      <c r="P9" s="15">
        <v>10753696000</v>
      </c>
      <c r="Q9" s="15">
        <v>12471040000</v>
      </c>
      <c r="R9" s="15">
        <v>12684105000</v>
      </c>
      <c r="S9" s="15">
        <v>13388873000</v>
      </c>
      <c r="T9" s="15">
        <v>13047924000</v>
      </c>
      <c r="U9" s="15">
        <v>14038092000</v>
      </c>
      <c r="V9" s="15">
        <v>14603943000</v>
      </c>
      <c r="W9" s="3">
        <v>120509595000</v>
      </c>
      <c r="X9" s="3">
        <v>117411003000</v>
      </c>
      <c r="Y9" s="3">
        <v>161206765000</v>
      </c>
      <c r="Z9" s="3">
        <v>160464791000</v>
      </c>
      <c r="AA9" s="3">
        <v>167038201000</v>
      </c>
      <c r="AB9" s="3">
        <v>183685182000</v>
      </c>
      <c r="AC9" s="3">
        <v>200489216000</v>
      </c>
      <c r="AD9" s="3">
        <v>189685895000</v>
      </c>
      <c r="AE9" s="3">
        <v>202131973000</v>
      </c>
      <c r="AF9" s="3">
        <v>198209087000</v>
      </c>
      <c r="AG9" s="13">
        <f t="shared" si="3"/>
        <v>3316103752.7799997</v>
      </c>
      <c r="AH9" s="13">
        <f t="shared" si="4"/>
        <v>6141357206.5259991</v>
      </c>
      <c r="AI9" s="13">
        <f t="shared" si="5"/>
        <v>4728730479.6529999</v>
      </c>
      <c r="AJ9" s="13">
        <f t="shared" si="6"/>
        <v>10489773599.799999</v>
      </c>
      <c r="AK9" s="13">
        <f t="shared" si="7"/>
        <v>13552587400</v>
      </c>
      <c r="AL9" s="13">
        <f t="shared" si="12"/>
        <v>12021180499.9</v>
      </c>
      <c r="AM9" s="15">
        <f t="shared" si="13"/>
        <v>145326071000</v>
      </c>
      <c r="AN9" s="15">
        <f t="shared" si="14"/>
        <v>194840270600</v>
      </c>
      <c r="AO9" s="15">
        <f t="shared" si="15"/>
        <v>170083170800</v>
      </c>
      <c r="AP9" s="13">
        <f t="shared" si="8"/>
        <v>43.824343818605897</v>
      </c>
      <c r="AQ9" s="13">
        <f t="shared" si="9"/>
        <v>31.725930286705456</v>
      </c>
      <c r="AR9" s="13">
        <f t="shared" si="16"/>
        <v>35.968040794847944</v>
      </c>
      <c r="AS9" s="13">
        <f t="shared" si="17"/>
        <v>13.854071264490477</v>
      </c>
      <c r="AT9" s="13">
        <f t="shared" si="18"/>
        <v>14.376610520881053</v>
      </c>
      <c r="AU9" s="13">
        <f t="shared" si="19"/>
        <v>14.148624654742925</v>
      </c>
      <c r="AV9" s="11">
        <f t="shared" si="10"/>
        <v>3.163282690116699</v>
      </c>
      <c r="AW9" s="11">
        <f t="shared" si="11"/>
        <v>2.2067739986852737</v>
      </c>
      <c r="AX9" s="11">
        <f t="shared" si="20"/>
        <v>1.9574143134234101</v>
      </c>
    </row>
    <row r="10" spans="1:50">
      <c r="A10" t="s">
        <v>11</v>
      </c>
      <c r="B10" t="s">
        <v>58</v>
      </c>
      <c r="C10" s="3">
        <v>1867302946.0999999</v>
      </c>
      <c r="D10" s="3">
        <v>1407645463.05</v>
      </c>
      <c r="E10" s="3">
        <v>1389635875.3199999</v>
      </c>
      <c r="F10" s="3">
        <v>1173810377.97</v>
      </c>
      <c r="G10" s="3">
        <v>956643989.47000003</v>
      </c>
      <c r="H10" s="3">
        <v>989418709.39999998</v>
      </c>
      <c r="I10" s="3">
        <v>1663887798.5</v>
      </c>
      <c r="J10" s="3">
        <v>1700032543.02</v>
      </c>
      <c r="K10" s="3">
        <v>2656840653.2199998</v>
      </c>
      <c r="L10" s="3">
        <v>3660864064</v>
      </c>
      <c r="M10" s="15">
        <v>2626978000</v>
      </c>
      <c r="N10" s="15">
        <v>2630429000</v>
      </c>
      <c r="O10" s="15">
        <v>2715070000</v>
      </c>
      <c r="P10" s="15">
        <v>2676337000</v>
      </c>
      <c r="Q10" s="15">
        <v>2870987000</v>
      </c>
      <c r="R10" s="15">
        <v>3031404000</v>
      </c>
      <c r="S10" s="15">
        <v>3306108000</v>
      </c>
      <c r="T10" s="15">
        <v>3416635000</v>
      </c>
      <c r="U10" s="15">
        <v>3809274000</v>
      </c>
      <c r="V10" s="15">
        <v>4156325000</v>
      </c>
      <c r="W10" s="3">
        <v>35537648000</v>
      </c>
      <c r="X10" s="3">
        <v>37196325000</v>
      </c>
      <c r="Y10" s="3">
        <v>41624654000</v>
      </c>
      <c r="Z10" s="3">
        <v>41128185000</v>
      </c>
      <c r="AA10" s="3">
        <v>41146189000</v>
      </c>
      <c r="AB10" s="3">
        <v>49807597000</v>
      </c>
      <c r="AC10" s="3">
        <v>55016149000</v>
      </c>
      <c r="AD10" s="3">
        <v>57854361000</v>
      </c>
      <c r="AE10" s="3">
        <v>57721765000</v>
      </c>
      <c r="AF10" s="3">
        <v>56628582000</v>
      </c>
      <c r="AG10" s="13">
        <f t="shared" si="3"/>
        <v>1359007730.382</v>
      </c>
      <c r="AH10" s="13">
        <f t="shared" si="4"/>
        <v>2134208753.6279998</v>
      </c>
      <c r="AI10" s="13">
        <f t="shared" si="5"/>
        <v>1746608242.0049999</v>
      </c>
      <c r="AJ10" s="13">
        <f t="shared" si="6"/>
        <v>2703960200</v>
      </c>
      <c r="AK10" s="13">
        <f t="shared" si="7"/>
        <v>3543949200</v>
      </c>
      <c r="AL10" s="13">
        <f t="shared" si="12"/>
        <v>3123954700</v>
      </c>
      <c r="AM10" s="15">
        <f t="shared" si="13"/>
        <v>39326600200</v>
      </c>
      <c r="AN10" s="15">
        <f t="shared" si="14"/>
        <v>55405690800</v>
      </c>
      <c r="AO10" s="15">
        <f t="shared" si="15"/>
        <v>47366145500</v>
      </c>
      <c r="AP10" s="13">
        <f t="shared" si="8"/>
        <v>28.937731052453827</v>
      </c>
      <c r="AQ10" s="13">
        <f t="shared" si="9"/>
        <v>25.960764478083203</v>
      </c>
      <c r="AR10" s="13">
        <f t="shared" si="16"/>
        <v>27.118929340231755</v>
      </c>
      <c r="AS10" s="13">
        <f t="shared" si="17"/>
        <v>14.544075094004713</v>
      </c>
      <c r="AT10" s="13">
        <f t="shared" si="18"/>
        <v>15.633884029714647</v>
      </c>
      <c r="AU10" s="13">
        <f t="shared" si="19"/>
        <v>15.162238268051711</v>
      </c>
      <c r="AV10" s="11">
        <f t="shared" si="10"/>
        <v>1.9896577035952185</v>
      </c>
      <c r="AW10" s="11">
        <f t="shared" si="11"/>
        <v>1.6605447775319748</v>
      </c>
      <c r="AX10" s="11">
        <f t="shared" si="20"/>
        <v>1.4637531097600007</v>
      </c>
    </row>
    <row r="11" spans="1:50">
      <c r="A11" t="s">
        <v>12</v>
      </c>
      <c r="B11" t="s">
        <v>60</v>
      </c>
      <c r="C11" s="3">
        <v>3388577347.98</v>
      </c>
      <c r="D11" s="3">
        <v>2436649478.6199999</v>
      </c>
      <c r="E11" s="3">
        <v>2003309483.8800001</v>
      </c>
      <c r="F11" s="3">
        <v>1584177670.02</v>
      </c>
      <c r="G11" s="3">
        <v>2218177132.8299999</v>
      </c>
      <c r="H11" s="3">
        <v>1011732515.39</v>
      </c>
      <c r="I11" s="3">
        <v>2570428917.4200001</v>
      </c>
      <c r="J11" s="3">
        <v>2710871506.5599999</v>
      </c>
      <c r="K11" s="3">
        <v>4287971526.6300001</v>
      </c>
      <c r="L11" s="3">
        <v>8671406050</v>
      </c>
      <c r="M11" s="15">
        <v>5129613000</v>
      </c>
      <c r="N11" s="15">
        <v>4980624000</v>
      </c>
      <c r="O11" s="15">
        <v>5167681000</v>
      </c>
      <c r="P11" s="15">
        <v>4447789000</v>
      </c>
      <c r="Q11" s="15">
        <v>5230217000</v>
      </c>
      <c r="R11" s="15">
        <v>6274340000</v>
      </c>
      <c r="S11" s="15">
        <v>6755216000</v>
      </c>
      <c r="T11" s="15">
        <v>8003561000</v>
      </c>
      <c r="U11" s="15">
        <v>9366149000</v>
      </c>
      <c r="V11" s="15">
        <v>11353867000</v>
      </c>
      <c r="W11" s="3">
        <v>61261231000</v>
      </c>
      <c r="X11" s="3">
        <v>64957028000</v>
      </c>
      <c r="Y11" s="3">
        <v>71338807000</v>
      </c>
      <c r="Z11" s="3">
        <v>70634767000</v>
      </c>
      <c r="AA11" s="3">
        <v>79033498000</v>
      </c>
      <c r="AB11" s="3">
        <v>93050838000</v>
      </c>
      <c r="AC11" s="3">
        <v>136347873000</v>
      </c>
      <c r="AD11" s="3">
        <v>152302794000</v>
      </c>
      <c r="AE11" s="3">
        <v>142128359000</v>
      </c>
      <c r="AF11" s="3">
        <v>140591432000</v>
      </c>
      <c r="AG11" s="13">
        <f t="shared" si="3"/>
        <v>2326178222.6659999</v>
      </c>
      <c r="AH11" s="13">
        <f t="shared" si="4"/>
        <v>3850482103.1999998</v>
      </c>
      <c r="AI11" s="13">
        <f t="shared" si="5"/>
        <v>3088330162.9330001</v>
      </c>
      <c r="AJ11" s="13">
        <f t="shared" si="6"/>
        <v>4991184800</v>
      </c>
      <c r="AK11" s="13">
        <f t="shared" si="7"/>
        <v>8350626600</v>
      </c>
      <c r="AL11" s="13">
        <f t="shared" si="12"/>
        <v>6670905700</v>
      </c>
      <c r="AM11" s="15">
        <f t="shared" si="13"/>
        <v>69445066200</v>
      </c>
      <c r="AN11" s="15">
        <f t="shared" si="14"/>
        <v>132884259200</v>
      </c>
      <c r="AO11" s="15">
        <f t="shared" si="15"/>
        <v>101164662700</v>
      </c>
      <c r="AP11" s="13">
        <f t="shared" si="8"/>
        <v>29.853716935072153</v>
      </c>
      <c r="AQ11" s="13">
        <f t="shared" si="9"/>
        <v>34.51107046817971</v>
      </c>
      <c r="AR11" s="13">
        <f t="shared" si="16"/>
        <v>32.757074976699869</v>
      </c>
      <c r="AS11" s="13">
        <f t="shared" si="17"/>
        <v>13.913543373509231</v>
      </c>
      <c r="AT11" s="13">
        <f t="shared" si="18"/>
        <v>15.913088390277204</v>
      </c>
      <c r="AU11" s="13">
        <f t="shared" si="19"/>
        <v>15.165056627917854</v>
      </c>
      <c r="AV11" s="11">
        <f t="shared" si="10"/>
        <v>2.1456588112494983</v>
      </c>
      <c r="AW11" s="11">
        <f t="shared" si="11"/>
        <v>2.1687223511726206</v>
      </c>
      <c r="AX11" s="11">
        <f t="shared" si="20"/>
        <v>1.7324858345545993</v>
      </c>
    </row>
    <row r="12" spans="1:50">
      <c r="A12" t="s">
        <v>13</v>
      </c>
      <c r="B12" t="s">
        <v>62</v>
      </c>
      <c r="C12" s="3">
        <v>1109760000</v>
      </c>
      <c r="D12" s="3">
        <v>1383120000</v>
      </c>
      <c r="E12" s="3">
        <v>1844840000</v>
      </c>
      <c r="F12" s="3">
        <v>2060400000</v>
      </c>
      <c r="G12" s="3">
        <v>2146080000</v>
      </c>
      <c r="H12" s="3">
        <v>2427600000</v>
      </c>
      <c r="I12" s="3">
        <v>4127600000</v>
      </c>
      <c r="J12" s="3">
        <v>4698800000</v>
      </c>
      <c r="K12" s="3">
        <v>6024012257.3999996</v>
      </c>
      <c r="L12" s="3">
        <v>7166792207.3999996</v>
      </c>
      <c r="M12" s="15">
        <v>192603000</v>
      </c>
      <c r="N12" s="15">
        <v>221462000</v>
      </c>
      <c r="O12" s="15">
        <v>261116000</v>
      </c>
      <c r="P12" s="15">
        <v>285929000</v>
      </c>
      <c r="Q12" s="15">
        <v>300153000</v>
      </c>
      <c r="R12" s="15">
        <v>265371000</v>
      </c>
      <c r="S12" s="15">
        <v>324716000</v>
      </c>
      <c r="T12" s="15">
        <v>395021000</v>
      </c>
      <c r="U12" s="15">
        <v>452047000</v>
      </c>
      <c r="V12" s="15">
        <v>497862000</v>
      </c>
      <c r="W12" s="3">
        <v>411103000</v>
      </c>
      <c r="X12" s="3">
        <v>429894000</v>
      </c>
      <c r="Y12" s="3">
        <v>450024000</v>
      </c>
      <c r="Z12" s="3">
        <v>495755000</v>
      </c>
      <c r="AA12" s="3">
        <v>996927000</v>
      </c>
      <c r="AB12" s="3">
        <v>1079730000</v>
      </c>
      <c r="AC12" s="3">
        <v>1168501000</v>
      </c>
      <c r="AD12" s="3">
        <v>1322988000</v>
      </c>
      <c r="AE12" s="3">
        <v>1379880000</v>
      </c>
      <c r="AF12" s="3">
        <v>1744893000</v>
      </c>
      <c r="AG12" s="13">
        <f t="shared" si="3"/>
        <v>1708840000</v>
      </c>
      <c r="AH12" s="13">
        <f t="shared" si="4"/>
        <v>4888960892.960001</v>
      </c>
      <c r="AI12" s="13">
        <f t="shared" si="5"/>
        <v>3298900446.4800005</v>
      </c>
      <c r="AJ12" s="13">
        <f t="shared" si="6"/>
        <v>252252600</v>
      </c>
      <c r="AK12" s="13">
        <f t="shared" si="7"/>
        <v>387003400</v>
      </c>
      <c r="AL12" s="13">
        <f t="shared" si="12"/>
        <v>319628000</v>
      </c>
      <c r="AM12" s="15">
        <f t="shared" si="13"/>
        <v>556740600</v>
      </c>
      <c r="AN12" s="15">
        <f t="shared" si="14"/>
        <v>1339198400</v>
      </c>
      <c r="AO12" s="15">
        <f t="shared" si="15"/>
        <v>947969500</v>
      </c>
      <c r="AP12" s="13">
        <f t="shared" si="8"/>
        <v>0.32580030898153134</v>
      </c>
      <c r="AQ12" s="13">
        <f t="shared" si="9"/>
        <v>0.27392291108902445</v>
      </c>
      <c r="AR12" s="13">
        <f t="shared" si="16"/>
        <v>0.28735923238044492</v>
      </c>
      <c r="AS12" s="13">
        <f t="shared" si="17"/>
        <v>2.2070757645312673</v>
      </c>
      <c r="AT12" s="13">
        <f t="shared" si="18"/>
        <v>3.4604305801964532</v>
      </c>
      <c r="AU12" s="13">
        <f t="shared" si="19"/>
        <v>2.9658524910208115</v>
      </c>
      <c r="AV12" s="11">
        <f t="shared" si="10"/>
        <v>0.14761627770885513</v>
      </c>
      <c r="AW12" s="11">
        <f t="shared" si="11"/>
        <v>7.9158620507125882E-2</v>
      </c>
      <c r="AX12" s="11">
        <f t="shared" si="20"/>
        <v>6.5377491658863029E-2</v>
      </c>
    </row>
    <row r="13" spans="1:50">
      <c r="A13" t="s">
        <v>15</v>
      </c>
      <c r="B13" t="s">
        <v>64</v>
      </c>
      <c r="C13" s="3">
        <v>3411828012.8000002</v>
      </c>
      <c r="D13" s="3">
        <v>4626520998.0799999</v>
      </c>
      <c r="E13" s="3">
        <v>4698569426.6400003</v>
      </c>
      <c r="F13" s="3">
        <v>3109229958.0300002</v>
      </c>
      <c r="G13" s="3">
        <v>4598549344.79</v>
      </c>
      <c r="H13" s="3">
        <v>4011117532.5</v>
      </c>
      <c r="I13" s="3">
        <v>3645701626.0500002</v>
      </c>
      <c r="J13" s="3">
        <v>3354795054</v>
      </c>
      <c r="K13" s="3">
        <v>5098531782.4200001</v>
      </c>
      <c r="L13" s="3">
        <v>6522510976.6199999</v>
      </c>
      <c r="M13" s="15">
        <v>3008233000</v>
      </c>
      <c r="N13" s="15">
        <v>3282139000</v>
      </c>
      <c r="O13" s="15">
        <v>2864761000</v>
      </c>
      <c r="P13" s="15">
        <v>3231143001</v>
      </c>
      <c r="Q13" s="15">
        <v>3920828000</v>
      </c>
      <c r="R13" s="15">
        <v>3369072000</v>
      </c>
      <c r="S13" s="15">
        <v>4432286001</v>
      </c>
      <c r="T13" s="15">
        <v>5241467001</v>
      </c>
      <c r="U13" s="15">
        <v>5626355000</v>
      </c>
      <c r="V13" s="15">
        <v>7078379000</v>
      </c>
      <c r="W13" s="3">
        <v>5520818000</v>
      </c>
      <c r="X13" s="3">
        <v>5808885000</v>
      </c>
      <c r="Y13" s="3">
        <v>5783194000</v>
      </c>
      <c r="Z13" s="3">
        <v>5674147000</v>
      </c>
      <c r="AA13" s="3">
        <v>6402564000</v>
      </c>
      <c r="AB13" s="3">
        <v>6386760000</v>
      </c>
      <c r="AC13" s="3">
        <v>6921783000</v>
      </c>
      <c r="AD13" s="3">
        <v>7503088000</v>
      </c>
      <c r="AE13" s="3">
        <v>7615403000</v>
      </c>
      <c r="AF13" s="3">
        <v>8688435000</v>
      </c>
      <c r="AG13" s="13">
        <f t="shared" si="3"/>
        <v>4088939548.0679998</v>
      </c>
      <c r="AH13" s="13">
        <f t="shared" si="4"/>
        <v>4526531394.3179998</v>
      </c>
      <c r="AI13" s="13">
        <f t="shared" si="5"/>
        <v>4307735471.1929998</v>
      </c>
      <c r="AJ13" s="13">
        <f t="shared" si="6"/>
        <v>3261420800.1999998</v>
      </c>
      <c r="AK13" s="13">
        <f t="shared" si="7"/>
        <v>5149511800.3999996</v>
      </c>
      <c r="AL13" s="13">
        <f t="shared" si="12"/>
        <v>4205466300.3000002</v>
      </c>
      <c r="AM13" s="15">
        <f t="shared" si="13"/>
        <v>5837921600</v>
      </c>
      <c r="AN13" s="15">
        <f t="shared" si="14"/>
        <v>7423093800</v>
      </c>
      <c r="AO13" s="15">
        <f t="shared" si="15"/>
        <v>6630507700</v>
      </c>
      <c r="AP13" s="13">
        <f t="shared" si="8"/>
        <v>1.4277348763344726</v>
      </c>
      <c r="AQ13" s="13">
        <f t="shared" si="9"/>
        <v>1.6399077247797189</v>
      </c>
      <c r="AR13" s="13">
        <f t="shared" si="16"/>
        <v>1.5392095787543154</v>
      </c>
      <c r="AS13" s="13">
        <f t="shared" si="17"/>
        <v>1.7899933671981247</v>
      </c>
      <c r="AT13" s="13">
        <f t="shared" si="18"/>
        <v>1.4415140867185496</v>
      </c>
      <c r="AU13" s="13">
        <f t="shared" si="19"/>
        <v>1.5766403120450656</v>
      </c>
      <c r="AV13" s="11">
        <f t="shared" si="10"/>
        <v>0.79762020491132035</v>
      </c>
      <c r="AW13" s="11">
        <f t="shared" si="11"/>
        <v>1.1376286502428783</v>
      </c>
      <c r="AX13" s="11">
        <f t="shared" si="20"/>
        <v>0.92907039274685654</v>
      </c>
    </row>
    <row r="14" spans="1:50">
      <c r="A14" t="s">
        <v>17</v>
      </c>
      <c r="B14" t="s">
        <v>66</v>
      </c>
      <c r="C14" s="3">
        <v>4624137592</v>
      </c>
      <c r="D14" s="3">
        <v>5370839208</v>
      </c>
      <c r="E14" s="3">
        <v>7382594756.04</v>
      </c>
      <c r="F14" s="3">
        <v>8511641389.2399998</v>
      </c>
      <c r="G14" s="3">
        <v>9314731637.6399994</v>
      </c>
      <c r="H14" s="3">
        <v>10589846745.120001</v>
      </c>
      <c r="I14" s="3">
        <v>14487932418.1</v>
      </c>
      <c r="J14" s="3">
        <v>10675063768.92</v>
      </c>
      <c r="K14" s="3">
        <v>11647316022.440001</v>
      </c>
      <c r="L14" s="3">
        <v>7226088632.9799995</v>
      </c>
      <c r="M14" s="15">
        <v>2037000000</v>
      </c>
      <c r="N14" s="15">
        <v>2356600000</v>
      </c>
      <c r="O14" s="15">
        <v>2306600000</v>
      </c>
      <c r="P14" s="15">
        <v>2452600000</v>
      </c>
      <c r="Q14" s="15">
        <v>2730400000</v>
      </c>
      <c r="R14" s="15">
        <v>2101700000</v>
      </c>
      <c r="S14" s="15">
        <v>2644100000</v>
      </c>
      <c r="T14" s="15">
        <v>3074400000</v>
      </c>
      <c r="U14" s="15">
        <v>3328900000</v>
      </c>
      <c r="V14" s="15">
        <v>4352200000</v>
      </c>
      <c r="W14" s="3">
        <v>4224000000</v>
      </c>
      <c r="X14" s="3">
        <v>4534300000</v>
      </c>
      <c r="Y14" s="3">
        <v>4419100000</v>
      </c>
      <c r="Z14" s="3">
        <v>4582500000</v>
      </c>
      <c r="AA14" s="3">
        <v>4840700000</v>
      </c>
      <c r="AB14" s="3">
        <v>4555500000</v>
      </c>
      <c r="AC14" s="3">
        <v>5093100000</v>
      </c>
      <c r="AD14" s="3">
        <v>6007100000</v>
      </c>
      <c r="AE14" s="3">
        <v>6675600000</v>
      </c>
      <c r="AF14" s="3">
        <v>8483300000</v>
      </c>
      <c r="AG14" s="13">
        <f t="shared" si="3"/>
        <v>7040788916.5839996</v>
      </c>
      <c r="AH14" s="13">
        <f t="shared" si="4"/>
        <v>10925249517.511999</v>
      </c>
      <c r="AI14" s="13">
        <f t="shared" si="5"/>
        <v>8983019217.0480003</v>
      </c>
      <c r="AJ14" s="13">
        <f t="shared" si="6"/>
        <v>2376640000</v>
      </c>
      <c r="AK14" s="13">
        <f t="shared" si="7"/>
        <v>3100260000</v>
      </c>
      <c r="AL14" s="13">
        <f t="shared" si="12"/>
        <v>2738450000</v>
      </c>
      <c r="AM14" s="15">
        <f t="shared" si="13"/>
        <v>4520120000</v>
      </c>
      <c r="AN14" s="15">
        <f t="shared" si="14"/>
        <v>6162920000</v>
      </c>
      <c r="AO14" s="15">
        <f t="shared" si="15"/>
        <v>5341520000</v>
      </c>
      <c r="AP14" s="13">
        <f t="shared" si="8"/>
        <v>0.64199055724469012</v>
      </c>
      <c r="AQ14" s="13">
        <f t="shared" si="9"/>
        <v>0.56409878695415627</v>
      </c>
      <c r="AR14" s="13">
        <f t="shared" si="16"/>
        <v>0.59462413147940818</v>
      </c>
      <c r="AS14" s="13">
        <f t="shared" si="17"/>
        <v>1.9018951124276289</v>
      </c>
      <c r="AT14" s="13">
        <f t="shared" si="18"/>
        <v>1.9878719849302962</v>
      </c>
      <c r="AU14" s="13">
        <f t="shared" si="19"/>
        <v>1.9505632748452593</v>
      </c>
      <c r="AV14" s="11">
        <f t="shared" si="10"/>
        <v>0.33755308221242364</v>
      </c>
      <c r="AW14" s="11">
        <f t="shared" si="11"/>
        <v>0.28377017797448167</v>
      </c>
      <c r="AX14" s="11">
        <f t="shared" si="20"/>
        <v>0.25065331419758968</v>
      </c>
    </row>
    <row r="15" spans="1:50">
      <c r="A15" t="s">
        <v>18</v>
      </c>
      <c r="B15" t="s">
        <v>68</v>
      </c>
      <c r="C15" s="3">
        <v>2659107034.9299998</v>
      </c>
      <c r="D15" s="3">
        <v>3085306481.25</v>
      </c>
      <c r="E15" s="3">
        <v>4097308162.5</v>
      </c>
      <c r="F15" s="3">
        <v>3952533645.5999999</v>
      </c>
      <c r="G15" s="3">
        <v>6313746797.6000004</v>
      </c>
      <c r="H15" s="3">
        <v>9314274053.7000008</v>
      </c>
      <c r="I15" s="3">
        <v>9564408765.1000004</v>
      </c>
      <c r="J15" s="3">
        <v>7530710840</v>
      </c>
      <c r="K15" s="3">
        <v>5197750979.3999996</v>
      </c>
      <c r="L15" s="3">
        <v>5562288668.04</v>
      </c>
      <c r="M15" s="15">
        <v>588863000</v>
      </c>
      <c r="N15" s="15">
        <v>664218000</v>
      </c>
      <c r="O15" s="15">
        <v>743316000</v>
      </c>
      <c r="P15" s="15">
        <v>709783000</v>
      </c>
      <c r="Q15" s="15">
        <v>855758000</v>
      </c>
      <c r="R15" s="15">
        <v>964744000</v>
      </c>
      <c r="S15" s="15">
        <v>1551714000</v>
      </c>
      <c r="T15" s="15">
        <v>1748299000</v>
      </c>
      <c r="U15" s="15">
        <v>1738207000</v>
      </c>
      <c r="V15" s="15">
        <v>2000491000</v>
      </c>
      <c r="W15" s="3">
        <v>707906000</v>
      </c>
      <c r="X15" s="3">
        <v>868618000</v>
      </c>
      <c r="Y15" s="3">
        <v>945723000</v>
      </c>
      <c r="Z15" s="3">
        <v>905940000</v>
      </c>
      <c r="AA15" s="3">
        <v>1063552000</v>
      </c>
      <c r="AB15" s="3">
        <v>1246446000</v>
      </c>
      <c r="AC15" s="3">
        <v>3231152000</v>
      </c>
      <c r="AD15" s="3">
        <v>3408082000</v>
      </c>
      <c r="AE15" s="3">
        <v>3211439000</v>
      </c>
      <c r="AF15" s="3">
        <v>3304920000</v>
      </c>
      <c r="AG15" s="13">
        <f t="shared" si="3"/>
        <v>4021600424.3760004</v>
      </c>
      <c r="AH15" s="13">
        <f t="shared" si="4"/>
        <v>7433886661.2480011</v>
      </c>
      <c r="AI15" s="13">
        <f t="shared" si="5"/>
        <v>5727743542.8120003</v>
      </c>
      <c r="AJ15" s="13">
        <f t="shared" si="6"/>
        <v>712387600</v>
      </c>
      <c r="AK15" s="13">
        <f t="shared" si="7"/>
        <v>1600691000</v>
      </c>
      <c r="AL15" s="13">
        <f t="shared" si="12"/>
        <v>1156539300</v>
      </c>
      <c r="AM15" s="15">
        <f t="shared" si="13"/>
        <v>898347800</v>
      </c>
      <c r="AN15" s="15">
        <f t="shared" si="14"/>
        <v>2880407800</v>
      </c>
      <c r="AO15" s="15">
        <f t="shared" si="15"/>
        <v>1889377800</v>
      </c>
      <c r="AP15" s="13">
        <f t="shared" si="8"/>
        <v>0.22338067067898459</v>
      </c>
      <c r="AQ15" s="13">
        <f t="shared" si="9"/>
        <v>0.38746996440169523</v>
      </c>
      <c r="AR15" s="13">
        <f t="shared" si="16"/>
        <v>0.32986424512163504</v>
      </c>
      <c r="AS15" s="13">
        <f t="shared" si="17"/>
        <v>1.2610379518116261</v>
      </c>
      <c r="AT15" s="13">
        <f t="shared" si="18"/>
        <v>1.7994777255572749</v>
      </c>
      <c r="AU15" s="13">
        <f t="shared" si="19"/>
        <v>1.633647728183556</v>
      </c>
      <c r="AV15" s="11">
        <f t="shared" si="10"/>
        <v>0.17714032345979164</v>
      </c>
      <c r="AW15" s="11">
        <f t="shared" si="11"/>
        <v>0.2153235679989875</v>
      </c>
      <c r="AX15" s="11">
        <f t="shared" si="20"/>
        <v>0.15557666570690495</v>
      </c>
    </row>
    <row r="16" spans="1:50">
      <c r="A16" t="s">
        <v>19</v>
      </c>
      <c r="B16" t="s">
        <v>70</v>
      </c>
      <c r="C16" s="3">
        <v>36579061822.550003</v>
      </c>
      <c r="D16" s="3">
        <v>41798809019.519997</v>
      </c>
      <c r="E16" s="3">
        <v>51951734524.059998</v>
      </c>
      <c r="F16" s="3">
        <v>51631198703.360001</v>
      </c>
      <c r="G16" s="3">
        <v>71845853564.800003</v>
      </c>
      <c r="H16" s="3">
        <v>84162990274.559998</v>
      </c>
      <c r="I16" s="3">
        <v>71646107882.699997</v>
      </c>
      <c r="J16" s="3">
        <v>51107506331.139999</v>
      </c>
      <c r="K16" s="3">
        <v>68372806135.339996</v>
      </c>
      <c r="L16" s="3">
        <v>69975880390</v>
      </c>
      <c r="M16" s="15">
        <v>39467000000</v>
      </c>
      <c r="N16" s="15">
        <v>41246000000</v>
      </c>
      <c r="O16" s="15">
        <v>39007000000</v>
      </c>
      <c r="P16" s="15">
        <v>34644000000</v>
      </c>
      <c r="Q16" s="15">
        <v>32453000000</v>
      </c>
      <c r="R16" s="15">
        <v>26349000000</v>
      </c>
      <c r="S16" s="15">
        <v>28291000000</v>
      </c>
      <c r="T16" s="15">
        <v>28352000000</v>
      </c>
      <c r="U16" s="15">
        <v>33419000000</v>
      </c>
      <c r="V16" s="15">
        <v>33731000000</v>
      </c>
      <c r="W16" s="3">
        <v>161179000000</v>
      </c>
      <c r="X16" s="3">
        <v>155596000000</v>
      </c>
      <c r="Y16" s="3">
        <v>155641000000</v>
      </c>
      <c r="Z16" s="3">
        <v>165424000000</v>
      </c>
      <c r="AA16" s="3">
        <v>171426000000</v>
      </c>
      <c r="AB16" s="3">
        <v>163453000000</v>
      </c>
      <c r="AC16" s="3">
        <v>206940000000</v>
      </c>
      <c r="AD16" s="3">
        <v>219618000000</v>
      </c>
      <c r="AE16" s="3">
        <v>195224000000</v>
      </c>
      <c r="AF16" s="3">
        <v>187139000000</v>
      </c>
      <c r="AG16" s="13">
        <f t="shared" si="3"/>
        <v>50761331526.857994</v>
      </c>
      <c r="AH16" s="13">
        <f t="shared" si="4"/>
        <v>69053058202.748001</v>
      </c>
      <c r="AI16" s="13">
        <f t="shared" si="5"/>
        <v>59907194864.803001</v>
      </c>
      <c r="AJ16" s="13">
        <f t="shared" si="6"/>
        <v>37363400000</v>
      </c>
      <c r="AK16" s="13">
        <f t="shared" si="7"/>
        <v>30028400000</v>
      </c>
      <c r="AL16" s="13">
        <f t="shared" si="12"/>
        <v>33695900000</v>
      </c>
      <c r="AM16" s="15">
        <f t="shared" si="13"/>
        <v>161853200000</v>
      </c>
      <c r="AN16" s="15">
        <f t="shared" si="14"/>
        <v>194474800000</v>
      </c>
      <c r="AO16" s="15">
        <f t="shared" si="15"/>
        <v>178164000000</v>
      </c>
      <c r="AP16" s="13">
        <f t="shared" si="8"/>
        <v>3.188513680228481</v>
      </c>
      <c r="AQ16" s="13">
        <f t="shared" si="9"/>
        <v>2.8163097343060293</v>
      </c>
      <c r="AR16" s="13">
        <f t="shared" si="16"/>
        <v>2.9740000412650915</v>
      </c>
      <c r="AS16" s="13">
        <f t="shared" si="17"/>
        <v>4.3318648731111198</v>
      </c>
      <c r="AT16" s="13">
        <f t="shared" si="18"/>
        <v>6.4763623769498206</v>
      </c>
      <c r="AU16" s="13">
        <f t="shared" si="19"/>
        <v>5.2874088538961717</v>
      </c>
      <c r="AV16" s="11">
        <f t="shared" si="10"/>
        <v>0.73606028203241469</v>
      </c>
      <c r="AW16" s="11">
        <f t="shared" si="11"/>
        <v>0.43485981333126539</v>
      </c>
      <c r="AX16" s="11">
        <f t="shared" si="20"/>
        <v>0.48797114678201253</v>
      </c>
    </row>
    <row r="17" spans="1:50">
      <c r="A17" t="s">
        <v>20</v>
      </c>
      <c r="B17" t="s">
        <v>72</v>
      </c>
      <c r="C17" s="3">
        <v>49655022621</v>
      </c>
      <c r="D17" s="3">
        <v>55709017000</v>
      </c>
      <c r="E17" s="3">
        <v>49695733835.400002</v>
      </c>
      <c r="F17" s="3">
        <v>49623711032.739998</v>
      </c>
      <c r="G17" s="3">
        <v>49752657001.550003</v>
      </c>
      <c r="H17" s="3">
        <v>30545302500</v>
      </c>
      <c r="I17" s="3">
        <v>43576202280</v>
      </c>
      <c r="J17" s="3">
        <v>46297495860</v>
      </c>
      <c r="K17" s="3">
        <v>50713330000</v>
      </c>
      <c r="L17" s="3">
        <v>41456108540</v>
      </c>
      <c r="M17" s="15">
        <v>58568000000</v>
      </c>
      <c r="N17" s="15">
        <v>59704000000</v>
      </c>
      <c r="O17" s="15">
        <v>53930000000</v>
      </c>
      <c r="P17" s="15">
        <v>55288000000</v>
      </c>
      <c r="Q17" s="15">
        <v>52759000000</v>
      </c>
      <c r="R17" s="15">
        <v>42939000000</v>
      </c>
      <c r="S17" s="15">
        <v>49272000000</v>
      </c>
      <c r="T17" s="15">
        <v>59853000000</v>
      </c>
      <c r="U17" s="15">
        <v>61645000000</v>
      </c>
      <c r="V17" s="15">
        <v>58409000000</v>
      </c>
      <c r="W17" s="3">
        <v>134556000000</v>
      </c>
      <c r="X17" s="3">
        <v>124545000000</v>
      </c>
      <c r="Y17" s="3">
        <v>114928000000</v>
      </c>
      <c r="Z17" s="3">
        <v>118373000000</v>
      </c>
      <c r="AA17" s="3">
        <v>123440000000</v>
      </c>
      <c r="AB17" s="3">
        <v>109648000000</v>
      </c>
      <c r="AC17" s="3">
        <v>137765000000</v>
      </c>
      <c r="AD17" s="3">
        <v>152167000000</v>
      </c>
      <c r="AE17" s="3">
        <v>142606000000</v>
      </c>
      <c r="AF17" s="3">
        <v>146954000000</v>
      </c>
      <c r="AG17" s="13">
        <f t="shared" si="3"/>
        <v>50887228298.138</v>
      </c>
      <c r="AH17" s="13">
        <f t="shared" si="4"/>
        <v>42517687836</v>
      </c>
      <c r="AI17" s="13">
        <f t="shared" si="5"/>
        <v>46702458067.069</v>
      </c>
      <c r="AJ17" s="13">
        <f t="shared" si="6"/>
        <v>56049800000</v>
      </c>
      <c r="AK17" s="13">
        <f t="shared" si="7"/>
        <v>54423600000</v>
      </c>
      <c r="AL17" s="13">
        <f t="shared" si="12"/>
        <v>55236700000</v>
      </c>
      <c r="AM17" s="15">
        <f t="shared" si="13"/>
        <v>123168400000</v>
      </c>
      <c r="AN17" s="15">
        <f t="shared" si="14"/>
        <v>137828000000</v>
      </c>
      <c r="AO17" s="15">
        <f t="shared" si="15"/>
        <v>130498200000</v>
      </c>
      <c r="AP17" s="13">
        <f t="shared" si="8"/>
        <v>2.420418720359089</v>
      </c>
      <c r="AQ17" s="13">
        <f t="shared" si="9"/>
        <v>3.2416626353632556</v>
      </c>
      <c r="AR17" s="13">
        <f t="shared" si="16"/>
        <v>2.7942469283435285</v>
      </c>
      <c r="AS17" s="13">
        <f t="shared" si="17"/>
        <v>2.1974815253578068</v>
      </c>
      <c r="AT17" s="13">
        <f t="shared" si="18"/>
        <v>2.5325042812309366</v>
      </c>
      <c r="AU17" s="13">
        <f t="shared" si="19"/>
        <v>2.3625270879686875</v>
      </c>
      <c r="AV17" s="11">
        <f t="shared" si="10"/>
        <v>1.1014512260643385</v>
      </c>
      <c r="AW17" s="11">
        <f t="shared" si="11"/>
        <v>1.2800225687230149</v>
      </c>
      <c r="AX17" s="11">
        <f t="shared" si="20"/>
        <v>1.2991463743997558</v>
      </c>
    </row>
    <row r="18" spans="1:50">
      <c r="A18" t="s">
        <v>21</v>
      </c>
      <c r="B18" t="s">
        <v>74</v>
      </c>
      <c r="C18" s="3">
        <v>8250267410</v>
      </c>
      <c r="D18" s="3">
        <v>10447441900</v>
      </c>
      <c r="E18" s="3">
        <v>16465303800</v>
      </c>
      <c r="F18" s="3">
        <v>16318191120</v>
      </c>
      <c r="G18" s="3">
        <v>27622839300</v>
      </c>
      <c r="H18" s="3">
        <v>34863651900</v>
      </c>
      <c r="I18" s="3">
        <v>41961465000</v>
      </c>
      <c r="J18" s="3">
        <v>36603767200</v>
      </c>
      <c r="K18" s="3">
        <v>55308344000</v>
      </c>
      <c r="L18" s="3">
        <v>74126013200</v>
      </c>
      <c r="M18" s="15">
        <v>-1778000</v>
      </c>
      <c r="N18" s="15">
        <v>338106000</v>
      </c>
      <c r="O18" s="15">
        <v>789655000</v>
      </c>
      <c r="P18" s="15">
        <v>1387864000</v>
      </c>
      <c r="Q18" s="15">
        <v>1563498000</v>
      </c>
      <c r="R18" s="15">
        <v>1898660000</v>
      </c>
      <c r="S18" s="15">
        <v>2301871000</v>
      </c>
      <c r="T18" s="15">
        <v>2719364000</v>
      </c>
      <c r="U18" s="15">
        <v>3197734000</v>
      </c>
      <c r="V18" s="15">
        <v>3643962000</v>
      </c>
      <c r="W18" s="3">
        <v>3875399000</v>
      </c>
      <c r="X18" s="3">
        <v>3849604000</v>
      </c>
      <c r="Y18" s="3">
        <v>4141104000</v>
      </c>
      <c r="Z18" s="3">
        <v>4851733000</v>
      </c>
      <c r="AA18" s="3">
        <v>5446372000</v>
      </c>
      <c r="AB18" s="3">
        <v>6262047000</v>
      </c>
      <c r="AC18" s="3">
        <v>6863505000</v>
      </c>
      <c r="AD18" s="3">
        <v>7765823000</v>
      </c>
      <c r="AE18" s="3">
        <v>8051312000</v>
      </c>
      <c r="AF18" s="3">
        <v>9497146000</v>
      </c>
      <c r="AG18" s="13">
        <f t="shared" si="3"/>
        <v>15820808706</v>
      </c>
      <c r="AH18" s="13">
        <f t="shared" si="4"/>
        <v>48572648260</v>
      </c>
      <c r="AI18" s="13">
        <f t="shared" si="5"/>
        <v>32196728483</v>
      </c>
      <c r="AJ18" s="13">
        <f t="shared" si="6"/>
        <v>815469000</v>
      </c>
      <c r="AK18" s="13">
        <f t="shared" si="7"/>
        <v>2752318200</v>
      </c>
      <c r="AL18" s="13">
        <f t="shared" si="12"/>
        <v>1783893600</v>
      </c>
      <c r="AM18" s="15">
        <f t="shared" si="13"/>
        <v>4432842400</v>
      </c>
      <c r="AN18" s="15">
        <f t="shared" si="14"/>
        <v>7687966600</v>
      </c>
      <c r="AO18" s="15">
        <f t="shared" si="15"/>
        <v>6060404500</v>
      </c>
      <c r="AP18" s="13">
        <f t="shared" si="8"/>
        <v>0.28019063262669097</v>
      </c>
      <c r="AQ18" s="13">
        <f t="shared" si="9"/>
        <v>0.15827769074578352</v>
      </c>
      <c r="AR18" s="13">
        <f t="shared" si="16"/>
        <v>0.18823044407135706</v>
      </c>
      <c r="AS18" s="13">
        <f t="shared" si="17"/>
        <v>5.435942261447094</v>
      </c>
      <c r="AT18" s="13">
        <f t="shared" si="18"/>
        <v>2.793269542744004</v>
      </c>
      <c r="AU18" s="13">
        <f t="shared" si="19"/>
        <v>3.3972903428769516</v>
      </c>
      <c r="AV18" s="11">
        <f t="shared" si="10"/>
        <v>5.1544078128619018E-2</v>
      </c>
      <c r="AW18" s="11">
        <f t="shared" si="11"/>
        <v>5.6663951804055909E-2</v>
      </c>
      <c r="AX18" s="11">
        <f t="shared" si="20"/>
        <v>3.6726298933736579E-2</v>
      </c>
    </row>
    <row r="19" spans="1:50">
      <c r="A19" t="s">
        <v>22</v>
      </c>
      <c r="B19" t="s">
        <v>76</v>
      </c>
      <c r="C19" s="3">
        <v>4621523022.5</v>
      </c>
      <c r="D19" s="3">
        <v>3228164484.7399998</v>
      </c>
      <c r="E19" s="3">
        <v>5130488843.3500004</v>
      </c>
      <c r="F19" s="3">
        <v>5316281775</v>
      </c>
      <c r="G19" s="3">
        <v>6496530477.3599997</v>
      </c>
      <c r="H19" s="3">
        <v>8160146088.3999996</v>
      </c>
      <c r="I19" s="3">
        <v>9413654268.9599991</v>
      </c>
      <c r="J19" s="3">
        <v>9466147728.4799995</v>
      </c>
      <c r="K19" s="3">
        <v>8310934629.1800003</v>
      </c>
      <c r="L19" s="3">
        <v>10255830495.1</v>
      </c>
      <c r="M19" s="15">
        <v>660570633</v>
      </c>
      <c r="N19" s="15">
        <v>710545424</v>
      </c>
      <c r="O19" s="15">
        <v>761097474</v>
      </c>
      <c r="P19" s="15">
        <v>1002444000</v>
      </c>
      <c r="Q19" s="15">
        <v>1382484000</v>
      </c>
      <c r="R19" s="15">
        <v>1690875000</v>
      </c>
      <c r="S19" s="15">
        <v>1729650000</v>
      </c>
      <c r="T19" s="15">
        <v>1914050000</v>
      </c>
      <c r="U19" s="15">
        <v>2194676000</v>
      </c>
      <c r="V19" s="15">
        <v>2389312000</v>
      </c>
      <c r="W19" s="3">
        <v>18327948975</v>
      </c>
      <c r="X19" s="3">
        <v>20986375860</v>
      </c>
      <c r="Y19" s="3">
        <v>22340335147</v>
      </c>
      <c r="Z19" s="3">
        <v>24732630000</v>
      </c>
      <c r="AA19" s="3">
        <v>28022907000</v>
      </c>
      <c r="AB19" s="3">
        <v>31755017000</v>
      </c>
      <c r="AC19" s="3">
        <v>33867175000</v>
      </c>
      <c r="AD19" s="3">
        <v>36268885000</v>
      </c>
      <c r="AE19" s="3">
        <v>33315700000</v>
      </c>
      <c r="AF19" s="3">
        <v>34688817000</v>
      </c>
      <c r="AG19" s="13">
        <f t="shared" si="3"/>
        <v>4958597720.5900002</v>
      </c>
      <c r="AH19" s="13">
        <f t="shared" si="4"/>
        <v>9121342642.0240002</v>
      </c>
      <c r="AI19" s="13">
        <f t="shared" si="5"/>
        <v>7039970181.3069992</v>
      </c>
      <c r="AJ19" s="13">
        <f t="shared" si="6"/>
        <v>903428306.20000005</v>
      </c>
      <c r="AK19" s="13">
        <f t="shared" si="7"/>
        <v>1983712600</v>
      </c>
      <c r="AL19" s="13">
        <f t="shared" si="12"/>
        <v>1443570453.0999999</v>
      </c>
      <c r="AM19" s="15">
        <f t="shared" si="13"/>
        <v>22882039396.400002</v>
      </c>
      <c r="AN19" s="15">
        <f t="shared" si="14"/>
        <v>33979118800</v>
      </c>
      <c r="AO19" s="15">
        <f t="shared" si="15"/>
        <v>28430579098.200001</v>
      </c>
      <c r="AP19" s="13">
        <f t="shared" si="8"/>
        <v>4.6146190285582138</v>
      </c>
      <c r="AQ19" s="13">
        <f t="shared" si="9"/>
        <v>3.7252321432867617</v>
      </c>
      <c r="AR19" s="13">
        <f t="shared" si="16"/>
        <v>4.0384516362996505</v>
      </c>
      <c r="AS19" s="13">
        <f t="shared" si="17"/>
        <v>25.328008032697614</v>
      </c>
      <c r="AT19" s="13">
        <f t="shared" si="18"/>
        <v>17.129053271124054</v>
      </c>
      <c r="AU19" s="13">
        <f t="shared" si="19"/>
        <v>19.694625251678339</v>
      </c>
      <c r="AV19" s="11">
        <f t="shared" si="10"/>
        <v>0.18219431321250745</v>
      </c>
      <c r="AW19" s="11">
        <f t="shared" si="11"/>
        <v>0.21748032914152426</v>
      </c>
      <c r="AX19" s="11">
        <f t="shared" si="20"/>
        <v>0.15826293449926532</v>
      </c>
    </row>
    <row r="20" spans="1:50">
      <c r="A20" t="s">
        <v>23</v>
      </c>
      <c r="B20" t="s">
        <v>78</v>
      </c>
      <c r="C20" s="3">
        <v>26334773620.919998</v>
      </c>
      <c r="D20" s="3">
        <v>22006190428.400002</v>
      </c>
      <c r="E20" s="3">
        <v>23442787914.98</v>
      </c>
      <c r="F20" s="3">
        <v>22689909522.529999</v>
      </c>
      <c r="G20" s="3">
        <v>28849858640</v>
      </c>
      <c r="H20" s="3">
        <v>22380333143.02</v>
      </c>
      <c r="I20" s="3">
        <v>29308221895.139999</v>
      </c>
      <c r="J20" s="3">
        <v>26081407783.860001</v>
      </c>
      <c r="K20" s="3">
        <v>29463159630.450001</v>
      </c>
      <c r="L20" s="3">
        <v>41960103570</v>
      </c>
      <c r="M20" s="15">
        <v>26599000000</v>
      </c>
      <c r="N20" s="15">
        <v>27161000000</v>
      </c>
      <c r="O20" s="15">
        <v>27721000000</v>
      </c>
      <c r="P20" s="15">
        <v>25390000000</v>
      </c>
      <c r="Q20" s="15">
        <v>31534000000</v>
      </c>
      <c r="R20" s="15">
        <v>33900000000</v>
      </c>
      <c r="S20" s="15">
        <v>33123000000</v>
      </c>
      <c r="T20" s="15">
        <v>17458000000</v>
      </c>
      <c r="U20" s="15">
        <v>30608000000</v>
      </c>
      <c r="V20" s="15">
        <v>32555000000</v>
      </c>
      <c r="W20" s="3">
        <v>500549000000</v>
      </c>
      <c r="X20" s="3">
        <v>521184000000</v>
      </c>
      <c r="Y20" s="3">
        <v>537080000000</v>
      </c>
      <c r="Z20" s="3">
        <v>515827000000</v>
      </c>
      <c r="AA20" s="3">
        <v>514574000000</v>
      </c>
      <c r="AB20" s="3">
        <v>544710000000</v>
      </c>
      <c r="AC20" s="3">
        <v>586225000000</v>
      </c>
      <c r="AD20" s="3">
        <v>519051000000</v>
      </c>
      <c r="AE20" s="3">
        <v>507226000000</v>
      </c>
      <c r="AF20" s="3">
        <v>538647000000</v>
      </c>
      <c r="AG20" s="13">
        <f t="shared" si="3"/>
        <v>24664704025.366001</v>
      </c>
      <c r="AH20" s="13">
        <f t="shared" si="4"/>
        <v>29838645204.493999</v>
      </c>
      <c r="AI20" s="13">
        <f t="shared" si="5"/>
        <v>27251674614.93</v>
      </c>
      <c r="AJ20" s="13">
        <f t="shared" si="6"/>
        <v>27681000000</v>
      </c>
      <c r="AK20" s="13">
        <f t="shared" si="7"/>
        <v>29528800000</v>
      </c>
      <c r="AL20" s="13">
        <f t="shared" si="12"/>
        <v>28604900000</v>
      </c>
      <c r="AM20" s="15">
        <f t="shared" si="13"/>
        <v>517842800000</v>
      </c>
      <c r="AN20" s="15">
        <f t="shared" si="14"/>
        <v>539171800000</v>
      </c>
      <c r="AO20" s="15">
        <f t="shared" si="15"/>
        <v>528507300000</v>
      </c>
      <c r="AP20" s="13">
        <f t="shared" si="8"/>
        <v>20.995297550192909</v>
      </c>
      <c r="AQ20" s="13">
        <f t="shared" si="9"/>
        <v>18.069580448605464</v>
      </c>
      <c r="AR20" s="13">
        <f t="shared" si="16"/>
        <v>19.393571494885453</v>
      </c>
      <c r="AS20" s="13">
        <f t="shared" si="17"/>
        <v>18.707517791987282</v>
      </c>
      <c r="AT20" s="13">
        <f t="shared" si="18"/>
        <v>18.259184254016418</v>
      </c>
      <c r="AU20" s="13">
        <f t="shared" si="19"/>
        <v>18.476110736272457</v>
      </c>
      <c r="AV20" s="11">
        <f t="shared" si="10"/>
        <v>1.1222919995931002</v>
      </c>
      <c r="AW20" s="11">
        <f t="shared" si="11"/>
        <v>0.98961597611518459</v>
      </c>
      <c r="AX20" s="11">
        <f t="shared" si="20"/>
        <v>0.95865277407741745</v>
      </c>
    </row>
    <row r="21" spans="1:50">
      <c r="A21" t="s">
        <v>24</v>
      </c>
      <c r="B21" t="s">
        <v>80</v>
      </c>
      <c r="C21" s="3">
        <v>3610657886.8499999</v>
      </c>
      <c r="D21" s="3">
        <v>3223292133.48</v>
      </c>
      <c r="E21" s="3">
        <v>4324752445.0200005</v>
      </c>
      <c r="F21" s="3">
        <v>3992869385.9200001</v>
      </c>
      <c r="G21" s="3">
        <v>5742816198.6000004</v>
      </c>
      <c r="H21" s="3">
        <v>4374561694.54</v>
      </c>
      <c r="I21" s="3">
        <v>5348132752.6199999</v>
      </c>
      <c r="J21" s="3">
        <v>3665682800.6399999</v>
      </c>
      <c r="K21" s="3">
        <v>4294827115.9200001</v>
      </c>
      <c r="L21" s="3">
        <v>4945807233.0100002</v>
      </c>
      <c r="M21" s="15">
        <v>2356000000</v>
      </c>
      <c r="N21" s="15">
        <v>2445100000</v>
      </c>
      <c r="O21" s="15">
        <v>2563100000</v>
      </c>
      <c r="P21" s="15">
        <v>2690500000</v>
      </c>
      <c r="Q21" s="15">
        <v>2891300000</v>
      </c>
      <c r="R21" s="15">
        <v>3048600000</v>
      </c>
      <c r="S21" s="15">
        <v>3332300000</v>
      </c>
      <c r="T21" s="15">
        <v>3614100000</v>
      </c>
      <c r="U21" s="15">
        <v>3595100000</v>
      </c>
      <c r="V21" s="15">
        <v>3824900000</v>
      </c>
      <c r="W21" s="3">
        <v>8256000000</v>
      </c>
      <c r="X21" s="3">
        <v>8285100000</v>
      </c>
      <c r="Y21" s="3">
        <v>8787700000</v>
      </c>
      <c r="Z21" s="3">
        <v>9111600000</v>
      </c>
      <c r="AA21" s="3">
        <v>10363300000</v>
      </c>
      <c r="AB21" s="3">
        <v>11034800000</v>
      </c>
      <c r="AC21" s="3">
        <v>14031500000</v>
      </c>
      <c r="AD21" s="3">
        <v>17118500000</v>
      </c>
      <c r="AE21" s="3">
        <v>15080000000</v>
      </c>
      <c r="AF21" s="3">
        <v>15060600000</v>
      </c>
      <c r="AG21" s="13">
        <f t="shared" si="3"/>
        <v>4178877609.9740005</v>
      </c>
      <c r="AH21" s="13">
        <f t="shared" si="4"/>
        <v>4525802319.3460007</v>
      </c>
      <c r="AI21" s="13">
        <f t="shared" si="5"/>
        <v>4352339964.6600008</v>
      </c>
      <c r="AJ21" s="13">
        <f t="shared" si="6"/>
        <v>2589200000</v>
      </c>
      <c r="AK21" s="13">
        <f t="shared" si="7"/>
        <v>3483000000</v>
      </c>
      <c r="AL21" s="13">
        <f t="shared" si="12"/>
        <v>3036100000</v>
      </c>
      <c r="AM21" s="15">
        <f t="shared" si="13"/>
        <v>8960740000</v>
      </c>
      <c r="AN21" s="15">
        <f t="shared" si="14"/>
        <v>14465080000</v>
      </c>
      <c r="AO21" s="15">
        <f t="shared" si="15"/>
        <v>11712910000</v>
      </c>
      <c r="AP21" s="13">
        <f t="shared" si="8"/>
        <v>2.1442934769405104</v>
      </c>
      <c r="AQ21" s="13">
        <f t="shared" si="9"/>
        <v>3.1961360614818615</v>
      </c>
      <c r="AR21" s="13">
        <f t="shared" si="16"/>
        <v>2.6911753436326515</v>
      </c>
      <c r="AS21" s="13">
        <f t="shared" si="17"/>
        <v>3.4608141510891395</v>
      </c>
      <c r="AT21" s="13">
        <f t="shared" si="18"/>
        <v>4.1530519666953776</v>
      </c>
      <c r="AU21" s="13">
        <f t="shared" si="19"/>
        <v>3.8578801752247949</v>
      </c>
      <c r="AV21" s="11">
        <f t="shared" si="10"/>
        <v>0.61959220672560189</v>
      </c>
      <c r="AW21" s="11">
        <f t="shared" si="11"/>
        <v>0.7695873028107223</v>
      </c>
      <c r="AX21" s="11">
        <f t="shared" si="20"/>
        <v>0.67084238015033992</v>
      </c>
    </row>
    <row r="22" spans="1:50">
      <c r="A22" t="s">
        <v>25</v>
      </c>
      <c r="B22" t="s">
        <v>82</v>
      </c>
      <c r="C22" s="3">
        <v>48922378452.239998</v>
      </c>
      <c r="D22" s="3">
        <v>38494794657.690002</v>
      </c>
      <c r="E22" s="3">
        <v>43552445763.75</v>
      </c>
      <c r="F22" s="3">
        <v>32035238169.549999</v>
      </c>
      <c r="G22" s="3">
        <v>41064031600</v>
      </c>
      <c r="H22" s="3">
        <v>34839337810</v>
      </c>
      <c r="I22" s="3">
        <v>43987036230</v>
      </c>
      <c r="J22" s="3">
        <v>40176327360</v>
      </c>
      <c r="K22" s="3">
        <v>48497924640</v>
      </c>
      <c r="L22" s="3">
        <v>69546932400</v>
      </c>
      <c r="M22" s="15">
        <v>49635000000</v>
      </c>
      <c r="N22" s="15">
        <v>49176000000</v>
      </c>
      <c r="O22" s="15">
        <v>57139000000</v>
      </c>
      <c r="P22" s="15">
        <v>55926000000</v>
      </c>
      <c r="Q22" s="15">
        <v>57834000000</v>
      </c>
      <c r="R22" s="15">
        <v>68616000000</v>
      </c>
      <c r="S22" s="15">
        <v>65154000000</v>
      </c>
      <c r="T22" s="15">
        <v>60533000000</v>
      </c>
      <c r="U22" s="15">
        <v>63963000000</v>
      </c>
      <c r="V22" s="15">
        <v>65176000000</v>
      </c>
      <c r="W22" s="3">
        <v>676496000000</v>
      </c>
      <c r="X22" s="3">
        <v>725100000000</v>
      </c>
      <c r="Y22" s="3">
        <v>796861000000</v>
      </c>
      <c r="Z22" s="3">
        <v>787721000000</v>
      </c>
      <c r="AA22" s="3">
        <v>816102000000</v>
      </c>
      <c r="AB22" s="3">
        <v>1002614000000</v>
      </c>
      <c r="AC22" s="3">
        <v>1069003000000</v>
      </c>
      <c r="AD22" s="3">
        <v>975683000000</v>
      </c>
      <c r="AE22" s="3">
        <v>963570000000</v>
      </c>
      <c r="AF22" s="3">
        <v>933285000000</v>
      </c>
      <c r="AG22" s="13">
        <f t="shared" si="3"/>
        <v>40813777728.645996</v>
      </c>
      <c r="AH22" s="13">
        <f t="shared" si="4"/>
        <v>47409511688</v>
      </c>
      <c r="AI22" s="13">
        <f t="shared" si="5"/>
        <v>44111644708.322998</v>
      </c>
      <c r="AJ22" s="13">
        <f t="shared" si="6"/>
        <v>53942000000</v>
      </c>
      <c r="AK22" s="13">
        <f t="shared" si="7"/>
        <v>64688400000</v>
      </c>
      <c r="AL22" s="13">
        <f t="shared" si="12"/>
        <v>59315200000</v>
      </c>
      <c r="AM22" s="15">
        <f t="shared" si="13"/>
        <v>760456000000</v>
      </c>
      <c r="AN22" s="15">
        <f t="shared" si="14"/>
        <v>988831000000</v>
      </c>
      <c r="AO22" s="15">
        <f t="shared" si="15"/>
        <v>874643500000</v>
      </c>
      <c r="AP22" s="13">
        <f t="shared" si="8"/>
        <v>18.632335508267794</v>
      </c>
      <c r="AQ22" s="13">
        <f t="shared" si="9"/>
        <v>20.857228112946093</v>
      </c>
      <c r="AR22" s="13">
        <f t="shared" si="16"/>
        <v>19.827950324304549</v>
      </c>
      <c r="AS22" s="13">
        <f t="shared" si="17"/>
        <v>14.097660450113084</v>
      </c>
      <c r="AT22" s="13">
        <f t="shared" si="18"/>
        <v>15.286063652834201</v>
      </c>
      <c r="AU22" s="13">
        <f t="shared" si="19"/>
        <v>14.745689131959431</v>
      </c>
      <c r="AV22" s="11">
        <f t="shared" si="10"/>
        <v>1.3216615320110319</v>
      </c>
      <c r="AW22" s="11">
        <f t="shared" si="11"/>
        <v>1.3644603729671725</v>
      </c>
      <c r="AX22" s="11">
        <f t="shared" si="20"/>
        <v>1.2511244661271947</v>
      </c>
    </row>
    <row r="23" spans="1:50">
      <c r="A23" t="s">
        <v>26</v>
      </c>
      <c r="B23" t="s">
        <v>84</v>
      </c>
      <c r="C23" s="3">
        <v>2369285331.8400002</v>
      </c>
      <c r="D23" s="3">
        <v>2640000000</v>
      </c>
      <c r="E23" s="3">
        <v>3684000000</v>
      </c>
      <c r="F23" s="3">
        <v>3659798022.9000001</v>
      </c>
      <c r="G23" s="3">
        <v>5236060909.8599997</v>
      </c>
      <c r="H23" s="3">
        <v>8652155209.3199997</v>
      </c>
      <c r="I23" s="3">
        <v>10254033849.719999</v>
      </c>
      <c r="J23" s="3">
        <v>9032796677.7099991</v>
      </c>
      <c r="K23" s="3">
        <v>10946421362.85</v>
      </c>
      <c r="L23" s="3">
        <v>9156036549.4799995</v>
      </c>
      <c r="M23" s="15">
        <v>1442961804</v>
      </c>
      <c r="N23" s="15">
        <v>1483362497</v>
      </c>
      <c r="O23" s="15">
        <v>1521994629</v>
      </c>
      <c r="P23" s="15">
        <v>1655605384</v>
      </c>
      <c r="Q23" s="15">
        <v>1673827867</v>
      </c>
      <c r="R23" s="15">
        <v>4857871351</v>
      </c>
      <c r="S23" s="15">
        <v>4722313712</v>
      </c>
      <c r="T23" s="15">
        <v>4669962808</v>
      </c>
      <c r="U23" s="15">
        <v>4501744000</v>
      </c>
      <c r="V23" s="15">
        <v>4219032000</v>
      </c>
      <c r="W23" s="3">
        <v>1725755255</v>
      </c>
      <c r="X23" s="3">
        <v>1773974099</v>
      </c>
      <c r="Y23" s="3">
        <v>1810858611</v>
      </c>
      <c r="Z23" s="3">
        <v>1932567417</v>
      </c>
      <c r="AA23" s="3">
        <v>2592423662</v>
      </c>
      <c r="AB23" s="3">
        <v>9085427260</v>
      </c>
      <c r="AC23" s="3">
        <v>9361845188</v>
      </c>
      <c r="AD23" s="3">
        <v>9261882592</v>
      </c>
      <c r="AE23" s="3">
        <v>9350657000</v>
      </c>
      <c r="AF23" s="3">
        <v>9482281000</v>
      </c>
      <c r="AG23" s="13">
        <f t="shared" si="3"/>
        <v>3517828852.9199996</v>
      </c>
      <c r="AH23" s="13">
        <f t="shared" si="4"/>
        <v>9608288729.816</v>
      </c>
      <c r="AI23" s="13">
        <f t="shared" si="5"/>
        <v>6563058791.3679991</v>
      </c>
      <c r="AJ23" s="13">
        <f t="shared" si="6"/>
        <v>1555550436.2</v>
      </c>
      <c r="AK23" s="13">
        <f t="shared" si="7"/>
        <v>4594184774.1999998</v>
      </c>
      <c r="AL23" s="13">
        <f t="shared" si="12"/>
        <v>3074867605.1999998</v>
      </c>
      <c r="AM23" s="15">
        <f t="shared" si="13"/>
        <v>1967115808.8</v>
      </c>
      <c r="AN23" s="15">
        <f t="shared" si="14"/>
        <v>9308418608</v>
      </c>
      <c r="AO23" s="15">
        <f t="shared" si="15"/>
        <v>5637767208.3999996</v>
      </c>
      <c r="AP23" s="13">
        <f t="shared" si="8"/>
        <v>0.55918462524610346</v>
      </c>
      <c r="AQ23" s="13">
        <f t="shared" si="9"/>
        <v>0.96879047557288145</v>
      </c>
      <c r="AR23" s="13">
        <f t="shared" si="16"/>
        <v>0.85901519209534116</v>
      </c>
      <c r="AS23" s="13">
        <f t="shared" si="17"/>
        <v>1.2645786102605574</v>
      </c>
      <c r="AT23" s="13">
        <f t="shared" si="18"/>
        <v>2.0261306554917362</v>
      </c>
      <c r="AU23" s="13">
        <f t="shared" si="19"/>
        <v>1.8334991720833131</v>
      </c>
      <c r="AV23" s="11">
        <f t="shared" si="10"/>
        <v>0.44219048203803435</v>
      </c>
      <c r="AW23" s="11">
        <f t="shared" si="11"/>
        <v>0.47814807645648039</v>
      </c>
      <c r="AX23" s="11">
        <f t="shared" si="20"/>
        <v>0.32002239854202258</v>
      </c>
    </row>
    <row r="24" spans="1:50">
      <c r="A24" t="s">
        <v>27</v>
      </c>
      <c r="B24" t="s">
        <v>86</v>
      </c>
      <c r="C24" s="3">
        <v>3212267942.9400001</v>
      </c>
      <c r="D24" s="3">
        <v>3000685110.2800002</v>
      </c>
      <c r="E24" s="3">
        <v>4045677510</v>
      </c>
      <c r="F24" s="3">
        <v>4069991534.1799998</v>
      </c>
      <c r="G24" s="3">
        <v>4401697130.8800001</v>
      </c>
      <c r="H24" s="3">
        <v>4207504610.4000001</v>
      </c>
      <c r="I24" s="3">
        <v>4899098541.6999998</v>
      </c>
      <c r="J24" s="3">
        <v>4205175276.4200001</v>
      </c>
      <c r="K24" s="3">
        <v>4199660239.5999999</v>
      </c>
      <c r="L24" s="3">
        <v>4388820891.6899996</v>
      </c>
      <c r="M24" s="15">
        <v>3083000000</v>
      </c>
      <c r="N24" s="15">
        <v>904406000</v>
      </c>
      <c r="O24" s="15">
        <v>844708000</v>
      </c>
      <c r="P24" s="15">
        <v>1109104000</v>
      </c>
      <c r="Q24" s="15">
        <v>1652865000</v>
      </c>
      <c r="R24" s="15">
        <v>1792649000</v>
      </c>
      <c r="S24" s="15">
        <v>1942205000</v>
      </c>
      <c r="T24" s="15">
        <v>2199895000</v>
      </c>
      <c r="U24" s="15">
        <v>2327852000</v>
      </c>
      <c r="V24" s="15">
        <v>2506262000</v>
      </c>
      <c r="W24" s="3">
        <v>5712000000</v>
      </c>
      <c r="X24" s="3">
        <v>5608396000</v>
      </c>
      <c r="Y24" s="3">
        <v>5844369000</v>
      </c>
      <c r="Z24" s="3">
        <v>6759210000</v>
      </c>
      <c r="AA24" s="3">
        <v>8232454000</v>
      </c>
      <c r="AB24" s="3">
        <v>9123927000</v>
      </c>
      <c r="AC24" s="3">
        <v>10152007000</v>
      </c>
      <c r="AD24" s="3">
        <v>11030557000</v>
      </c>
      <c r="AE24" s="3">
        <v>11139648000</v>
      </c>
      <c r="AF24" s="3">
        <v>11972341000</v>
      </c>
      <c r="AG24" s="13">
        <f t="shared" si="3"/>
        <v>3746063845.6560006</v>
      </c>
      <c r="AH24" s="13">
        <f t="shared" si="4"/>
        <v>4380051911.9619999</v>
      </c>
      <c r="AI24" s="13">
        <f t="shared" si="5"/>
        <v>4063057878.8090005</v>
      </c>
      <c r="AJ24" s="13">
        <f t="shared" si="6"/>
        <v>1518816600</v>
      </c>
      <c r="AK24" s="13">
        <f t="shared" si="7"/>
        <v>2153772600</v>
      </c>
      <c r="AL24" s="13">
        <f t="shared" si="12"/>
        <v>1836294600</v>
      </c>
      <c r="AM24" s="15">
        <f t="shared" si="13"/>
        <v>6431285800</v>
      </c>
      <c r="AN24" s="15">
        <f t="shared" si="14"/>
        <v>10683696000</v>
      </c>
      <c r="AO24" s="15">
        <f t="shared" si="15"/>
        <v>8557490900</v>
      </c>
      <c r="AP24" s="13">
        <f t="shared" si="8"/>
        <v>1.7168115827651544</v>
      </c>
      <c r="AQ24" s="13">
        <f t="shared" si="9"/>
        <v>2.4391710908317399</v>
      </c>
      <c r="AR24" s="13">
        <f t="shared" si="16"/>
        <v>2.1061700707321571</v>
      </c>
      <c r="AS24" s="13">
        <f t="shared" si="17"/>
        <v>4.2344057867157892</v>
      </c>
      <c r="AT24" s="13">
        <f t="shared" si="18"/>
        <v>4.9604568281721111</v>
      </c>
      <c r="AU24" s="13">
        <f t="shared" si="19"/>
        <v>4.6601949926771011</v>
      </c>
      <c r="AV24" s="11">
        <f t="shared" si="10"/>
        <v>0.40544333000657357</v>
      </c>
      <c r="AW24" s="11">
        <f t="shared" si="11"/>
        <v>0.49172307618501249</v>
      </c>
      <c r="AX24" s="11">
        <f t="shared" si="20"/>
        <v>0.41924037360951061</v>
      </c>
    </row>
    <row r="25" spans="1:50">
      <c r="A25" t="s">
        <v>28</v>
      </c>
      <c r="B25" t="s">
        <v>88</v>
      </c>
      <c r="C25" s="3">
        <v>7411604700</v>
      </c>
      <c r="D25" s="3">
        <v>7664403620</v>
      </c>
      <c r="E25" s="3">
        <v>5790204000</v>
      </c>
      <c r="F25" s="3">
        <v>4412966400</v>
      </c>
      <c r="G25" s="3">
        <v>6007851300</v>
      </c>
      <c r="H25" s="3">
        <v>3397741740</v>
      </c>
      <c r="I25" s="3">
        <v>3623942700</v>
      </c>
      <c r="J25" s="3">
        <v>4636974420</v>
      </c>
      <c r="K25" s="3">
        <v>8595086580</v>
      </c>
      <c r="L25" s="3">
        <v>14917710510</v>
      </c>
      <c r="M25" s="15">
        <v>4605000000</v>
      </c>
      <c r="N25" s="15">
        <v>4143000000</v>
      </c>
      <c r="O25" s="15">
        <v>3858000000</v>
      </c>
      <c r="P25" s="15">
        <v>4821000000</v>
      </c>
      <c r="Q25" s="15">
        <v>5568000000</v>
      </c>
      <c r="R25" s="15">
        <v>4695000000</v>
      </c>
      <c r="S25" s="15">
        <v>6512000000</v>
      </c>
      <c r="T25" s="15">
        <v>7138000000</v>
      </c>
      <c r="U25" s="15">
        <v>8068000000</v>
      </c>
      <c r="V25" s="15">
        <v>9365000000</v>
      </c>
      <c r="W25" s="3">
        <v>26236000000</v>
      </c>
      <c r="X25" s="3">
        <v>25385000000</v>
      </c>
      <c r="Y25" s="3">
        <v>24711000000</v>
      </c>
      <c r="Z25" s="3">
        <v>25519000000</v>
      </c>
      <c r="AA25" s="3">
        <v>26893000000</v>
      </c>
      <c r="AB25" s="3">
        <v>27073000000</v>
      </c>
      <c r="AC25" s="3">
        <v>28379000000</v>
      </c>
      <c r="AD25" s="3">
        <v>28582000000</v>
      </c>
      <c r="AE25" s="3">
        <v>30693000000</v>
      </c>
      <c r="AF25" s="3">
        <v>33673000000</v>
      </c>
      <c r="AG25" s="13">
        <f t="shared" si="3"/>
        <v>6257406004</v>
      </c>
      <c r="AH25" s="13">
        <f t="shared" si="4"/>
        <v>7034291190</v>
      </c>
      <c r="AI25" s="13">
        <f t="shared" si="5"/>
        <v>6645848597</v>
      </c>
      <c r="AJ25" s="13">
        <f t="shared" si="6"/>
        <v>4599000000</v>
      </c>
      <c r="AK25" s="13">
        <f t="shared" si="7"/>
        <v>7155600000</v>
      </c>
      <c r="AL25" s="13">
        <f t="shared" si="12"/>
        <v>5877300000</v>
      </c>
      <c r="AM25" s="15">
        <f t="shared" si="13"/>
        <v>25748800000</v>
      </c>
      <c r="AN25" s="15">
        <f t="shared" si="14"/>
        <v>29680000000</v>
      </c>
      <c r="AO25" s="15">
        <f t="shared" si="15"/>
        <v>27714400000</v>
      </c>
      <c r="AP25" s="13">
        <f t="shared" si="8"/>
        <v>4.1149319675821374</v>
      </c>
      <c r="AQ25" s="13">
        <f t="shared" si="9"/>
        <v>4.2193305904357938</v>
      </c>
      <c r="AR25" s="13">
        <f t="shared" si="16"/>
        <v>4.1701822717584252</v>
      </c>
      <c r="AS25" s="13">
        <f t="shared" si="17"/>
        <v>5.598782343987823</v>
      </c>
      <c r="AT25" s="13">
        <f t="shared" si="18"/>
        <v>4.1478003242215884</v>
      </c>
      <c r="AU25" s="13">
        <f t="shared" si="19"/>
        <v>4.7154986133088324</v>
      </c>
      <c r="AV25" s="11">
        <f t="shared" si="10"/>
        <v>0.73496909055607451</v>
      </c>
      <c r="AW25" s="11">
        <f t="shared" si="11"/>
        <v>1.0172453494919933</v>
      </c>
      <c r="AX25" s="11">
        <f t="shared" si="20"/>
        <v>0.83552128299084527</v>
      </c>
    </row>
    <row r="26" spans="1:50">
      <c r="A26" t="s">
        <v>29</v>
      </c>
      <c r="B26" t="s">
        <v>90</v>
      </c>
      <c r="C26" s="3">
        <v>7457248735.1999998</v>
      </c>
      <c r="D26" s="3">
        <v>4385458881.1199999</v>
      </c>
      <c r="E26" s="3">
        <v>7382412826.5600004</v>
      </c>
      <c r="F26" s="3">
        <v>6986372990.04</v>
      </c>
      <c r="G26" s="3">
        <v>7802781804.1999998</v>
      </c>
      <c r="H26" s="3">
        <v>5499305165.4300003</v>
      </c>
      <c r="I26" s="3">
        <v>8494235007.3999996</v>
      </c>
      <c r="J26" s="3">
        <v>6928853951.04</v>
      </c>
      <c r="K26" s="3">
        <v>9214743212.3199997</v>
      </c>
      <c r="L26" s="3">
        <v>11646907607.67</v>
      </c>
      <c r="M26" s="15">
        <v>8759082000</v>
      </c>
      <c r="N26" s="15">
        <v>9197702000</v>
      </c>
      <c r="O26" s="15">
        <v>9479175000</v>
      </c>
      <c r="P26" s="15">
        <v>9983893000</v>
      </c>
      <c r="Q26" s="15">
        <v>10128399000</v>
      </c>
      <c r="R26" s="15">
        <v>9974029000</v>
      </c>
      <c r="S26" s="15">
        <v>11351605000</v>
      </c>
      <c r="T26" s="15">
        <v>11049790000</v>
      </c>
      <c r="U26" s="15">
        <v>11775431000</v>
      </c>
      <c r="V26" s="15">
        <v>11546865000</v>
      </c>
      <c r="W26" s="3">
        <v>70710618000</v>
      </c>
      <c r="X26" s="3">
        <v>69818605000</v>
      </c>
      <c r="Y26" s="3">
        <v>70445564000</v>
      </c>
      <c r="Z26" s="3">
        <v>72300522000</v>
      </c>
      <c r="AA26" s="3">
        <v>78244729000</v>
      </c>
      <c r="AB26" s="3">
        <v>78949665000</v>
      </c>
      <c r="AC26" s="3">
        <v>82598700000</v>
      </c>
      <c r="AD26" s="3">
        <v>90568420000</v>
      </c>
      <c r="AE26" s="3">
        <v>91639000000</v>
      </c>
      <c r="AF26" s="3">
        <v>99226274000</v>
      </c>
      <c r="AG26" s="13">
        <f t="shared" si="3"/>
        <v>6802855047.4240007</v>
      </c>
      <c r="AH26" s="13">
        <f t="shared" si="4"/>
        <v>8356808988.7720003</v>
      </c>
      <c r="AI26" s="13">
        <f t="shared" si="5"/>
        <v>7579832018.0980015</v>
      </c>
      <c r="AJ26" s="13">
        <f t="shared" si="6"/>
        <v>9509650200</v>
      </c>
      <c r="AK26" s="13">
        <f t="shared" si="7"/>
        <v>11139544000</v>
      </c>
      <c r="AL26" s="13">
        <f t="shared" si="12"/>
        <v>10324597100</v>
      </c>
      <c r="AM26" s="15">
        <f t="shared" si="13"/>
        <v>72304007600</v>
      </c>
      <c r="AN26" s="15">
        <f t="shared" si="14"/>
        <v>88596411800</v>
      </c>
      <c r="AO26" s="15">
        <f t="shared" si="15"/>
        <v>80450209700</v>
      </c>
      <c r="AP26" s="13">
        <f t="shared" si="8"/>
        <v>10.628479821480093</v>
      </c>
      <c r="AQ26" s="13">
        <f t="shared" si="9"/>
        <v>10.601703583154279</v>
      </c>
      <c r="AR26" s="13">
        <f t="shared" si="16"/>
        <v>10.613719342053081</v>
      </c>
      <c r="AS26" s="13">
        <f t="shared" si="17"/>
        <v>7.6032247327036275</v>
      </c>
      <c r="AT26" s="13">
        <f t="shared" si="18"/>
        <v>7.953324821913716</v>
      </c>
      <c r="AU26" s="13">
        <f t="shared" si="19"/>
        <v>7.7920919257953418</v>
      </c>
      <c r="AV26" s="11">
        <f t="shared" si="10"/>
        <v>1.397891052169481</v>
      </c>
      <c r="AW26" s="11">
        <f t="shared" si="11"/>
        <v>1.3329901419269978</v>
      </c>
      <c r="AX26" s="11">
        <f t="shared" si="20"/>
        <v>1.2354712323653527</v>
      </c>
    </row>
    <row r="27" spans="1:50">
      <c r="A27" t="s">
        <v>30</v>
      </c>
      <c r="B27" t="s">
        <v>92</v>
      </c>
      <c r="C27" s="3">
        <v>3231112786.6799998</v>
      </c>
      <c r="D27" s="3">
        <v>4120400519.3699999</v>
      </c>
      <c r="E27" s="3">
        <v>6503150425.1999998</v>
      </c>
      <c r="F27" s="3">
        <v>7340270702.7600002</v>
      </c>
      <c r="G27" s="3">
        <v>10086579117.27</v>
      </c>
      <c r="H27" s="3">
        <v>12669105697.5</v>
      </c>
      <c r="I27" s="3">
        <v>17001835637.82</v>
      </c>
      <c r="J27" s="3">
        <v>13314227008.5</v>
      </c>
      <c r="K27" s="3">
        <v>15044930713.200001</v>
      </c>
      <c r="L27" s="3">
        <v>13791256065.540001</v>
      </c>
      <c r="M27" s="15">
        <v>614911000</v>
      </c>
      <c r="N27" s="15">
        <v>774405000</v>
      </c>
      <c r="O27" s="15">
        <v>992122000</v>
      </c>
      <c r="P27" s="15">
        <v>1138913000</v>
      </c>
      <c r="Q27" s="15">
        <v>1374998000</v>
      </c>
      <c r="R27" s="15">
        <v>1633444000</v>
      </c>
      <c r="S27" s="15">
        <v>2724607000</v>
      </c>
      <c r="T27" s="15">
        <v>2917360000</v>
      </c>
      <c r="U27" s="15">
        <v>3277369000</v>
      </c>
      <c r="V27" s="15">
        <v>3689862000</v>
      </c>
      <c r="W27" s="3">
        <v>1012064000</v>
      </c>
      <c r="X27" s="3">
        <v>1151799000</v>
      </c>
      <c r="Y27" s="3">
        <v>1380047000</v>
      </c>
      <c r="Z27" s="3">
        <v>1625643000</v>
      </c>
      <c r="AA27" s="3">
        <v>2565423000</v>
      </c>
      <c r="AB27" s="3">
        <v>2756612000</v>
      </c>
      <c r="AC27" s="3">
        <v>4267988999</v>
      </c>
      <c r="AD27" s="3">
        <v>4639312000</v>
      </c>
      <c r="AE27" s="3">
        <v>4992020000</v>
      </c>
      <c r="AF27" s="3">
        <v>5504590000</v>
      </c>
      <c r="AG27" s="13">
        <f t="shared" si="3"/>
        <v>6256302710.2560005</v>
      </c>
      <c r="AH27" s="13">
        <f t="shared" si="4"/>
        <v>14364271024.511999</v>
      </c>
      <c r="AI27" s="13">
        <f t="shared" si="5"/>
        <v>10310286867.383999</v>
      </c>
      <c r="AJ27" s="13">
        <f t="shared" si="6"/>
        <v>979069800</v>
      </c>
      <c r="AK27" s="13">
        <f t="shared" si="7"/>
        <v>2848528400</v>
      </c>
      <c r="AL27" s="13">
        <f t="shared" si="12"/>
        <v>1913799100</v>
      </c>
      <c r="AM27" s="15">
        <f t="shared" si="13"/>
        <v>1546995200</v>
      </c>
      <c r="AN27" s="15">
        <f t="shared" si="14"/>
        <v>4432104599.8000002</v>
      </c>
      <c r="AO27" s="15">
        <f t="shared" si="15"/>
        <v>2989549899.9000001</v>
      </c>
      <c r="AP27" s="13">
        <f t="shared" si="8"/>
        <v>0.24726987673790143</v>
      </c>
      <c r="AQ27" s="13">
        <f t="shared" si="9"/>
        <v>0.30855061090373526</v>
      </c>
      <c r="AR27" s="13">
        <f t="shared" si="16"/>
        <v>0.28995797482194891</v>
      </c>
      <c r="AS27" s="13">
        <f t="shared" si="17"/>
        <v>1.5800663037507643</v>
      </c>
      <c r="AT27" s="13">
        <f t="shared" si="18"/>
        <v>1.555927825680095</v>
      </c>
      <c r="AU27" s="13">
        <f t="shared" si="19"/>
        <v>1.5621022603156205</v>
      </c>
      <c r="AV27" s="11">
        <f t="shared" si="10"/>
        <v>0.15649335483639629</v>
      </c>
      <c r="AW27" s="11">
        <f t="shared" si="11"/>
        <v>0.19830650613171466</v>
      </c>
      <c r="AX27" s="11">
        <f t="shared" si="20"/>
        <v>0.13323329090172314</v>
      </c>
    </row>
    <row r="28" spans="1:50">
      <c r="A28" t="s">
        <v>31</v>
      </c>
      <c r="B28" t="s">
        <v>94</v>
      </c>
      <c r="C28" s="3" t="s">
        <v>143</v>
      </c>
      <c r="D28" s="3">
        <v>5248529410.3000002</v>
      </c>
      <c r="E28" s="3">
        <v>5248529410.3000002</v>
      </c>
      <c r="F28" s="3">
        <v>5210555549.1000004</v>
      </c>
      <c r="G28" s="3">
        <v>7577401840</v>
      </c>
      <c r="H28" s="3">
        <v>10257892520</v>
      </c>
      <c r="I28" s="3">
        <v>11678208460</v>
      </c>
      <c r="J28" s="3">
        <v>9655013964</v>
      </c>
      <c r="K28" s="3">
        <v>9717162780</v>
      </c>
      <c r="L28" s="3">
        <v>6865934880</v>
      </c>
      <c r="M28" s="15">
        <f>AVERAGE(N28:Q28)</f>
        <v>1398328500</v>
      </c>
      <c r="N28" s="15">
        <v>1997832000</v>
      </c>
      <c r="O28" s="15">
        <v>1990789000</v>
      </c>
      <c r="P28" s="15">
        <v>157139000</v>
      </c>
      <c r="Q28" s="15">
        <v>1447554000</v>
      </c>
      <c r="R28" s="15">
        <v>1772214000</v>
      </c>
      <c r="S28" s="15">
        <v>13549696000</v>
      </c>
      <c r="T28" s="15">
        <v>13345047000</v>
      </c>
      <c r="U28" s="15">
        <v>11274415000</v>
      </c>
      <c r="V28" s="15">
        <v>11855841000</v>
      </c>
      <c r="W28" s="3" t="s">
        <v>143</v>
      </c>
      <c r="X28" s="3">
        <v>5319990000</v>
      </c>
      <c r="Y28" s="3">
        <v>6560842000</v>
      </c>
      <c r="Z28" s="3">
        <v>5254689000</v>
      </c>
      <c r="AA28" s="3">
        <v>5288293000</v>
      </c>
      <c r="AB28" s="3">
        <v>6286101000</v>
      </c>
      <c r="AC28" s="3">
        <v>25205713000</v>
      </c>
      <c r="AD28" s="3">
        <v>25475461000</v>
      </c>
      <c r="AE28" s="3">
        <v>26349788000</v>
      </c>
      <c r="AF28" s="3">
        <v>24495318000</v>
      </c>
      <c r="AG28" s="13">
        <f t="shared" si="3"/>
        <v>5821254052.4250002</v>
      </c>
      <c r="AH28" s="13">
        <f t="shared" si="4"/>
        <v>9634842520.7999992</v>
      </c>
      <c r="AI28" s="13">
        <f t="shared" si="5"/>
        <v>7939914312.6333332</v>
      </c>
      <c r="AJ28" s="13">
        <f t="shared" si="6"/>
        <v>1398328500</v>
      </c>
      <c r="AK28" s="13">
        <f t="shared" si="7"/>
        <v>10359442600</v>
      </c>
      <c r="AL28" s="13">
        <f t="shared" si="12"/>
        <v>5878885550</v>
      </c>
      <c r="AM28" s="15">
        <f t="shared" si="13"/>
        <v>5605953500</v>
      </c>
      <c r="AN28" s="15">
        <f t="shared" si="14"/>
        <v>21562476200</v>
      </c>
      <c r="AO28" s="15">
        <f t="shared" si="15"/>
        <v>14470688333.333334</v>
      </c>
      <c r="AP28" s="13">
        <f t="shared" si="8"/>
        <v>0.96301474725444924</v>
      </c>
      <c r="AQ28" s="13">
        <f t="shared" si="9"/>
        <v>2.2379687216942314</v>
      </c>
      <c r="AR28" s="13">
        <f t="shared" si="16"/>
        <v>1.8225244963045477</v>
      </c>
      <c r="AS28" s="13">
        <f t="shared" si="17"/>
        <v>4.0090390062134897</v>
      </c>
      <c r="AT28" s="13">
        <f t="shared" si="18"/>
        <v>2.0814320840003497</v>
      </c>
      <c r="AU28" s="13">
        <f t="shared" si="19"/>
        <v>2.461467944946357</v>
      </c>
      <c r="AV28" s="11">
        <f t="shared" si="10"/>
        <v>0.24021086992715746</v>
      </c>
      <c r="AW28" s="11">
        <f t="shared" si="11"/>
        <v>1.0752062192646856</v>
      </c>
      <c r="AX28" s="11">
        <f t="shared" si="20"/>
        <v>0.61016934499017272</v>
      </c>
    </row>
    <row r="29" spans="1:50">
      <c r="A29" t="s">
        <v>32</v>
      </c>
      <c r="B29" t="s">
        <v>96</v>
      </c>
      <c r="C29" s="3">
        <v>9265248226.8999996</v>
      </c>
      <c r="D29" s="3">
        <v>8241554100</v>
      </c>
      <c r="E29" s="3">
        <v>8221022724.6000004</v>
      </c>
      <c r="F29" s="3">
        <v>9103586700</v>
      </c>
      <c r="G29" s="3">
        <v>13164622594.200001</v>
      </c>
      <c r="H29" s="3">
        <v>10823088931.200001</v>
      </c>
      <c r="I29" s="3">
        <v>15012121491.66</v>
      </c>
      <c r="J29" s="3">
        <v>11855980702.17</v>
      </c>
      <c r="K29" s="3">
        <v>13439743763.860001</v>
      </c>
      <c r="L29" s="3">
        <v>17635246755.900002</v>
      </c>
      <c r="M29" s="15">
        <v>10835000000</v>
      </c>
      <c r="N29" s="15">
        <v>8880000000</v>
      </c>
      <c r="O29" s="15">
        <v>8096000000</v>
      </c>
      <c r="P29" s="15">
        <v>8806000000</v>
      </c>
      <c r="Q29" s="15">
        <v>10585000000</v>
      </c>
      <c r="R29" s="15">
        <v>12731000000</v>
      </c>
      <c r="S29" s="15">
        <v>13055000000</v>
      </c>
      <c r="T29" s="15">
        <v>8436000000</v>
      </c>
      <c r="U29" s="15">
        <v>11222000000</v>
      </c>
      <c r="V29" s="15">
        <v>12480000000</v>
      </c>
      <c r="W29" s="3">
        <v>175836000000</v>
      </c>
      <c r="X29" s="3">
        <v>193205000000</v>
      </c>
      <c r="Y29" s="3">
        <v>202670000000</v>
      </c>
      <c r="Z29" s="3">
        <v>208883000000</v>
      </c>
      <c r="AA29" s="3">
        <v>238251000000</v>
      </c>
      <c r="AB29" s="3">
        <v>272357000000</v>
      </c>
      <c r="AC29" s="3">
        <v>284728000000</v>
      </c>
      <c r="AD29" s="3">
        <v>261626000000</v>
      </c>
      <c r="AE29" s="3">
        <v>270827000000</v>
      </c>
      <c r="AF29" s="3">
        <v>277098000000</v>
      </c>
      <c r="AG29" s="13">
        <f t="shared" si="3"/>
        <v>9599206869.1399994</v>
      </c>
      <c r="AH29" s="13">
        <f t="shared" si="4"/>
        <v>13753236328.958002</v>
      </c>
      <c r="AI29" s="13">
        <f t="shared" si="5"/>
        <v>11676221599.049</v>
      </c>
      <c r="AJ29" s="13">
        <f t="shared" si="6"/>
        <v>9440400000</v>
      </c>
      <c r="AK29" s="13">
        <f t="shared" si="7"/>
        <v>11584800000</v>
      </c>
      <c r="AL29" s="13">
        <f t="shared" si="12"/>
        <v>10512600000</v>
      </c>
      <c r="AM29" s="15">
        <f t="shared" si="13"/>
        <v>203769000000</v>
      </c>
      <c r="AN29" s="15">
        <f t="shared" si="14"/>
        <v>273327200000</v>
      </c>
      <c r="AO29" s="15">
        <f t="shared" si="15"/>
        <v>238548100000</v>
      </c>
      <c r="AP29" s="13">
        <f t="shared" si="8"/>
        <v>21.227691285108833</v>
      </c>
      <c r="AQ29" s="13">
        <f t="shared" si="9"/>
        <v>19.873664166193262</v>
      </c>
      <c r="AR29" s="13">
        <f t="shared" si="16"/>
        <v>20.430247745506062</v>
      </c>
      <c r="AS29" s="13">
        <f t="shared" si="17"/>
        <v>21.584784543027837</v>
      </c>
      <c r="AT29" s="13">
        <f t="shared" si="18"/>
        <v>23.593605413990748</v>
      </c>
      <c r="AU29" s="13">
        <f t="shared" si="19"/>
        <v>22.691636702623519</v>
      </c>
      <c r="AV29" s="11">
        <f t="shared" si="10"/>
        <v>0.98345625098980427</v>
      </c>
      <c r="AW29" s="11">
        <f t="shared" si="11"/>
        <v>0.84233264977841826</v>
      </c>
      <c r="AX29" s="11">
        <f t="shared" si="20"/>
        <v>0.76437281731757134</v>
      </c>
    </row>
    <row r="30" spans="1:50">
      <c r="A30" t="s">
        <v>33</v>
      </c>
      <c r="B30" t="s">
        <v>98</v>
      </c>
      <c r="C30" s="3">
        <v>4334505430.96</v>
      </c>
      <c r="D30" s="3">
        <v>5223028237.0699997</v>
      </c>
      <c r="E30" s="3">
        <v>5524952400</v>
      </c>
      <c r="F30" s="3">
        <v>4274499650</v>
      </c>
      <c r="G30" s="3">
        <v>5654857110</v>
      </c>
      <c r="H30" s="3">
        <v>7656007920</v>
      </c>
      <c r="I30" s="3">
        <v>8721438880</v>
      </c>
      <c r="J30" s="3">
        <v>9132806020</v>
      </c>
      <c r="K30" s="3">
        <v>11359865963.92</v>
      </c>
      <c r="L30" s="3">
        <v>17359756400</v>
      </c>
      <c r="M30" s="15">
        <v>1341000000</v>
      </c>
      <c r="N30" s="15">
        <v>1559000000</v>
      </c>
      <c r="O30" s="15">
        <v>1590000000</v>
      </c>
      <c r="P30" s="15">
        <v>2496000000</v>
      </c>
      <c r="Q30" s="15">
        <v>2628000000</v>
      </c>
      <c r="R30" s="15">
        <v>2454000000</v>
      </c>
      <c r="S30" s="15">
        <v>3103000000</v>
      </c>
      <c r="T30" s="15">
        <v>3772000000</v>
      </c>
      <c r="U30" s="15">
        <v>4003000000</v>
      </c>
      <c r="V30" s="15">
        <v>5666000000</v>
      </c>
      <c r="W30" s="3">
        <v>6115000000</v>
      </c>
      <c r="X30" s="3">
        <v>6311000000</v>
      </c>
      <c r="Y30" s="3">
        <v>6743000000</v>
      </c>
      <c r="Z30" s="3">
        <v>10143000000</v>
      </c>
      <c r="AA30" s="3">
        <v>10486000000</v>
      </c>
      <c r="AB30" s="3">
        <v>9930000000</v>
      </c>
      <c r="AC30" s="3">
        <v>12016000000</v>
      </c>
      <c r="AD30" s="3">
        <v>12756000000</v>
      </c>
      <c r="AE30" s="3">
        <v>13323000000</v>
      </c>
      <c r="AF30" s="3">
        <v>18202000000</v>
      </c>
      <c r="AG30" s="13">
        <f t="shared" si="3"/>
        <v>5002368565.6059999</v>
      </c>
      <c r="AH30" s="13">
        <f t="shared" si="4"/>
        <v>10845975036.784</v>
      </c>
      <c r="AI30" s="13">
        <f t="shared" si="5"/>
        <v>7924171801.1949997</v>
      </c>
      <c r="AJ30" s="13">
        <f t="shared" si="6"/>
        <v>1922800000</v>
      </c>
      <c r="AK30" s="13">
        <f t="shared" si="7"/>
        <v>3799600000</v>
      </c>
      <c r="AL30" s="13">
        <f t="shared" si="12"/>
        <v>2861200000</v>
      </c>
      <c r="AM30" s="15">
        <f t="shared" si="13"/>
        <v>7959600000</v>
      </c>
      <c r="AN30" s="15">
        <f t="shared" si="14"/>
        <v>13245400000</v>
      </c>
      <c r="AO30" s="15">
        <f t="shared" si="15"/>
        <v>10602500000</v>
      </c>
      <c r="AP30" s="13">
        <f t="shared" si="8"/>
        <v>1.5911662436723619</v>
      </c>
      <c r="AQ30" s="13">
        <f t="shared" si="9"/>
        <v>1.2212272253143104</v>
      </c>
      <c r="AR30" s="13">
        <f t="shared" si="16"/>
        <v>1.3379947161671957</v>
      </c>
      <c r="AS30" s="13">
        <f t="shared" si="17"/>
        <v>4.139588100686499</v>
      </c>
      <c r="AT30" s="13">
        <f t="shared" si="18"/>
        <v>3.4859985261606483</v>
      </c>
      <c r="AU30" s="13">
        <f t="shared" si="19"/>
        <v>3.7056130294981129</v>
      </c>
      <c r="AV30" s="11">
        <f t="shared" si="10"/>
        <v>0.3843779151380996</v>
      </c>
      <c r="AW30" s="11">
        <f t="shared" si="11"/>
        <v>0.35032350591935718</v>
      </c>
      <c r="AX30" s="11">
        <f t="shared" si="20"/>
        <v>0.26380293060755466</v>
      </c>
    </row>
    <row r="31" spans="1:50">
      <c r="A31" t="s">
        <v>34</v>
      </c>
      <c r="B31" t="s">
        <v>100</v>
      </c>
      <c r="C31" s="3">
        <v>4944956564.46</v>
      </c>
      <c r="D31" s="3">
        <v>5548680892.5600004</v>
      </c>
      <c r="E31" s="3">
        <v>7722230898.6999998</v>
      </c>
      <c r="F31" s="3">
        <v>6135462533.3000002</v>
      </c>
      <c r="G31" s="3">
        <v>7700316881.0100002</v>
      </c>
      <c r="H31" s="3">
        <v>9327015806.25</v>
      </c>
      <c r="I31" s="3">
        <v>11639626528.5</v>
      </c>
      <c r="J31" s="3">
        <v>7966307421.25</v>
      </c>
      <c r="K31" s="3">
        <v>10076072664</v>
      </c>
      <c r="L31" s="3">
        <v>10439601794.6</v>
      </c>
      <c r="M31" s="15">
        <v>864602000</v>
      </c>
      <c r="N31" s="15">
        <v>881055000</v>
      </c>
      <c r="O31" s="15">
        <v>955457000</v>
      </c>
      <c r="P31" s="15">
        <v>889582001</v>
      </c>
      <c r="Q31" s="15">
        <v>1154177000</v>
      </c>
      <c r="R31" s="15">
        <v>1167947000</v>
      </c>
      <c r="S31" s="15">
        <v>1254047000</v>
      </c>
      <c r="T31" s="15">
        <v>1576604000</v>
      </c>
      <c r="U31" s="15">
        <v>1830600000</v>
      </c>
      <c r="V31" s="15">
        <v>2010231000</v>
      </c>
      <c r="W31" s="3">
        <v>1468886000</v>
      </c>
      <c r="X31" s="3">
        <v>1560743000</v>
      </c>
      <c r="Y31" s="3">
        <v>2056407000</v>
      </c>
      <c r="Z31" s="3">
        <v>2163432000</v>
      </c>
      <c r="AA31" s="3">
        <v>2808930000</v>
      </c>
      <c r="AB31" s="3">
        <v>2711654000</v>
      </c>
      <c r="AC31" s="3">
        <v>2816199000</v>
      </c>
      <c r="AD31" s="3">
        <v>3998823000</v>
      </c>
      <c r="AE31" s="3">
        <v>4208131000</v>
      </c>
      <c r="AF31" s="3">
        <v>5134455000</v>
      </c>
      <c r="AG31" s="13">
        <f t="shared" si="3"/>
        <v>6410329554.0059996</v>
      </c>
      <c r="AH31" s="13">
        <f t="shared" si="4"/>
        <v>9889724842.9200001</v>
      </c>
      <c r="AI31" s="13">
        <f t="shared" si="5"/>
        <v>8150027198.4630003</v>
      </c>
      <c r="AJ31" s="13">
        <f t="shared" si="6"/>
        <v>948974600.20000005</v>
      </c>
      <c r="AK31" s="13">
        <f t="shared" si="7"/>
        <v>1567885800</v>
      </c>
      <c r="AL31" s="13">
        <f t="shared" si="12"/>
        <v>1258430200.0999999</v>
      </c>
      <c r="AM31" s="15">
        <f t="shared" si="13"/>
        <v>2011679600</v>
      </c>
      <c r="AN31" s="15">
        <f t="shared" si="14"/>
        <v>3773852400</v>
      </c>
      <c r="AO31" s="15">
        <f t="shared" si="15"/>
        <v>2892766000</v>
      </c>
      <c r="AP31" s="13">
        <f t="shared" si="8"/>
        <v>0.31381843679828342</v>
      </c>
      <c r="AQ31" s="13">
        <f t="shared" si="9"/>
        <v>0.38159326573192581</v>
      </c>
      <c r="AR31" s="13">
        <f t="shared" si="16"/>
        <v>0.35493942898074521</v>
      </c>
      <c r="AS31" s="13">
        <f t="shared" si="17"/>
        <v>2.1198455676011041</v>
      </c>
      <c r="AT31" s="13">
        <f t="shared" si="18"/>
        <v>2.4069689259255997</v>
      </c>
      <c r="AU31" s="13">
        <f t="shared" si="19"/>
        <v>2.298709932239491</v>
      </c>
      <c r="AV31" s="11">
        <f t="shared" si="10"/>
        <v>0.14803834845073738</v>
      </c>
      <c r="AW31" s="11">
        <f t="shared" si="11"/>
        <v>0.15853684757695163</v>
      </c>
      <c r="AX31" s="11">
        <f t="shared" si="20"/>
        <v>0.12724622980799138</v>
      </c>
    </row>
    <row r="32" spans="1:50">
      <c r="A32" t="s">
        <v>35</v>
      </c>
      <c r="B32" t="s">
        <v>102</v>
      </c>
      <c r="C32" s="3">
        <v>3291169633.7399998</v>
      </c>
      <c r="D32" s="3">
        <v>2354607752.9699998</v>
      </c>
      <c r="E32" s="3">
        <v>2017954421.8399999</v>
      </c>
      <c r="F32" s="3">
        <v>1721633016.9100001</v>
      </c>
      <c r="G32" s="3">
        <v>2286620880.48</v>
      </c>
      <c r="H32" s="3">
        <v>1151601032.54</v>
      </c>
      <c r="I32" s="3">
        <v>914294693.27999997</v>
      </c>
      <c r="J32" s="3">
        <v>1062586446.4400001</v>
      </c>
      <c r="K32" s="3">
        <v>2932867405.6500001</v>
      </c>
      <c r="L32" s="3">
        <v>4938721180</v>
      </c>
      <c r="M32" s="15">
        <v>3369000000</v>
      </c>
      <c r="N32" s="15">
        <v>4845000000</v>
      </c>
      <c r="O32" s="15">
        <v>4549000000</v>
      </c>
      <c r="P32" s="15">
        <v>3858000000</v>
      </c>
      <c r="Q32" s="15">
        <v>4014000000</v>
      </c>
      <c r="R32" s="15">
        <v>2929000000</v>
      </c>
      <c r="S32" s="15">
        <v>234000000</v>
      </c>
      <c r="T32" s="15">
        <v>1955000000</v>
      </c>
      <c r="U32" s="15">
        <v>2394000000</v>
      </c>
      <c r="V32" s="15">
        <v>2533000000</v>
      </c>
      <c r="W32" s="3">
        <v>16319000000</v>
      </c>
      <c r="X32" s="3">
        <v>14286000000</v>
      </c>
      <c r="Y32" s="3">
        <v>12590000000</v>
      </c>
      <c r="Z32" s="3">
        <v>11677000000</v>
      </c>
      <c r="AA32" s="3">
        <v>13009000000</v>
      </c>
      <c r="AB32" s="3">
        <v>11262000000</v>
      </c>
      <c r="AC32" s="3">
        <v>11542000000</v>
      </c>
      <c r="AD32" s="3">
        <v>12397000000</v>
      </c>
      <c r="AE32" s="3">
        <v>12865000000</v>
      </c>
      <c r="AF32" s="3">
        <v>14519000000</v>
      </c>
      <c r="AG32" s="13">
        <f t="shared" si="3"/>
        <v>2334397141.1879997</v>
      </c>
      <c r="AH32" s="13">
        <f t="shared" si="4"/>
        <v>2200014151.5819998</v>
      </c>
      <c r="AI32" s="13">
        <f t="shared" si="5"/>
        <v>2267205646.3850002</v>
      </c>
      <c r="AJ32" s="13">
        <f t="shared" si="6"/>
        <v>4127000000</v>
      </c>
      <c r="AK32" s="13">
        <f t="shared" si="7"/>
        <v>2009000000</v>
      </c>
      <c r="AL32" s="13">
        <f t="shared" si="12"/>
        <v>3068000000</v>
      </c>
      <c r="AM32" s="15">
        <f t="shared" si="13"/>
        <v>13576200000</v>
      </c>
      <c r="AN32" s="15">
        <f t="shared" si="14"/>
        <v>12517000000</v>
      </c>
      <c r="AO32" s="15">
        <f t="shared" si="15"/>
        <v>13046600000</v>
      </c>
      <c r="AP32" s="13">
        <f t="shared" si="8"/>
        <v>5.8157199391920633</v>
      </c>
      <c r="AQ32" s="13">
        <f t="shared" si="9"/>
        <v>5.6895088565676719</v>
      </c>
      <c r="AR32" s="13">
        <f t="shared" si="16"/>
        <v>5.7544846100760472</v>
      </c>
      <c r="AS32" s="13">
        <f t="shared" si="17"/>
        <v>3.2896050399806156</v>
      </c>
      <c r="AT32" s="13">
        <f t="shared" si="18"/>
        <v>6.2304629168740666</v>
      </c>
      <c r="AU32" s="13">
        <f t="shared" si="19"/>
        <v>4.2524771838331157</v>
      </c>
      <c r="AV32" s="11">
        <f t="shared" si="10"/>
        <v>1.7679082651290969</v>
      </c>
      <c r="AW32" s="11">
        <f t="shared" si="11"/>
        <v>0.91317594414352099</v>
      </c>
      <c r="AX32" s="11">
        <f t="shared" si="20"/>
        <v>1.3945364841375423</v>
      </c>
    </row>
    <row r="33" spans="1:50">
      <c r="A33" t="s">
        <v>36</v>
      </c>
      <c r="B33" t="s">
        <v>104</v>
      </c>
      <c r="C33" s="3">
        <v>17042618784.280001</v>
      </c>
      <c r="D33" s="3">
        <v>13570566475.74</v>
      </c>
      <c r="E33" s="3">
        <v>13792299065.48</v>
      </c>
      <c r="F33" s="3">
        <v>13229755970.959999</v>
      </c>
      <c r="G33" s="3">
        <v>15479782140.83</v>
      </c>
      <c r="H33" s="3">
        <v>15051296094</v>
      </c>
      <c r="I33" s="3">
        <v>17335418270.799999</v>
      </c>
      <c r="J33" s="3">
        <v>15114782933.219999</v>
      </c>
      <c r="K33" s="3">
        <v>15625537196.200001</v>
      </c>
      <c r="L33" s="3">
        <v>14354873681.719999</v>
      </c>
      <c r="M33" s="15">
        <v>7038000000</v>
      </c>
      <c r="N33" s="15">
        <v>6583000000</v>
      </c>
      <c r="O33" s="15">
        <v>6358000000</v>
      </c>
      <c r="P33" s="15">
        <v>6431000000</v>
      </c>
      <c r="Q33" s="15">
        <v>6675000000</v>
      </c>
      <c r="R33" s="15">
        <v>6921000000</v>
      </c>
      <c r="S33" s="15">
        <v>7373000000</v>
      </c>
      <c r="T33" s="15">
        <v>7596000000</v>
      </c>
      <c r="U33" s="15">
        <v>7776000000</v>
      </c>
      <c r="V33" s="15">
        <v>8997000000</v>
      </c>
      <c r="W33" s="3">
        <v>24880000000</v>
      </c>
      <c r="X33" s="3">
        <v>20129000000</v>
      </c>
      <c r="Y33" s="3">
        <v>22200000000</v>
      </c>
      <c r="Z33" s="3">
        <v>22989000000</v>
      </c>
      <c r="AA33" s="3">
        <v>24485000000</v>
      </c>
      <c r="AB33" s="3">
        <v>26130000000</v>
      </c>
      <c r="AC33" s="3">
        <v>27356000000</v>
      </c>
      <c r="AD33" s="3">
        <v>32470000000</v>
      </c>
      <c r="AE33" s="3">
        <v>33607000000</v>
      </c>
      <c r="AF33" s="3">
        <v>35789000000</v>
      </c>
      <c r="AG33" s="13">
        <f t="shared" si="3"/>
        <v>14623004487.457998</v>
      </c>
      <c r="AH33" s="13">
        <f t="shared" si="4"/>
        <v>15496381635.188</v>
      </c>
      <c r="AI33" s="13">
        <f t="shared" si="5"/>
        <v>15059693061.322998</v>
      </c>
      <c r="AJ33" s="13">
        <f t="shared" si="6"/>
        <v>6617000000</v>
      </c>
      <c r="AK33" s="13">
        <f t="shared" si="7"/>
        <v>7732600000</v>
      </c>
      <c r="AL33" s="13">
        <f t="shared" si="12"/>
        <v>7174800000</v>
      </c>
      <c r="AM33" s="15">
        <f t="shared" si="13"/>
        <v>22936600000</v>
      </c>
      <c r="AN33" s="15">
        <f t="shared" si="14"/>
        <v>31070400000</v>
      </c>
      <c r="AO33" s="15">
        <f t="shared" si="15"/>
        <v>27003500000</v>
      </c>
      <c r="AP33" s="13">
        <f t="shared" si="8"/>
        <v>1.5685285482660207</v>
      </c>
      <c r="AQ33" s="13">
        <f t="shared" si="9"/>
        <v>2.0050099908128041</v>
      </c>
      <c r="AR33" s="13">
        <f t="shared" si="16"/>
        <v>1.7930976341975815</v>
      </c>
      <c r="AS33" s="13">
        <f t="shared" si="17"/>
        <v>3.4663140395949825</v>
      </c>
      <c r="AT33" s="13">
        <f t="shared" si="18"/>
        <v>4.0181051651449708</v>
      </c>
      <c r="AU33" s="13">
        <f t="shared" si="19"/>
        <v>3.7636589173217372</v>
      </c>
      <c r="AV33" s="11">
        <f t="shared" si="10"/>
        <v>0.45250618678776539</v>
      </c>
      <c r="AW33" s="11">
        <f t="shared" si="11"/>
        <v>0.49899390593487986</v>
      </c>
      <c r="AX33" s="11">
        <f t="shared" si="20"/>
        <v>0.46299840626717736</v>
      </c>
    </row>
    <row r="34" spans="1:50">
      <c r="A34" t="s">
        <v>37</v>
      </c>
      <c r="B34" t="s">
        <v>106</v>
      </c>
      <c r="C34" s="3">
        <v>12960561900</v>
      </c>
      <c r="D34" s="3">
        <v>13102744540</v>
      </c>
      <c r="E34" s="3">
        <v>23285578080</v>
      </c>
      <c r="F34" s="3">
        <v>19463878230</v>
      </c>
      <c r="G34" s="3">
        <v>20630663660</v>
      </c>
      <c r="H34" s="3">
        <v>22635069320</v>
      </c>
      <c r="I34" s="3">
        <v>51059449960</v>
      </c>
      <c r="J34" s="3">
        <v>41637580140</v>
      </c>
      <c r="K34" s="3">
        <v>65790538250</v>
      </c>
      <c r="L34" s="3">
        <v>37172650120.019997</v>
      </c>
      <c r="M34" s="15">
        <v>16248000000</v>
      </c>
      <c r="N34" s="15">
        <v>19362000000</v>
      </c>
      <c r="O34" s="15">
        <v>21207000000</v>
      </c>
      <c r="P34" s="15">
        <v>25639000000</v>
      </c>
      <c r="Q34" s="15">
        <v>30165000000</v>
      </c>
      <c r="R34" s="15">
        <v>27582000000</v>
      </c>
      <c r="S34" s="15">
        <v>60281000000</v>
      </c>
      <c r="T34" s="15">
        <v>76331000000</v>
      </c>
      <c r="U34" s="15">
        <v>86477000000</v>
      </c>
      <c r="V34" s="15">
        <v>86199000000</v>
      </c>
      <c r="W34" s="3">
        <v>105040000000</v>
      </c>
      <c r="X34" s="3">
        <v>104343000000</v>
      </c>
      <c r="Y34" s="3">
        <v>96299000000</v>
      </c>
      <c r="Z34" s="3">
        <v>96873000000</v>
      </c>
      <c r="AA34" s="3">
        <v>98044000000</v>
      </c>
      <c r="AB34" s="3">
        <v>99730000000</v>
      </c>
      <c r="AC34" s="3">
        <v>171766000000</v>
      </c>
      <c r="AD34" s="3">
        <v>186156000000</v>
      </c>
      <c r="AE34" s="3">
        <v>202128000000</v>
      </c>
      <c r="AF34" s="3">
        <v>207607000000</v>
      </c>
      <c r="AG34" s="13">
        <f t="shared" si="3"/>
        <v>17888685282</v>
      </c>
      <c r="AH34" s="13">
        <f t="shared" si="4"/>
        <v>43659057558.003998</v>
      </c>
      <c r="AI34" s="13">
        <f t="shared" si="5"/>
        <v>30773871420.002003</v>
      </c>
      <c r="AJ34" s="13">
        <f t="shared" si="6"/>
        <v>22524200000</v>
      </c>
      <c r="AK34" s="13">
        <f t="shared" si="7"/>
        <v>67374000000</v>
      </c>
      <c r="AL34" s="13">
        <f t="shared" si="12"/>
        <v>44949100000</v>
      </c>
      <c r="AM34" s="15">
        <f t="shared" si="13"/>
        <v>100119800000</v>
      </c>
      <c r="AN34" s="15">
        <f t="shared" si="14"/>
        <v>173477400000</v>
      </c>
      <c r="AO34" s="15">
        <f t="shared" si="15"/>
        <v>136798600000</v>
      </c>
      <c r="AP34" s="13">
        <f t="shared" si="8"/>
        <v>5.5968227078567256</v>
      </c>
      <c r="AQ34" s="13">
        <f t="shared" si="9"/>
        <v>3.9734572778975723</v>
      </c>
      <c r="AR34" s="13">
        <f t="shared" si="16"/>
        <v>4.4452840571461349</v>
      </c>
      <c r="AS34" s="13">
        <f t="shared" si="17"/>
        <v>4.4449880572894926</v>
      </c>
      <c r="AT34" s="13">
        <f t="shared" si="18"/>
        <v>2.5748419271529075</v>
      </c>
      <c r="AU34" s="13">
        <f t="shared" si="19"/>
        <v>3.0434113252545658</v>
      </c>
      <c r="AV34" s="11">
        <f t="shared" si="10"/>
        <v>1.2591311013037028</v>
      </c>
      <c r="AW34" s="11">
        <f t="shared" si="11"/>
        <v>1.5431849372948352</v>
      </c>
      <c r="AX34" s="11">
        <f t="shared" si="20"/>
        <v>1.0295481055742464</v>
      </c>
    </row>
    <row r="35" spans="1:50">
      <c r="A35" t="s">
        <v>38</v>
      </c>
      <c r="B35" t="s">
        <v>108</v>
      </c>
      <c r="C35" s="3">
        <v>5884419159.1800003</v>
      </c>
      <c r="D35" s="3">
        <v>9991363045.3199997</v>
      </c>
      <c r="E35" s="3">
        <v>19604405667.540001</v>
      </c>
      <c r="F35" s="3">
        <v>12855996478.41</v>
      </c>
      <c r="G35" s="3">
        <v>24139694250.82</v>
      </c>
      <c r="H35" s="3">
        <v>33089688168.91</v>
      </c>
      <c r="I35" s="3">
        <v>44678949795.199997</v>
      </c>
      <c r="J35" s="3">
        <v>31965496557.41</v>
      </c>
      <c r="K35" s="3">
        <v>44764893031.989998</v>
      </c>
      <c r="L35" s="3">
        <v>22657950743.810001</v>
      </c>
      <c r="M35" s="15">
        <v>5350000000</v>
      </c>
      <c r="N35" s="15">
        <v>5215000000</v>
      </c>
      <c r="O35" s="15">
        <v>5771000000</v>
      </c>
      <c r="P35" s="15">
        <v>7077000000</v>
      </c>
      <c r="Q35" s="15">
        <v>7062000000</v>
      </c>
      <c r="R35" s="15">
        <v>8313000000</v>
      </c>
      <c r="S35" s="15">
        <v>9565000000</v>
      </c>
      <c r="T35" s="15">
        <v>13579000000</v>
      </c>
      <c r="U35" s="15">
        <v>16783000000</v>
      </c>
      <c r="V35" s="15">
        <v>17496000000</v>
      </c>
      <c r="W35" s="3">
        <v>9159000000</v>
      </c>
      <c r="X35" s="3">
        <v>9069000000</v>
      </c>
      <c r="Y35" s="3">
        <v>10872000000</v>
      </c>
      <c r="Z35" s="3">
        <v>11790000000</v>
      </c>
      <c r="AA35" s="3">
        <v>11868000000</v>
      </c>
      <c r="AB35" s="3">
        <v>15306000000</v>
      </c>
      <c r="AC35" s="3">
        <v>16413000000</v>
      </c>
      <c r="AD35" s="3">
        <v>20987000000</v>
      </c>
      <c r="AE35" s="3">
        <v>24453000000</v>
      </c>
      <c r="AF35" s="3">
        <v>24743000000</v>
      </c>
      <c r="AG35" s="13">
        <f t="shared" si="3"/>
        <v>14495175720.253998</v>
      </c>
      <c r="AH35" s="13">
        <f t="shared" si="4"/>
        <v>35431395659.464005</v>
      </c>
      <c r="AI35" s="13">
        <f t="shared" si="5"/>
        <v>24963285689.859001</v>
      </c>
      <c r="AJ35" s="13">
        <f t="shared" si="6"/>
        <v>6095000000</v>
      </c>
      <c r="AK35" s="13">
        <f t="shared" si="7"/>
        <v>13147200000</v>
      </c>
      <c r="AL35" s="13">
        <f t="shared" si="12"/>
        <v>9621100000</v>
      </c>
      <c r="AM35" s="15">
        <f t="shared" si="13"/>
        <v>10551600000</v>
      </c>
      <c r="AN35" s="15">
        <f t="shared" si="14"/>
        <v>20380400000</v>
      </c>
      <c r="AO35" s="15">
        <f t="shared" si="15"/>
        <v>15466000000</v>
      </c>
      <c r="AP35" s="13">
        <f t="shared" si="8"/>
        <v>0.72793874345768228</v>
      </c>
      <c r="AQ35" s="13">
        <f t="shared" si="9"/>
        <v>0.57520737246364251</v>
      </c>
      <c r="AR35" s="13">
        <f t="shared" si="16"/>
        <v>0.61954985381923722</v>
      </c>
      <c r="AS35" s="13">
        <f t="shared" si="17"/>
        <v>1.7311894995898278</v>
      </c>
      <c r="AT35" s="13">
        <f t="shared" si="18"/>
        <v>1.5501703784836316</v>
      </c>
      <c r="AU35" s="13">
        <f t="shared" si="19"/>
        <v>1.6075084969494133</v>
      </c>
      <c r="AV35" s="11">
        <f t="shared" si="10"/>
        <v>0.42048472661724984</v>
      </c>
      <c r="AW35" s="11">
        <f t="shared" si="11"/>
        <v>0.37106074303026443</v>
      </c>
      <c r="AX35" s="11">
        <f t="shared" si="20"/>
        <v>0.27154166018380166</v>
      </c>
    </row>
    <row r="36" spans="1:50">
      <c r="A36" t="s">
        <v>39</v>
      </c>
      <c r="B36" t="s">
        <v>110</v>
      </c>
      <c r="C36" s="3">
        <v>24576300000</v>
      </c>
      <c r="D36" s="3">
        <v>17633079000</v>
      </c>
      <c r="E36" s="3">
        <v>15284108500</v>
      </c>
      <c r="F36" s="3">
        <v>10314481484.1</v>
      </c>
      <c r="G36" s="3">
        <v>11721767765.02</v>
      </c>
      <c r="H36" s="3">
        <v>7955425106.9300003</v>
      </c>
      <c r="I36" s="3">
        <v>9207331941.6299992</v>
      </c>
      <c r="J36" s="3">
        <v>4594496650.5799999</v>
      </c>
      <c r="K36" s="3">
        <v>6251862524.7299995</v>
      </c>
      <c r="L36" s="3">
        <v>5238109463.6700001</v>
      </c>
      <c r="M36" s="15">
        <v>16336000000</v>
      </c>
      <c r="N36" s="15">
        <v>20675000000</v>
      </c>
      <c r="O36" s="15">
        <v>20389000000</v>
      </c>
      <c r="P36" s="15">
        <v>17757000000</v>
      </c>
      <c r="Q36" s="15">
        <v>20528000000</v>
      </c>
      <c r="R36" s="15">
        <v>26492000000</v>
      </c>
      <c r="S36" s="15">
        <v>17659000000</v>
      </c>
      <c r="T36" s="15">
        <v>15145000000</v>
      </c>
      <c r="U36" s="15">
        <v>13729000000</v>
      </c>
      <c r="V36" s="15">
        <v>12018000000</v>
      </c>
      <c r="W36" s="3">
        <v>71232000000</v>
      </c>
      <c r="X36" s="3">
        <v>70446000000</v>
      </c>
      <c r="Y36" s="3">
        <v>68776000000</v>
      </c>
      <c r="Z36" s="3">
        <v>65619000000</v>
      </c>
      <c r="AA36" s="3">
        <v>70104000000</v>
      </c>
      <c r="AB36" s="3">
        <v>73234000000</v>
      </c>
      <c r="AC36" s="3">
        <v>69187000000</v>
      </c>
      <c r="AD36" s="3">
        <v>62027000000</v>
      </c>
      <c r="AE36" s="3">
        <v>62159000000</v>
      </c>
      <c r="AF36" s="3">
        <v>37663000000</v>
      </c>
      <c r="AG36" s="13">
        <f t="shared" si="3"/>
        <v>15905947349.823999</v>
      </c>
      <c r="AH36" s="13">
        <f t="shared" si="4"/>
        <v>6649445137.5080004</v>
      </c>
      <c r="AI36" s="13">
        <f t="shared" si="5"/>
        <v>11277696243.665998</v>
      </c>
      <c r="AJ36" s="13">
        <f t="shared" si="6"/>
        <v>19137000000</v>
      </c>
      <c r="AK36" s="13">
        <f t="shared" si="7"/>
        <v>17008600000</v>
      </c>
      <c r="AL36" s="13">
        <f t="shared" si="12"/>
        <v>18072800000</v>
      </c>
      <c r="AM36" s="15">
        <f t="shared" si="13"/>
        <v>69235400000</v>
      </c>
      <c r="AN36" s="15">
        <f t="shared" si="14"/>
        <v>60854000000</v>
      </c>
      <c r="AO36" s="15">
        <f t="shared" si="15"/>
        <v>65044700000</v>
      </c>
      <c r="AP36" s="13">
        <f t="shared" si="8"/>
        <v>4.352799520662697</v>
      </c>
      <c r="AQ36" s="13">
        <f t="shared" si="9"/>
        <v>9.1517410462921926</v>
      </c>
      <c r="AR36" s="13">
        <f t="shared" si="16"/>
        <v>5.7675520420699113</v>
      </c>
      <c r="AS36" s="13">
        <f t="shared" si="17"/>
        <v>3.6178815906359407</v>
      </c>
      <c r="AT36" s="13">
        <f t="shared" si="18"/>
        <v>3.5778370941758877</v>
      </c>
      <c r="AU36" s="13">
        <f t="shared" si="19"/>
        <v>3.5990383338497631</v>
      </c>
      <c r="AV36" s="11">
        <f t="shared" si="10"/>
        <v>1.2031348764782472</v>
      </c>
      <c r="AW36" s="11">
        <f t="shared" si="11"/>
        <v>2.5578976363092876</v>
      </c>
      <c r="AX36" s="11">
        <f t="shared" si="20"/>
        <v>2.7179410651958711</v>
      </c>
    </row>
    <row r="37" spans="1:50">
      <c r="A37" t="s">
        <v>40</v>
      </c>
      <c r="B37" t="s">
        <v>112</v>
      </c>
      <c r="C37" s="3">
        <v>14029904035.01</v>
      </c>
      <c r="D37" s="3">
        <v>21070257194.93</v>
      </c>
      <c r="E37" s="3">
        <v>18786803394.52</v>
      </c>
      <c r="F37" s="3">
        <v>12862481384.440001</v>
      </c>
      <c r="G37" s="3">
        <v>13314580159.65</v>
      </c>
      <c r="H37" s="3">
        <v>9546758820.0599995</v>
      </c>
      <c r="I37" s="3">
        <v>12376990147.280001</v>
      </c>
      <c r="J37" s="3">
        <v>20575960214.240002</v>
      </c>
      <c r="K37" s="3">
        <v>20489951176.119999</v>
      </c>
      <c r="L37" s="3">
        <v>21052233181.16</v>
      </c>
      <c r="M37" s="15">
        <v>12463669000</v>
      </c>
      <c r="N37" s="15">
        <v>11838074000</v>
      </c>
      <c r="O37" s="15">
        <v>11940155000</v>
      </c>
      <c r="P37" s="15">
        <v>12161921000</v>
      </c>
      <c r="Q37" s="15">
        <v>12325940000</v>
      </c>
      <c r="R37" s="15">
        <v>11517689000</v>
      </c>
      <c r="S37" s="15">
        <v>12235299000</v>
      </c>
      <c r="T37" s="15">
        <v>14174778000</v>
      </c>
      <c r="U37" s="15">
        <v>16842972000</v>
      </c>
      <c r="V37" s="15">
        <v>16593257000</v>
      </c>
      <c r="W37" s="3">
        <v>14886974000</v>
      </c>
      <c r="X37" s="3">
        <v>14003275000</v>
      </c>
      <c r="Y37" s="3">
        <v>14398218000</v>
      </c>
      <c r="Z37" s="3">
        <v>14251299000</v>
      </c>
      <c r="AA37" s="3">
        <v>14842991000</v>
      </c>
      <c r="AB37" s="3">
        <v>13716189000</v>
      </c>
      <c r="AC37" s="3">
        <v>14449431000</v>
      </c>
      <c r="AD37" s="3">
        <v>17550246000</v>
      </c>
      <c r="AE37" s="3">
        <v>21081895000</v>
      </c>
      <c r="AF37" s="3">
        <v>20450125000</v>
      </c>
      <c r="AG37" s="13">
        <f t="shared" si="3"/>
        <v>16012805233.710001</v>
      </c>
      <c r="AH37" s="13">
        <f t="shared" si="4"/>
        <v>16808378707.771999</v>
      </c>
      <c r="AI37" s="13">
        <f t="shared" si="5"/>
        <v>16410591970.741001</v>
      </c>
      <c r="AJ37" s="13">
        <f t="shared" si="6"/>
        <v>12145951800</v>
      </c>
      <c r="AK37" s="13">
        <f t="shared" si="7"/>
        <v>14272799000</v>
      </c>
      <c r="AL37" s="13">
        <f t="shared" si="12"/>
        <v>13209375400</v>
      </c>
      <c r="AM37" s="15">
        <f t="shared" si="13"/>
        <v>14476551400</v>
      </c>
      <c r="AN37" s="15">
        <f t="shared" si="14"/>
        <v>17449577200</v>
      </c>
      <c r="AO37" s="15">
        <f t="shared" si="15"/>
        <v>15963064300</v>
      </c>
      <c r="AP37" s="13">
        <f t="shared" si="8"/>
        <v>0.9040609180410254</v>
      </c>
      <c r="AQ37" s="13">
        <f t="shared" si="9"/>
        <v>1.038147551490586</v>
      </c>
      <c r="AR37" s="13">
        <f t="shared" si="16"/>
        <v>0.97272934020059032</v>
      </c>
      <c r="AS37" s="13">
        <f t="shared" si="17"/>
        <v>1.1918828296354675</v>
      </c>
      <c r="AT37" s="13">
        <f t="shared" si="18"/>
        <v>1.2225756980113012</v>
      </c>
      <c r="AU37" s="13">
        <f t="shared" si="19"/>
        <v>1.2084647317995065</v>
      </c>
      <c r="AV37" s="11">
        <f t="shared" si="10"/>
        <v>0.7585149274425983</v>
      </c>
      <c r="AW37" s="11">
        <f t="shared" si="11"/>
        <v>0.84914787131732239</v>
      </c>
      <c r="AX37" s="11">
        <f t="shared" si="20"/>
        <v>0.78588040105808288</v>
      </c>
    </row>
    <row r="38" spans="1:50">
      <c r="A38" t="s">
        <v>41</v>
      </c>
      <c r="B38" t="s">
        <v>114</v>
      </c>
      <c r="C38" s="3">
        <v>9576283782.2399998</v>
      </c>
      <c r="D38" s="3">
        <v>8742809520.1499996</v>
      </c>
      <c r="E38" s="3">
        <v>9660350875.2000008</v>
      </c>
      <c r="F38" s="3">
        <v>10177448860.41</v>
      </c>
      <c r="G38" s="3">
        <v>11952082224.25</v>
      </c>
      <c r="H38" s="3">
        <v>12555946287.5</v>
      </c>
      <c r="I38" s="3">
        <v>14053649228.370001</v>
      </c>
      <c r="J38" s="3">
        <v>13528049886</v>
      </c>
      <c r="K38" s="3">
        <v>15002716305.280001</v>
      </c>
      <c r="L38" s="3">
        <v>15316445203.98</v>
      </c>
      <c r="M38" s="15">
        <v>3394600000</v>
      </c>
      <c r="N38" s="15">
        <v>3688400000</v>
      </c>
      <c r="O38" s="15">
        <v>3922600000</v>
      </c>
      <c r="P38" s="15">
        <v>4129000000</v>
      </c>
      <c r="Q38" s="15">
        <v>4272300000</v>
      </c>
      <c r="R38" s="15">
        <v>4436000000</v>
      </c>
      <c r="S38" s="15">
        <v>4713100000</v>
      </c>
      <c r="T38" s="15">
        <v>5180600000</v>
      </c>
      <c r="U38" s="15">
        <v>6324400000</v>
      </c>
      <c r="V38" s="15">
        <v>7548700000</v>
      </c>
      <c r="W38" s="3">
        <v>15457100000</v>
      </c>
      <c r="X38" s="3">
        <v>16135100000</v>
      </c>
      <c r="Y38" s="3">
        <v>17027500000</v>
      </c>
      <c r="Z38" s="3">
        <v>17265800000</v>
      </c>
      <c r="AA38" s="3">
        <v>18085700000</v>
      </c>
      <c r="AB38" s="3">
        <v>20696500000</v>
      </c>
      <c r="AC38" s="3">
        <v>22390400000</v>
      </c>
      <c r="AD38" s="3">
        <v>22830500000</v>
      </c>
      <c r="AE38" s="3">
        <v>23445900000</v>
      </c>
      <c r="AF38" s="3">
        <v>27186600000</v>
      </c>
      <c r="AG38" s="13">
        <f t="shared" si="3"/>
        <v>10021795052.450001</v>
      </c>
      <c r="AH38" s="13">
        <f t="shared" si="4"/>
        <v>14091361382.226002</v>
      </c>
      <c r="AI38" s="13">
        <f t="shared" si="5"/>
        <v>12056578217.337999</v>
      </c>
      <c r="AJ38" s="13">
        <f t="shared" si="6"/>
        <v>3881380000</v>
      </c>
      <c r="AK38" s="13">
        <f t="shared" si="7"/>
        <v>5640560000</v>
      </c>
      <c r="AL38" s="13">
        <f t="shared" si="12"/>
        <v>4760970000</v>
      </c>
      <c r="AM38" s="15">
        <f t="shared" si="13"/>
        <v>16794240000</v>
      </c>
      <c r="AN38" s="15">
        <f t="shared" si="14"/>
        <v>23309980000</v>
      </c>
      <c r="AO38" s="15">
        <f t="shared" si="15"/>
        <v>20052110000</v>
      </c>
      <c r="AP38" s="13">
        <f t="shared" si="8"/>
        <v>1.6757716469061457</v>
      </c>
      <c r="AQ38" s="13">
        <f t="shared" si="9"/>
        <v>1.6542035483811954</v>
      </c>
      <c r="AR38" s="13">
        <f t="shared" si="16"/>
        <v>1.6631675786056779</v>
      </c>
      <c r="AS38" s="13">
        <f t="shared" si="17"/>
        <v>4.326873431614529</v>
      </c>
      <c r="AT38" s="13">
        <f t="shared" si="18"/>
        <v>4.1325648517168512</v>
      </c>
      <c r="AU38" s="13">
        <f t="shared" si="19"/>
        <v>4.2117698704255648</v>
      </c>
      <c r="AV38" s="11">
        <f t="shared" si="10"/>
        <v>0.38729389093335426</v>
      </c>
      <c r="AW38" s="11">
        <f t="shared" si="11"/>
        <v>0.40028495806761893</v>
      </c>
      <c r="AX38" s="11">
        <f t="shared" si="20"/>
        <v>0.33786444551803219</v>
      </c>
    </row>
    <row r="39" spans="1:50">
      <c r="A39" t="s">
        <v>42</v>
      </c>
      <c r="B39" t="s">
        <v>116</v>
      </c>
      <c r="C39" s="3">
        <v>43297578060.639999</v>
      </c>
      <c r="D39" s="3">
        <v>23055657896.900002</v>
      </c>
      <c r="E39" s="3">
        <v>30594426774.900002</v>
      </c>
      <c r="F39" s="3">
        <v>21683595066.57</v>
      </c>
      <c r="G39" s="3">
        <v>28941910620</v>
      </c>
      <c r="H39" s="3">
        <v>17034014353.950001</v>
      </c>
      <c r="I39" s="3">
        <v>30081804460</v>
      </c>
      <c r="J39" s="3">
        <v>27462158840</v>
      </c>
      <c r="K39" s="3">
        <v>42074257680</v>
      </c>
      <c r="L39" s="3">
        <v>65239227180</v>
      </c>
      <c r="M39" s="15">
        <v>50674196999</v>
      </c>
      <c r="N39" s="15">
        <v>39837174000</v>
      </c>
      <c r="O39" s="15">
        <v>59772259000</v>
      </c>
      <c r="P39" s="15">
        <v>56384599000</v>
      </c>
      <c r="Q39" s="15">
        <v>62109000000</v>
      </c>
      <c r="R39" s="15">
        <v>60073000000</v>
      </c>
      <c r="S39" s="15">
        <v>62224000000</v>
      </c>
      <c r="T39" s="15">
        <v>63879000000</v>
      </c>
      <c r="U39" s="15">
        <v>64079000000</v>
      </c>
      <c r="V39" s="15">
        <v>62441000000</v>
      </c>
      <c r="W39" s="3">
        <v>860433375000</v>
      </c>
      <c r="X39" s="3">
        <v>859532774000</v>
      </c>
      <c r="Y39" s="3">
        <v>836789724000</v>
      </c>
      <c r="Z39" s="3">
        <v>831468724000</v>
      </c>
      <c r="AA39" s="3">
        <v>855647000000</v>
      </c>
      <c r="AB39" s="3">
        <v>931456000000</v>
      </c>
      <c r="AC39" s="3">
        <v>916671000000</v>
      </c>
      <c r="AD39" s="3">
        <v>857773000000</v>
      </c>
      <c r="AE39" s="3">
        <v>784974000000</v>
      </c>
      <c r="AF39" s="3">
        <v>784004000000</v>
      </c>
      <c r="AG39" s="13">
        <f t="shared" si="3"/>
        <v>29514633683.802002</v>
      </c>
      <c r="AH39" s="13">
        <f t="shared" si="4"/>
        <v>36378292502.790001</v>
      </c>
      <c r="AI39" s="13">
        <f t="shared" si="5"/>
        <v>32946463093.296001</v>
      </c>
      <c r="AJ39" s="13">
        <f t="shared" si="6"/>
        <v>53755445799.800003</v>
      </c>
      <c r="AK39" s="13">
        <f t="shared" si="7"/>
        <v>62539200000</v>
      </c>
      <c r="AL39" s="13">
        <f t="shared" si="12"/>
        <v>58147322899.900002</v>
      </c>
      <c r="AM39" s="15">
        <f t="shared" si="13"/>
        <v>848774319400</v>
      </c>
      <c r="AN39" s="15">
        <f t="shared" si="14"/>
        <v>854975600000</v>
      </c>
      <c r="AO39" s="15">
        <f t="shared" si="15"/>
        <v>851874959700</v>
      </c>
      <c r="AP39" s="13">
        <f t="shared" si="8"/>
        <v>28.757745343992458</v>
      </c>
      <c r="AQ39" s="13">
        <f t="shared" si="9"/>
        <v>23.502356520291006</v>
      </c>
      <c r="AR39" s="13">
        <f t="shared" si="16"/>
        <v>25.856340247743947</v>
      </c>
      <c r="AS39" s="13">
        <f t="shared" si="17"/>
        <v>15.789550375250686</v>
      </c>
      <c r="AT39" s="13">
        <f t="shared" si="18"/>
        <v>13.671035126768491</v>
      </c>
      <c r="AU39" s="13">
        <f t="shared" si="19"/>
        <v>14.650286844099318</v>
      </c>
      <c r="AV39" s="11">
        <f t="shared" si="10"/>
        <v>1.8213150254784176</v>
      </c>
      <c r="AW39" s="11">
        <f t="shared" si="11"/>
        <v>1.7191351132053163</v>
      </c>
      <c r="AX39" s="11">
        <f t="shared" si="20"/>
        <v>1.5984071516121996</v>
      </c>
    </row>
    <row r="40" spans="1:50">
      <c r="A40" t="s">
        <v>43</v>
      </c>
      <c r="B40" t="s">
        <v>118</v>
      </c>
      <c r="C40" s="3">
        <v>3371482800</v>
      </c>
      <c r="D40" s="3">
        <v>2426588800</v>
      </c>
      <c r="E40" s="3">
        <v>2868191400</v>
      </c>
      <c r="F40" s="3">
        <v>2468710000</v>
      </c>
      <c r="G40" s="3">
        <v>3660192000</v>
      </c>
      <c r="H40" s="3">
        <v>2799951000</v>
      </c>
      <c r="I40" s="3">
        <v>3422241900</v>
      </c>
      <c r="J40" s="3">
        <v>3260337400</v>
      </c>
      <c r="K40" s="3">
        <v>3694560000</v>
      </c>
      <c r="L40" s="3">
        <v>8613480000</v>
      </c>
      <c r="M40" s="15">
        <v>5573000000</v>
      </c>
      <c r="N40" s="15">
        <v>5682000000</v>
      </c>
      <c r="O40" s="15">
        <v>5515500000</v>
      </c>
      <c r="P40" s="15">
        <v>5041300000</v>
      </c>
      <c r="Q40" s="15">
        <v>6770500000</v>
      </c>
      <c r="R40" s="15">
        <v>7731600000</v>
      </c>
      <c r="S40" s="15">
        <v>7895300000</v>
      </c>
      <c r="T40" s="15">
        <v>6131200000</v>
      </c>
      <c r="U40" s="15">
        <v>8286000000</v>
      </c>
      <c r="V40" s="15">
        <v>9383000000</v>
      </c>
      <c r="W40" s="3">
        <v>89773300000</v>
      </c>
      <c r="X40" s="3">
        <v>91896900000</v>
      </c>
      <c r="Y40" s="3">
        <v>89972900000</v>
      </c>
      <c r="Z40" s="3">
        <v>77580800000</v>
      </c>
      <c r="AA40" s="3">
        <v>76101900000</v>
      </c>
      <c r="AB40" s="3">
        <v>79406500000</v>
      </c>
      <c r="AC40" s="3">
        <v>80258500000</v>
      </c>
      <c r="AD40" s="3">
        <v>74539400000</v>
      </c>
      <c r="AE40" s="3">
        <v>79458000000</v>
      </c>
      <c r="AF40" s="3">
        <v>83425000000</v>
      </c>
      <c r="AG40" s="13">
        <f t="shared" si="3"/>
        <v>2959033000</v>
      </c>
      <c r="AH40" s="13">
        <f t="shared" si="4"/>
        <v>4358114060</v>
      </c>
      <c r="AI40" s="13">
        <f t="shared" si="5"/>
        <v>3658573530</v>
      </c>
      <c r="AJ40" s="13">
        <f t="shared" si="6"/>
        <v>5716460000</v>
      </c>
      <c r="AK40" s="13">
        <f t="shared" si="7"/>
        <v>7885420000</v>
      </c>
      <c r="AL40" s="13">
        <f t="shared" si="12"/>
        <v>6800940000</v>
      </c>
      <c r="AM40" s="15">
        <f t="shared" si="13"/>
        <v>85065160000</v>
      </c>
      <c r="AN40" s="15">
        <f t="shared" si="14"/>
        <v>79417480000</v>
      </c>
      <c r="AO40" s="15">
        <f t="shared" si="15"/>
        <v>82241320000</v>
      </c>
      <c r="AP40" s="13">
        <f t="shared" si="8"/>
        <v>28.747621266812502</v>
      </c>
      <c r="AQ40" s="13">
        <f t="shared" si="9"/>
        <v>18.222900756296404</v>
      </c>
      <c r="AR40" s="13">
        <f t="shared" si="16"/>
        <v>22.479067135217587</v>
      </c>
      <c r="AS40" s="13">
        <f t="shared" si="17"/>
        <v>14.880740878095885</v>
      </c>
      <c r="AT40" s="13">
        <f t="shared" si="18"/>
        <v>10.071433100583102</v>
      </c>
      <c r="AU40" s="13">
        <f t="shared" si="19"/>
        <v>12.092640135040156</v>
      </c>
      <c r="AV40" s="11">
        <f t="shared" si="10"/>
        <v>1.9318676067485561</v>
      </c>
      <c r="AW40" s="11">
        <f t="shared" si="11"/>
        <v>1.8093652188625831</v>
      </c>
      <c r="AX40" s="11">
        <f t="shared" si="20"/>
        <v>1.5605236362262624</v>
      </c>
    </row>
    <row r="41" spans="1:50">
      <c r="A41" t="s">
        <v>139</v>
      </c>
      <c r="B41" t="s">
        <v>140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AG41" s="13">
        <f t="shared" ref="AG41:AO41" si="21">SUM(AG4:AG40)</f>
        <v>415502738918.35706</v>
      </c>
      <c r="AH41" s="13">
        <f t="shared" si="21"/>
        <v>580769853820.2019</v>
      </c>
      <c r="AI41" s="13">
        <f t="shared" si="21"/>
        <v>498348162395.30054</v>
      </c>
      <c r="AJ41" s="13">
        <f t="shared" si="21"/>
        <v>399117865442.79999</v>
      </c>
      <c r="AK41" s="13">
        <f t="shared" si="21"/>
        <v>492724937974.59998</v>
      </c>
      <c r="AL41" s="13">
        <f t="shared" si="21"/>
        <v>445921401708.70001</v>
      </c>
      <c r="AM41" s="15">
        <f t="shared" si="21"/>
        <v>3585044550305.2002</v>
      </c>
      <c r="AN41" s="15">
        <f t="shared" si="21"/>
        <v>4281481351207.7998</v>
      </c>
      <c r="AO41" s="15">
        <f t="shared" si="21"/>
        <v>3934149424239.8335</v>
      </c>
      <c r="AP41" s="13">
        <f>AVERAGE(AP4:AP40)</f>
        <v>8.427712155213154</v>
      </c>
      <c r="AQ41" s="13">
        <f>AVERAGE(AQ4:AQ40)</f>
        <v>8.1356906971222749</v>
      </c>
      <c r="AR41" s="13">
        <f t="shared" si="16"/>
        <v>7.8943793137119691</v>
      </c>
      <c r="AS41" s="13">
        <f>AVERAGE(AS4:AS40)</f>
        <v>7.2262441899808874</v>
      </c>
      <c r="AT41" s="13">
        <f>AVERAGE(AT4:AT40)</f>
        <v>7.4954328887727097</v>
      </c>
      <c r="AU41" s="13">
        <f t="shared" si="19"/>
        <v>8.8225176211879432</v>
      </c>
      <c r="AV41" s="11">
        <f>AG41/AJ41</f>
        <v>1.0410527187435694</v>
      </c>
      <c r="AW41" s="11">
        <f>AH41/AK41</f>
        <v>1.178689790306779</v>
      </c>
      <c r="AX41" s="11">
        <f t="shared" si="20"/>
        <v>0.76781086135154486</v>
      </c>
    </row>
    <row r="43" spans="1:50">
      <c r="A43" s="2"/>
      <c r="B43" s="2"/>
    </row>
    <row r="52" spans="40:45">
      <c r="AN52" s="8" t="s">
        <v>0</v>
      </c>
      <c r="AO52" s="8" t="s">
        <v>120</v>
      </c>
      <c r="AP52" s="8" t="s">
        <v>44</v>
      </c>
      <c r="AQ52" s="8" t="s">
        <v>1</v>
      </c>
      <c r="AR52" s="8" t="s">
        <v>135</v>
      </c>
      <c r="AS52" s="8" t="s">
        <v>173</v>
      </c>
    </row>
    <row r="53" spans="40:45">
      <c r="AN53" s="18" t="s">
        <v>2</v>
      </c>
      <c r="AO53" s="18" t="s">
        <v>45</v>
      </c>
      <c r="AP53" s="18" t="s">
        <v>46</v>
      </c>
      <c r="AQ53" s="18" t="s">
        <v>3</v>
      </c>
      <c r="AR53" s="19">
        <v>6735315446.8500004</v>
      </c>
    </row>
    <row r="54" spans="40:45">
      <c r="AN54" s="18" t="s">
        <v>4</v>
      </c>
      <c r="AO54" s="18" t="s">
        <v>47</v>
      </c>
      <c r="AP54" s="18" t="s">
        <v>48</v>
      </c>
      <c r="AQ54" s="18" t="s">
        <v>5</v>
      </c>
      <c r="AR54" s="19">
        <v>5610931200</v>
      </c>
    </row>
    <row r="55" spans="40:45">
      <c r="AN55" s="18" t="s">
        <v>6</v>
      </c>
      <c r="AO55" s="18" t="s">
        <v>49</v>
      </c>
      <c r="AP55" s="18" t="s">
        <v>50</v>
      </c>
      <c r="AQ55" s="18" t="s">
        <v>7</v>
      </c>
      <c r="AR55" s="19">
        <v>3371267895.5100002</v>
      </c>
    </row>
    <row r="56" spans="40:45">
      <c r="AN56" s="18" t="s">
        <v>8</v>
      </c>
      <c r="AO56" s="18" t="s">
        <v>51</v>
      </c>
      <c r="AP56" s="18" t="s">
        <v>52</v>
      </c>
      <c r="AQ56" s="18" t="s">
        <v>7</v>
      </c>
      <c r="AR56" s="19">
        <v>8471898720</v>
      </c>
    </row>
    <row r="57" spans="40:45" ht="28.8">
      <c r="AN57" s="18" t="s">
        <v>9</v>
      </c>
      <c r="AO57" s="18" t="s">
        <v>53</v>
      </c>
      <c r="AP57" s="18" t="s">
        <v>54</v>
      </c>
      <c r="AQ57" s="18" t="s">
        <v>7</v>
      </c>
      <c r="AR57" s="19">
        <v>8576467399.1700001</v>
      </c>
    </row>
    <row r="58" spans="40:45">
      <c r="AN58" s="18" t="s">
        <v>10</v>
      </c>
      <c r="AO58" s="18" t="s">
        <v>55</v>
      </c>
      <c r="AP58" s="18" t="s">
        <v>56</v>
      </c>
      <c r="AQ58" s="18" t="s">
        <v>7</v>
      </c>
      <c r="AR58" s="19">
        <v>11754058840.92</v>
      </c>
    </row>
    <row r="59" spans="40:45">
      <c r="AN59" s="18" t="s">
        <v>11</v>
      </c>
      <c r="AO59" s="18" t="s">
        <v>57</v>
      </c>
      <c r="AP59" s="18" t="s">
        <v>58</v>
      </c>
      <c r="AQ59" s="18" t="s">
        <v>7</v>
      </c>
      <c r="AR59" s="19">
        <v>3660864064</v>
      </c>
    </row>
    <row r="60" spans="40:45">
      <c r="AN60" s="18" t="s">
        <v>12</v>
      </c>
      <c r="AO60" s="18" t="s">
        <v>59</v>
      </c>
      <c r="AP60" s="18" t="s">
        <v>60</v>
      </c>
      <c r="AQ60" s="18" t="s">
        <v>7</v>
      </c>
      <c r="AR60" s="19">
        <v>8671406050</v>
      </c>
    </row>
    <row r="61" spans="40:45">
      <c r="AN61" s="18" t="s">
        <v>13</v>
      </c>
      <c r="AO61" s="18" t="s">
        <v>61</v>
      </c>
      <c r="AP61" s="18" t="s">
        <v>62</v>
      </c>
      <c r="AQ61" s="18" t="s">
        <v>14</v>
      </c>
      <c r="AR61" s="19">
        <v>7166792207.3999996</v>
      </c>
    </row>
    <row r="62" spans="40:45">
      <c r="AN62" s="18" t="s">
        <v>15</v>
      </c>
      <c r="AO62" s="18" t="s">
        <v>63</v>
      </c>
      <c r="AP62" s="18" t="s">
        <v>64</v>
      </c>
      <c r="AQ62" s="18" t="s">
        <v>16</v>
      </c>
      <c r="AR62" s="19">
        <v>6522510976.6199999</v>
      </c>
    </row>
    <row r="63" spans="40:45">
      <c r="AN63" s="18" t="s">
        <v>17</v>
      </c>
      <c r="AO63" s="18" t="s">
        <v>65</v>
      </c>
      <c r="AP63" s="18" t="s">
        <v>66</v>
      </c>
      <c r="AQ63" s="18" t="s">
        <v>14</v>
      </c>
      <c r="AR63" s="19">
        <v>7226088632.9799995</v>
      </c>
    </row>
    <row r="64" spans="40:45">
      <c r="AN64" s="18" t="s">
        <v>18</v>
      </c>
      <c r="AO64" s="18" t="s">
        <v>67</v>
      </c>
      <c r="AP64" s="18" t="s">
        <v>68</v>
      </c>
      <c r="AQ64" s="18" t="s">
        <v>5</v>
      </c>
      <c r="AR64" s="19">
        <v>5562288668.04</v>
      </c>
    </row>
    <row r="65" spans="40:44">
      <c r="AN65" s="18" t="s">
        <v>19</v>
      </c>
      <c r="AO65" s="18" t="s">
        <v>69</v>
      </c>
      <c r="AP65" s="18" t="s">
        <v>70</v>
      </c>
      <c r="AQ65" s="18" t="s">
        <v>3</v>
      </c>
      <c r="AR65" s="19">
        <v>69975880390</v>
      </c>
    </row>
    <row r="66" spans="40:44">
      <c r="AN66" s="18" t="s">
        <v>20</v>
      </c>
      <c r="AO66" s="18" t="s">
        <v>71</v>
      </c>
      <c r="AP66" s="18" t="s">
        <v>72</v>
      </c>
      <c r="AQ66" s="18" t="s">
        <v>3</v>
      </c>
      <c r="AR66" s="19">
        <v>41456108540</v>
      </c>
    </row>
    <row r="67" spans="40:44">
      <c r="AN67" s="18" t="s">
        <v>21</v>
      </c>
      <c r="AO67" s="18" t="s">
        <v>73</v>
      </c>
      <c r="AP67" s="18" t="s">
        <v>74</v>
      </c>
      <c r="AQ67" s="18" t="s">
        <v>14</v>
      </c>
      <c r="AR67" s="19">
        <v>74126013200</v>
      </c>
    </row>
    <row r="68" spans="40:44">
      <c r="AN68" s="18" t="s">
        <v>22</v>
      </c>
      <c r="AO68" s="18" t="s">
        <v>75</v>
      </c>
      <c r="AP68" s="18" t="s">
        <v>76</v>
      </c>
      <c r="AQ68" s="18" t="s">
        <v>7</v>
      </c>
      <c r="AR68" s="19">
        <v>10255830495.1</v>
      </c>
    </row>
    <row r="69" spans="40:44">
      <c r="AN69" s="18" t="s">
        <v>23</v>
      </c>
      <c r="AO69" s="18" t="s">
        <v>77</v>
      </c>
      <c r="AP69" s="18" t="s">
        <v>78</v>
      </c>
      <c r="AQ69" s="18" t="s">
        <v>7</v>
      </c>
      <c r="AR69" s="19">
        <v>41960103570</v>
      </c>
    </row>
    <row r="70" spans="40:44">
      <c r="AN70" s="18" t="s">
        <v>24</v>
      </c>
      <c r="AO70" s="18" t="s">
        <v>79</v>
      </c>
      <c r="AP70" s="18" t="s">
        <v>80</v>
      </c>
      <c r="AQ70" s="18" t="s">
        <v>3</v>
      </c>
      <c r="AR70" s="19">
        <v>4945807233.0100002</v>
      </c>
    </row>
    <row r="71" spans="40:44">
      <c r="AN71" s="18" t="s">
        <v>25</v>
      </c>
      <c r="AO71" s="18" t="s">
        <v>81</v>
      </c>
      <c r="AP71" s="18" t="s">
        <v>82</v>
      </c>
      <c r="AQ71" s="18" t="s">
        <v>7</v>
      </c>
      <c r="AR71" s="19">
        <v>69546932400</v>
      </c>
    </row>
    <row r="72" spans="40:44">
      <c r="AN72" s="18" t="s">
        <v>26</v>
      </c>
      <c r="AO72" s="18" t="s">
        <v>83</v>
      </c>
      <c r="AP72" s="18" t="s">
        <v>84</v>
      </c>
      <c r="AQ72" s="18" t="s">
        <v>16</v>
      </c>
      <c r="AR72" s="19">
        <v>9156036549.4799995</v>
      </c>
    </row>
    <row r="73" spans="40:44">
      <c r="AN73" s="18" t="s">
        <v>27</v>
      </c>
      <c r="AO73" s="18" t="s">
        <v>85</v>
      </c>
      <c r="AP73" s="18" t="s">
        <v>86</v>
      </c>
      <c r="AQ73" s="18" t="s">
        <v>3</v>
      </c>
      <c r="AR73" s="19">
        <v>4388820891.6899996</v>
      </c>
    </row>
    <row r="74" spans="40:44">
      <c r="AN74" s="18" t="s">
        <v>28</v>
      </c>
      <c r="AO74" s="18" t="s">
        <v>87</v>
      </c>
      <c r="AP74" s="18" t="s">
        <v>88</v>
      </c>
      <c r="AQ74" s="18" t="s">
        <v>16</v>
      </c>
      <c r="AR74" s="19">
        <v>14917710510</v>
      </c>
    </row>
    <row r="75" spans="40:44">
      <c r="AN75" s="18" t="s">
        <v>29</v>
      </c>
      <c r="AO75" s="18" t="s">
        <v>89</v>
      </c>
      <c r="AP75" s="18" t="s">
        <v>90</v>
      </c>
      <c r="AQ75" s="18" t="s">
        <v>7</v>
      </c>
      <c r="AR75" s="19">
        <v>11646907607.67</v>
      </c>
    </row>
    <row r="76" spans="40:44">
      <c r="AN76" s="18" t="s">
        <v>30</v>
      </c>
      <c r="AO76" s="18" t="s">
        <v>91</v>
      </c>
      <c r="AP76" s="18" t="s">
        <v>92</v>
      </c>
      <c r="AQ76" s="18" t="s">
        <v>14</v>
      </c>
      <c r="AR76" s="19">
        <v>13791256065.540001</v>
      </c>
    </row>
    <row r="77" spans="40:44">
      <c r="AN77" s="18" t="s">
        <v>31</v>
      </c>
      <c r="AO77" s="18" t="s">
        <v>93</v>
      </c>
      <c r="AP77" s="18" t="s">
        <v>94</v>
      </c>
      <c r="AQ77" s="18" t="s">
        <v>7</v>
      </c>
      <c r="AR77" s="19">
        <v>6865934880</v>
      </c>
    </row>
    <row r="78" spans="40:44">
      <c r="AN78" s="18" t="s">
        <v>32</v>
      </c>
      <c r="AO78" s="18" t="s">
        <v>95</v>
      </c>
      <c r="AP78" s="18" t="s">
        <v>96</v>
      </c>
      <c r="AQ78" s="18" t="s">
        <v>7</v>
      </c>
      <c r="AR78" s="19">
        <v>17635246755.900002</v>
      </c>
    </row>
    <row r="79" spans="40:44">
      <c r="AN79" s="18" t="s">
        <v>33</v>
      </c>
      <c r="AO79" s="18" t="s">
        <v>97</v>
      </c>
      <c r="AP79" s="18" t="s">
        <v>98</v>
      </c>
      <c r="AQ79" s="18" t="s">
        <v>16</v>
      </c>
      <c r="AR79" s="19">
        <v>17359756400</v>
      </c>
    </row>
    <row r="80" spans="40:44">
      <c r="AN80" s="18" t="s">
        <v>34</v>
      </c>
      <c r="AO80" s="18" t="s">
        <v>99</v>
      </c>
      <c r="AP80" s="18" t="s">
        <v>100</v>
      </c>
      <c r="AQ80" s="18" t="s">
        <v>5</v>
      </c>
      <c r="AR80" s="19">
        <v>10439601794.6</v>
      </c>
    </row>
    <row r="81" spans="40:44">
      <c r="AN81" s="18" t="s">
        <v>35</v>
      </c>
      <c r="AO81" s="18" t="s">
        <v>101</v>
      </c>
      <c r="AP81" s="18" t="s">
        <v>102</v>
      </c>
      <c r="AQ81" s="18" t="s">
        <v>3</v>
      </c>
      <c r="AR81" s="19">
        <v>4938721180</v>
      </c>
    </row>
    <row r="82" spans="40:44">
      <c r="AN82" s="18" t="s">
        <v>36</v>
      </c>
      <c r="AO82" s="18" t="s">
        <v>103</v>
      </c>
      <c r="AP82" s="18" t="s">
        <v>104</v>
      </c>
      <c r="AQ82" s="18" t="s">
        <v>3</v>
      </c>
      <c r="AR82" s="19">
        <v>14354873681.719999</v>
      </c>
    </row>
    <row r="83" spans="40:44">
      <c r="AN83" s="18" t="s">
        <v>37</v>
      </c>
      <c r="AO83" s="18" t="s">
        <v>105</v>
      </c>
      <c r="AP83" s="18" t="s">
        <v>106</v>
      </c>
      <c r="AQ83" s="18" t="s">
        <v>16</v>
      </c>
      <c r="AR83" s="19">
        <v>37172650120.019997</v>
      </c>
    </row>
    <row r="84" spans="40:44">
      <c r="AN84" s="18" t="s">
        <v>38</v>
      </c>
      <c r="AO84" s="18" t="s">
        <v>107</v>
      </c>
      <c r="AP84" s="18" t="s">
        <v>108</v>
      </c>
      <c r="AQ84" s="18" t="s">
        <v>16</v>
      </c>
      <c r="AR84" s="19">
        <v>22657950743.810001</v>
      </c>
    </row>
    <row r="85" spans="40:44">
      <c r="AN85" s="18" t="s">
        <v>39</v>
      </c>
      <c r="AO85" s="18" t="s">
        <v>109</v>
      </c>
      <c r="AP85" s="18" t="s">
        <v>110</v>
      </c>
      <c r="AQ85" s="18" t="s">
        <v>16</v>
      </c>
      <c r="AR85" s="19">
        <v>5238109463.6700001</v>
      </c>
    </row>
    <row r="86" spans="40:44">
      <c r="AN86" s="18" t="s">
        <v>40</v>
      </c>
      <c r="AO86" s="18" t="s">
        <v>111</v>
      </c>
      <c r="AP86" s="18" t="s">
        <v>112</v>
      </c>
      <c r="AQ86" s="18" t="s">
        <v>3</v>
      </c>
      <c r="AR86" s="19">
        <v>21052233181.16</v>
      </c>
    </row>
    <row r="87" spans="40:44">
      <c r="AN87" s="18" t="s">
        <v>41</v>
      </c>
      <c r="AO87" s="18" t="s">
        <v>113</v>
      </c>
      <c r="AP87" s="18" t="s">
        <v>114</v>
      </c>
      <c r="AQ87" s="18" t="s">
        <v>3</v>
      </c>
      <c r="AR87" s="19">
        <v>15316445203.98</v>
      </c>
    </row>
    <row r="88" spans="40:44">
      <c r="AN88" s="18" t="s">
        <v>42</v>
      </c>
      <c r="AO88" s="18" t="s">
        <v>115</v>
      </c>
      <c r="AP88" s="18" t="s">
        <v>116</v>
      </c>
      <c r="AQ88" s="18" t="s">
        <v>7</v>
      </c>
      <c r="AR88" s="19">
        <v>65239227180</v>
      </c>
    </row>
    <row r="89" spans="40:44">
      <c r="AN89" s="18" t="s">
        <v>43</v>
      </c>
      <c r="AO89" s="18" t="s">
        <v>117</v>
      </c>
      <c r="AP89" s="18" t="s">
        <v>118</v>
      </c>
      <c r="AQ89" s="18" t="s">
        <v>7</v>
      </c>
      <c r="AR89" s="19">
        <v>8613480000</v>
      </c>
    </row>
    <row r="92" spans="40:44">
      <c r="AN92" s="2" t="s">
        <v>177</v>
      </c>
    </row>
  </sheetData>
  <mergeCells count="9">
    <mergeCell ref="A2:A3"/>
    <mergeCell ref="B2:B3"/>
    <mergeCell ref="W2:AF2"/>
    <mergeCell ref="AM2:AN2"/>
    <mergeCell ref="AP2:AQ2"/>
    <mergeCell ref="C2:L2"/>
    <mergeCell ref="M2:V2"/>
    <mergeCell ref="AG2:AH2"/>
    <mergeCell ref="AJ2:A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F1EC-B3CF-4162-AFDE-910943308768}">
  <dimension ref="A2:P81"/>
  <sheetViews>
    <sheetView topLeftCell="A15" workbookViewId="0">
      <selection activeCell="P2" sqref="P2:P40"/>
    </sheetView>
  </sheetViews>
  <sheetFormatPr defaultRowHeight="14.4"/>
  <cols>
    <col min="1" max="1" width="22.33203125" bestFit="1" customWidth="1"/>
    <col min="2" max="2" width="19.44140625" bestFit="1" customWidth="1"/>
    <col min="3" max="12" width="10.44140625" customWidth="1"/>
    <col min="13" max="13" width="10.33203125" customWidth="1"/>
    <col min="14" max="14" width="13.21875" customWidth="1"/>
    <col min="15" max="16" width="13.6640625" bestFit="1" customWidth="1"/>
  </cols>
  <sheetData>
    <row r="2" spans="1:16">
      <c r="A2" s="2" t="s">
        <v>0</v>
      </c>
      <c r="B2" s="2" t="s">
        <v>44</v>
      </c>
      <c r="C2" s="10">
        <v>42006</v>
      </c>
      <c r="D2" s="10">
        <v>42373</v>
      </c>
      <c r="E2" s="10">
        <v>42737</v>
      </c>
      <c r="F2" s="10">
        <v>43102</v>
      </c>
      <c r="G2" s="10">
        <v>43467</v>
      </c>
      <c r="H2" s="10">
        <v>43832</v>
      </c>
      <c r="I2" s="10">
        <v>44200</v>
      </c>
      <c r="J2" s="10">
        <v>44565</v>
      </c>
      <c r="K2" s="10">
        <v>44928</v>
      </c>
      <c r="L2" s="10">
        <v>45293</v>
      </c>
      <c r="M2" s="9">
        <v>45659</v>
      </c>
      <c r="N2" t="s">
        <v>136</v>
      </c>
      <c r="O2" t="s">
        <v>137</v>
      </c>
      <c r="P2" t="s">
        <v>166</v>
      </c>
    </row>
    <row r="3" spans="1:16">
      <c r="A3" t="s">
        <v>2</v>
      </c>
      <c r="B3" t="s">
        <v>46</v>
      </c>
      <c r="C3" s="11">
        <f t="shared" ref="C3:L3" si="0">SUM(_xldudf_WISEPRICE($B$3, "close", , C2, C2))</f>
        <v>0.83550000000000002</v>
      </c>
      <c r="D3" s="11">
        <f t="shared" si="0"/>
        <v>1.22</v>
      </c>
      <c r="E3" s="11">
        <f t="shared" si="0"/>
        <v>1.26</v>
      </c>
      <c r="F3" s="11">
        <f t="shared" si="0"/>
        <v>1.52</v>
      </c>
      <c r="G3" s="11">
        <f t="shared" si="0"/>
        <v>1.6</v>
      </c>
      <c r="H3" s="11">
        <f t="shared" si="0"/>
        <v>1.68</v>
      </c>
      <c r="I3" s="11">
        <f t="shared" si="0"/>
        <v>1.33</v>
      </c>
      <c r="J3" s="11">
        <f t="shared" si="0"/>
        <v>1.72</v>
      </c>
      <c r="K3" s="11">
        <f t="shared" si="0"/>
        <v>1.27</v>
      </c>
      <c r="L3" s="11">
        <f t="shared" si="0"/>
        <v>1.85</v>
      </c>
      <c r="M3" s="11">
        <f>SUM(_xldudf_WISEPRICE($B$3, "close", , M2, M2))</f>
        <v>2.19</v>
      </c>
      <c r="N3" s="6">
        <f>(G3 /C3)^(1/5) - 1</f>
        <v>0.13876656033131285</v>
      </c>
      <c r="O3" s="12">
        <f>(M3 /H3)^(1/5) - 1</f>
        <v>5.4452368410198737E-2</v>
      </c>
      <c r="P3" s="12">
        <f>(M3 /C3)^(1/10) - 1</f>
        <v>0.10115832388280244</v>
      </c>
    </row>
    <row r="4" spans="1:16">
      <c r="A4" t="s">
        <v>4</v>
      </c>
      <c r="B4" t="s">
        <v>48</v>
      </c>
      <c r="C4" s="11">
        <f t="shared" ref="C4:L14" si="1">SUM(_xldudf_WISEPRICE($B4, "close", , C$2, C$2))</f>
        <v>4.9000000000000004</v>
      </c>
      <c r="D4" s="11">
        <f t="shared" si="1"/>
        <v>7.88</v>
      </c>
      <c r="E4" s="11">
        <f t="shared" si="1"/>
        <v>9.1999999999999993</v>
      </c>
      <c r="F4" s="11">
        <f t="shared" si="1"/>
        <v>12.92</v>
      </c>
      <c r="G4" s="11">
        <f t="shared" si="1"/>
        <v>13.91</v>
      </c>
      <c r="H4" s="11">
        <f t="shared" si="1"/>
        <v>25.82</v>
      </c>
      <c r="I4" s="11">
        <f t="shared" si="1"/>
        <v>33.94</v>
      </c>
      <c r="J4" s="11">
        <f t="shared" si="1"/>
        <v>45.68</v>
      </c>
      <c r="K4" s="11">
        <f t="shared" si="1"/>
        <v>27.11</v>
      </c>
      <c r="L4" s="11">
        <f t="shared" si="1"/>
        <v>31.25</v>
      </c>
      <c r="M4" s="11">
        <f>SUM(_xldudf_WISEPRICE($B4, "close", , M$2, M$2))</f>
        <v>24.93</v>
      </c>
      <c r="N4" s="6">
        <f t="shared" ref="N4:N39" si="2">(G4 /C4)^(1/5) - 1</f>
        <v>0.23204397708946645</v>
      </c>
      <c r="O4" s="12">
        <f t="shared" ref="O4:O39" si="3">(M4 /H4)^(1/5) - 1</f>
        <v>-6.9909464198917304E-3</v>
      </c>
      <c r="P4" s="12">
        <f t="shared" ref="P4:P40" si="4">(M4 /C4)^(1/10) - 1</f>
        <v>0.17666441566405933</v>
      </c>
    </row>
    <row r="5" spans="1:16">
      <c r="A5" t="s">
        <v>6</v>
      </c>
      <c r="B5" t="s">
        <v>50</v>
      </c>
      <c r="C5" s="11">
        <f t="shared" ref="C5" si="5">SUM(_xldudf_WISEPRICE($B5, "close", , C$2, C$2))</f>
        <v>16.87</v>
      </c>
      <c r="D5" s="11">
        <f t="shared" si="1"/>
        <v>20.260000000000002</v>
      </c>
      <c r="E5" s="11">
        <f t="shared" si="1"/>
        <v>14.82</v>
      </c>
      <c r="F5" s="11">
        <f t="shared" si="1"/>
        <v>14.66</v>
      </c>
      <c r="G5" s="11">
        <f t="shared" si="1"/>
        <v>9.23</v>
      </c>
      <c r="H5" s="11">
        <f t="shared" si="1"/>
        <v>21.34</v>
      </c>
      <c r="I5" s="11">
        <f t="shared" si="1"/>
        <v>17.5</v>
      </c>
      <c r="J5" s="11">
        <f t="shared" si="1"/>
        <v>24.86</v>
      </c>
      <c r="K5" s="11">
        <f t="shared" si="1"/>
        <v>20.89</v>
      </c>
      <c r="L5" s="11">
        <f t="shared" si="1"/>
        <v>23.43</v>
      </c>
      <c r="M5" s="11">
        <f t="shared" ref="M5:M40" si="6">SUM(_xldudf_WISEPRICE($B5, "close", , M$2, M$2))</f>
        <v>24.14</v>
      </c>
      <c r="N5" s="6">
        <f t="shared" si="2"/>
        <v>-0.11362535654484551</v>
      </c>
      <c r="O5" s="12">
        <f t="shared" si="3"/>
        <v>2.4963901538676669E-2</v>
      </c>
      <c r="P5" s="12">
        <f t="shared" si="4"/>
        <v>3.6483083439638575E-2</v>
      </c>
    </row>
    <row r="6" spans="1:16">
      <c r="A6" t="s">
        <v>8</v>
      </c>
      <c r="B6" t="s">
        <v>52</v>
      </c>
      <c r="C6" s="11">
        <f t="shared" si="1"/>
        <v>5.36</v>
      </c>
      <c r="D6" s="11">
        <f t="shared" si="1"/>
        <v>6.96</v>
      </c>
      <c r="E6" s="11">
        <f t="shared" si="1"/>
        <v>6.92</v>
      </c>
      <c r="F6" s="11">
        <f t="shared" si="1"/>
        <v>7.09</v>
      </c>
      <c r="G6" s="11">
        <f t="shared" si="1"/>
        <v>5.05</v>
      </c>
      <c r="H6" s="11">
        <v>8.7799999999999994</v>
      </c>
      <c r="I6" s="11">
        <f t="shared" si="1"/>
        <v>7.1</v>
      </c>
      <c r="J6" s="11">
        <f t="shared" si="1"/>
        <v>8.85</v>
      </c>
      <c r="K6" s="11">
        <f t="shared" si="1"/>
        <v>7.9</v>
      </c>
      <c r="L6" s="11">
        <f t="shared" si="1"/>
        <v>8.58</v>
      </c>
      <c r="M6" s="11">
        <f t="shared" si="6"/>
        <v>11.46</v>
      </c>
      <c r="N6" s="6">
        <f t="shared" si="2"/>
        <v>-1.1844442098523311E-2</v>
      </c>
      <c r="O6" s="12">
        <f t="shared" si="3"/>
        <v>5.4722037582896066E-2</v>
      </c>
      <c r="P6" s="12">
        <f t="shared" si="4"/>
        <v>7.8951648227991278E-2</v>
      </c>
    </row>
    <row r="7" spans="1:16">
      <c r="A7" t="s">
        <v>9</v>
      </c>
      <c r="B7" t="s">
        <v>54</v>
      </c>
      <c r="C7" s="11">
        <f t="shared" si="1"/>
        <v>19589.412109000001</v>
      </c>
      <c r="D7" s="11">
        <f t="shared" si="1"/>
        <v>11690</v>
      </c>
      <c r="E7" s="11">
        <f t="shared" si="1"/>
        <v>1508</v>
      </c>
      <c r="F7" s="11">
        <f t="shared" si="1"/>
        <v>389</v>
      </c>
      <c r="G7" s="11">
        <f t="shared" si="1"/>
        <v>153</v>
      </c>
      <c r="H7" s="11">
        <f t="shared" si="1"/>
        <v>141.199997</v>
      </c>
      <c r="I7" s="11">
        <f t="shared" si="1"/>
        <v>103.400002</v>
      </c>
      <c r="J7" s="11">
        <f t="shared" si="1"/>
        <v>93.080001999999993</v>
      </c>
      <c r="K7" s="11">
        <f t="shared" si="1"/>
        <v>2.0499999999999998</v>
      </c>
      <c r="L7" s="11">
        <f t="shared" si="1"/>
        <v>3.23</v>
      </c>
      <c r="M7" s="11">
        <f t="shared" si="6"/>
        <v>6.71</v>
      </c>
      <c r="N7" s="6">
        <f t="shared" si="2"/>
        <v>-0.62109179858725061</v>
      </c>
      <c r="O7" s="12">
        <f t="shared" si="3"/>
        <v>-0.45627717267623114</v>
      </c>
      <c r="P7" s="12">
        <f t="shared" si="4"/>
        <v>-0.54973300726659668</v>
      </c>
    </row>
    <row r="8" spans="1:16">
      <c r="A8" t="s">
        <v>10</v>
      </c>
      <c r="B8" t="s">
        <v>56</v>
      </c>
      <c r="C8" s="11">
        <f t="shared" si="1"/>
        <v>7.64</v>
      </c>
      <c r="D8" s="11">
        <f t="shared" si="1"/>
        <v>9.08</v>
      </c>
      <c r="E8" s="11">
        <f t="shared" si="1"/>
        <v>2.5</v>
      </c>
      <c r="F8" s="11">
        <f t="shared" si="1"/>
        <v>2.64</v>
      </c>
      <c r="G8" s="11">
        <f t="shared" si="1"/>
        <v>1.99</v>
      </c>
      <c r="H8" s="11">
        <f t="shared" si="1"/>
        <v>2.0499999999999998</v>
      </c>
      <c r="I8" s="11">
        <f t="shared" si="1"/>
        <v>1.8</v>
      </c>
      <c r="J8" s="11">
        <f t="shared" si="1"/>
        <v>2.75</v>
      </c>
      <c r="K8" s="11">
        <f t="shared" si="1"/>
        <v>3.43</v>
      </c>
      <c r="L8" s="11">
        <f t="shared" si="1"/>
        <v>4.87</v>
      </c>
      <c r="M8" s="11">
        <f t="shared" si="6"/>
        <v>7.77</v>
      </c>
      <c r="N8" s="6">
        <f t="shared" si="2"/>
        <v>-0.23589693179597515</v>
      </c>
      <c r="O8" s="12">
        <f t="shared" si="3"/>
        <v>0.30536941095527093</v>
      </c>
      <c r="P8" s="12">
        <f t="shared" si="4"/>
        <v>1.6886803376139348E-3</v>
      </c>
    </row>
    <row r="9" spans="1:16">
      <c r="A9" t="s">
        <v>11</v>
      </c>
      <c r="B9" t="s">
        <v>58</v>
      </c>
      <c r="C9" s="11">
        <f t="shared" si="1"/>
        <v>3.12</v>
      </c>
      <c r="D9" s="11">
        <f t="shared" si="1"/>
        <v>4.08</v>
      </c>
      <c r="E9" s="11">
        <f t="shared" si="1"/>
        <v>3.19</v>
      </c>
      <c r="F9" s="11">
        <f t="shared" si="1"/>
        <v>3.09</v>
      </c>
      <c r="G9" s="11">
        <f t="shared" si="1"/>
        <v>2.61</v>
      </c>
      <c r="H9" s="11">
        <f t="shared" si="1"/>
        <v>2.14</v>
      </c>
      <c r="I9" s="11">
        <f t="shared" si="1"/>
        <v>2.21</v>
      </c>
      <c r="J9" s="11">
        <f t="shared" si="1"/>
        <v>3.85</v>
      </c>
      <c r="K9" s="11">
        <f t="shared" si="1"/>
        <v>3.83</v>
      </c>
      <c r="L9" s="11">
        <f t="shared" si="1"/>
        <v>6</v>
      </c>
      <c r="M9" s="11">
        <f t="shared" si="6"/>
        <v>8.0299999999999994</v>
      </c>
      <c r="N9" s="6">
        <f t="shared" si="2"/>
        <v>-3.5066947885912136E-2</v>
      </c>
      <c r="O9" s="12">
        <f t="shared" si="3"/>
        <v>0.30274781786665006</v>
      </c>
      <c r="P9" s="12">
        <f t="shared" si="4"/>
        <v>9.9147800371942596E-2</v>
      </c>
    </row>
    <row r="10" spans="1:16">
      <c r="A10" t="s">
        <v>12</v>
      </c>
      <c r="B10" t="s">
        <v>60</v>
      </c>
      <c r="C10" s="11">
        <f t="shared" si="1"/>
        <v>3.78</v>
      </c>
      <c r="D10" s="11">
        <f t="shared" si="1"/>
        <v>4.59</v>
      </c>
      <c r="E10" s="11">
        <f t="shared" si="1"/>
        <v>3.57</v>
      </c>
      <c r="F10" s="11">
        <f t="shared" si="1"/>
        <v>2.82</v>
      </c>
      <c r="G10" s="11">
        <f t="shared" si="1"/>
        <v>2.23</v>
      </c>
      <c r="H10" s="11">
        <v>3.11</v>
      </c>
      <c r="I10" s="11">
        <f t="shared" si="1"/>
        <v>1.46</v>
      </c>
      <c r="J10" s="11">
        <f t="shared" si="1"/>
        <v>1.91</v>
      </c>
      <c r="K10" s="11">
        <f t="shared" si="1"/>
        <v>1.96</v>
      </c>
      <c r="L10" s="11">
        <f t="shared" si="1"/>
        <v>3.14</v>
      </c>
      <c r="M10" s="11">
        <f t="shared" si="6"/>
        <v>5.96</v>
      </c>
      <c r="N10" s="6">
        <f t="shared" si="2"/>
        <v>-0.10016555702749896</v>
      </c>
      <c r="O10" s="12">
        <f t="shared" si="3"/>
        <v>0.1389303710857217</v>
      </c>
      <c r="P10" s="12">
        <f t="shared" si="4"/>
        <v>4.6587265246072151E-2</v>
      </c>
    </row>
    <row r="11" spans="1:16">
      <c r="A11" t="s">
        <v>13</v>
      </c>
      <c r="B11" t="s">
        <v>62</v>
      </c>
      <c r="C11" s="11">
        <f t="shared" si="1"/>
        <v>18.05</v>
      </c>
      <c r="D11" s="11">
        <f t="shared" si="1"/>
        <v>16.25</v>
      </c>
      <c r="E11" s="11">
        <f t="shared" si="1"/>
        <v>20.55</v>
      </c>
      <c r="F11" s="11">
        <f t="shared" si="1"/>
        <v>27.13</v>
      </c>
      <c r="G11" s="11">
        <f t="shared" si="1"/>
        <v>30.3</v>
      </c>
      <c r="H11" s="11">
        <f t="shared" si="1"/>
        <v>32.340000000000003</v>
      </c>
      <c r="I11" s="11">
        <f t="shared" si="1"/>
        <v>35.840000000000003</v>
      </c>
      <c r="J11" s="11">
        <f t="shared" si="1"/>
        <v>63.2</v>
      </c>
      <c r="K11" s="11">
        <f t="shared" si="1"/>
        <v>67.2</v>
      </c>
      <c r="L11" s="11">
        <f t="shared" si="1"/>
        <v>87.6</v>
      </c>
      <c r="M11" s="11">
        <f t="shared" si="6"/>
        <v>105.3</v>
      </c>
      <c r="N11" s="6">
        <f t="shared" si="2"/>
        <v>0.10915715330540099</v>
      </c>
      <c r="O11" s="12">
        <f t="shared" si="3"/>
        <v>0.26630310310204952</v>
      </c>
      <c r="P11" s="12">
        <f t="shared" si="4"/>
        <v>0.19287549346961397</v>
      </c>
    </row>
    <row r="12" spans="1:16">
      <c r="A12" t="s">
        <v>15</v>
      </c>
      <c r="B12" t="s">
        <v>64</v>
      </c>
      <c r="C12" s="11">
        <f t="shared" si="1"/>
        <v>10.5</v>
      </c>
      <c r="D12" s="11">
        <f t="shared" si="1"/>
        <v>16.299999</v>
      </c>
      <c r="E12" s="11">
        <f t="shared" si="1"/>
        <v>23.52</v>
      </c>
      <c r="F12" s="11">
        <f t="shared" si="1"/>
        <v>22.83</v>
      </c>
      <c r="G12" s="11">
        <f t="shared" si="1"/>
        <v>15.185</v>
      </c>
      <c r="H12" s="11">
        <f t="shared" si="1"/>
        <v>22.6</v>
      </c>
      <c r="I12" s="11">
        <f t="shared" si="1"/>
        <v>20.209999</v>
      </c>
      <c r="J12" s="11">
        <f t="shared" si="1"/>
        <v>19.540001</v>
      </c>
      <c r="K12" s="11">
        <f t="shared" si="1"/>
        <v>18.295000000000002</v>
      </c>
      <c r="L12" s="11">
        <f t="shared" si="1"/>
        <v>27.96</v>
      </c>
      <c r="M12" s="11">
        <f t="shared" si="6"/>
        <v>35.96</v>
      </c>
      <c r="N12" s="6">
        <f t="shared" si="2"/>
        <v>7.6577005277653543E-2</v>
      </c>
      <c r="O12" s="12">
        <f t="shared" si="3"/>
        <v>9.7342623965435138E-2</v>
      </c>
      <c r="P12" s="12">
        <f t="shared" si="4"/>
        <v>0.13100112886298554</v>
      </c>
    </row>
    <row r="13" spans="1:16">
      <c r="A13" t="s">
        <v>17</v>
      </c>
      <c r="B13" t="s">
        <v>66</v>
      </c>
      <c r="C13" s="11">
        <f t="shared" si="1"/>
        <v>2.52</v>
      </c>
      <c r="D13" s="11">
        <f t="shared" si="1"/>
        <v>3.88</v>
      </c>
      <c r="E13" s="11">
        <f t="shared" si="1"/>
        <v>4.68</v>
      </c>
      <c r="F13" s="11">
        <f t="shared" si="1"/>
        <v>6.36</v>
      </c>
      <c r="G13" s="11">
        <f t="shared" si="1"/>
        <v>7.37</v>
      </c>
      <c r="H13" s="11">
        <f t="shared" si="1"/>
        <v>8.1199999999999992</v>
      </c>
      <c r="I13" s="11">
        <f t="shared" si="1"/>
        <v>9.2200000000000006</v>
      </c>
      <c r="J13" s="11">
        <f t="shared" si="1"/>
        <v>12.87</v>
      </c>
      <c r="K13" s="11">
        <f t="shared" si="1"/>
        <v>9.56</v>
      </c>
      <c r="L13" s="11">
        <f t="shared" si="1"/>
        <v>10.07</v>
      </c>
      <c r="M13" s="11">
        <f t="shared" si="6"/>
        <v>6.1</v>
      </c>
      <c r="N13" s="6">
        <f t="shared" si="2"/>
        <v>0.23940541543344085</v>
      </c>
      <c r="O13" s="12">
        <f t="shared" si="3"/>
        <v>-5.5602646987133908E-2</v>
      </c>
      <c r="P13" s="12">
        <f t="shared" si="4"/>
        <v>9.2428267688483112E-2</v>
      </c>
    </row>
    <row r="14" spans="1:16">
      <c r="A14" t="s">
        <v>18</v>
      </c>
      <c r="B14" t="s">
        <v>68</v>
      </c>
      <c r="C14" s="11">
        <f t="shared" si="1"/>
        <v>33.51</v>
      </c>
      <c r="D14" s="11">
        <f t="shared" si="1"/>
        <v>48.18</v>
      </c>
      <c r="E14" s="11">
        <f t="shared" si="1"/>
        <v>57.75</v>
      </c>
      <c r="F14" s="11">
        <f t="shared" si="1"/>
        <v>74.5</v>
      </c>
      <c r="G14" s="11">
        <f t="shared" si="1"/>
        <v>71.2</v>
      </c>
      <c r="H14" s="11">
        <f t="shared" si="1"/>
        <v>116.5</v>
      </c>
      <c r="I14" s="11">
        <f t="shared" si="1"/>
        <v>169.6</v>
      </c>
      <c r="J14" s="11">
        <f t="shared" si="1"/>
        <v>158.94999999999999</v>
      </c>
      <c r="K14" s="11">
        <f t="shared" si="1"/>
        <v>129.55000000000001</v>
      </c>
      <c r="L14" s="11">
        <f t="shared" si="1"/>
        <v>93.2</v>
      </c>
      <c r="M14" s="11">
        <f t="shared" si="6"/>
        <v>100.5</v>
      </c>
      <c r="N14" s="6">
        <f t="shared" si="2"/>
        <v>0.16268243945747085</v>
      </c>
      <c r="O14" s="12">
        <f t="shared" si="3"/>
        <v>-2.911447260840605E-2</v>
      </c>
      <c r="P14" s="12">
        <f t="shared" si="4"/>
        <v>0.1160898623930624</v>
      </c>
    </row>
    <row r="15" spans="1:16">
      <c r="A15" t="s">
        <v>19</v>
      </c>
      <c r="B15" t="s">
        <v>70</v>
      </c>
      <c r="C15" s="11">
        <f t="shared" ref="C15:L23" si="7">SUM(_xldudf_WISEPRICE($B15, "close", , C$2, C$2))</f>
        <v>3.68</v>
      </c>
      <c r="D15" s="11">
        <f t="shared" si="7"/>
        <v>3.78</v>
      </c>
      <c r="E15" s="11">
        <f t="shared" si="7"/>
        <v>4.22</v>
      </c>
      <c r="F15" s="11">
        <f t="shared" si="7"/>
        <v>5.1100000000000003</v>
      </c>
      <c r="G15" s="11">
        <f t="shared" si="7"/>
        <v>5.08</v>
      </c>
      <c r="H15" s="11">
        <f t="shared" si="7"/>
        <v>7.21</v>
      </c>
      <c r="I15" s="11">
        <f t="shared" si="7"/>
        <v>8.4600000000000009</v>
      </c>
      <c r="J15" s="11">
        <f t="shared" si="7"/>
        <v>7.17</v>
      </c>
      <c r="K15" s="11">
        <f t="shared" si="7"/>
        <v>5.17</v>
      </c>
      <c r="L15" s="11">
        <f t="shared" si="7"/>
        <v>6.71</v>
      </c>
      <c r="M15" s="11">
        <f t="shared" si="6"/>
        <v>7.03</v>
      </c>
      <c r="N15" s="6">
        <f t="shared" si="2"/>
        <v>6.660392797243464E-2</v>
      </c>
      <c r="O15" s="12">
        <f t="shared" si="3"/>
        <v>-5.0436867758654191E-3</v>
      </c>
      <c r="P15" s="12">
        <f t="shared" si="4"/>
        <v>6.6868151535426135E-2</v>
      </c>
    </row>
    <row r="16" spans="1:16">
      <c r="A16" t="s">
        <v>20</v>
      </c>
      <c r="B16" t="s">
        <v>72</v>
      </c>
      <c r="C16" s="11">
        <f t="shared" si="7"/>
        <v>14.59</v>
      </c>
      <c r="D16" s="11">
        <f t="shared" si="7"/>
        <v>13.43</v>
      </c>
      <c r="E16" s="11">
        <f t="shared" si="7"/>
        <v>15.64</v>
      </c>
      <c r="F16" s="11">
        <f t="shared" si="7"/>
        <v>13.83</v>
      </c>
      <c r="G16" s="11">
        <f t="shared" si="7"/>
        <v>13.78</v>
      </c>
      <c r="H16" s="11">
        <f t="shared" si="7"/>
        <v>14.01</v>
      </c>
      <c r="I16" s="11">
        <f t="shared" si="7"/>
        <v>8.4499999999999993</v>
      </c>
      <c r="J16" s="11">
        <f t="shared" si="7"/>
        <v>12.61</v>
      </c>
      <c r="K16" s="11">
        <f t="shared" si="7"/>
        <v>13.71</v>
      </c>
      <c r="L16" s="11">
        <f t="shared" si="7"/>
        <v>15.56</v>
      </c>
      <c r="M16" s="11">
        <f t="shared" si="6"/>
        <v>13.46</v>
      </c>
      <c r="N16" s="6">
        <f t="shared" si="2"/>
        <v>-1.1358617603858812E-2</v>
      </c>
      <c r="O16" s="12">
        <f t="shared" si="3"/>
        <v>-7.9778141968829264E-3</v>
      </c>
      <c r="P16" s="12">
        <f t="shared" si="4"/>
        <v>-8.028997853633979E-3</v>
      </c>
    </row>
    <row r="17" spans="1:16">
      <c r="A17" t="s">
        <v>21</v>
      </c>
      <c r="B17" t="s">
        <v>74</v>
      </c>
      <c r="C17" s="11">
        <f t="shared" si="7"/>
        <v>0</v>
      </c>
      <c r="D17" s="11">
        <f t="shared" si="7"/>
        <v>43.67</v>
      </c>
      <c r="E17" s="11">
        <f t="shared" si="7"/>
        <v>56.2</v>
      </c>
      <c r="F17" s="11">
        <f t="shared" si="7"/>
        <v>87.3</v>
      </c>
      <c r="G17" s="11">
        <f t="shared" si="7"/>
        <v>86.52</v>
      </c>
      <c r="H17" s="11">
        <f t="shared" si="7"/>
        <v>149.55000000000001</v>
      </c>
      <c r="I17" s="11">
        <f t="shared" si="7"/>
        <v>187.6</v>
      </c>
      <c r="J17" s="11">
        <f t="shared" si="7"/>
        <v>235.1</v>
      </c>
      <c r="K17" s="11">
        <f t="shared" si="7"/>
        <v>202.5</v>
      </c>
      <c r="L17" s="11">
        <f t="shared" si="7"/>
        <v>307.39999999999998</v>
      </c>
      <c r="M17" s="11">
        <f t="shared" si="6"/>
        <v>409.2</v>
      </c>
      <c r="N17" s="6">
        <f>(G17 /D17)^(1/4) - 1</f>
        <v>0.18640598724827018</v>
      </c>
      <c r="O17" s="12">
        <f t="shared" si="3"/>
        <v>0.22300953099265008</v>
      </c>
      <c r="P17" s="12">
        <f>(M17 /D17)^(1/19) - 1</f>
        <v>0.12498016400368162</v>
      </c>
    </row>
    <row r="18" spans="1:16">
      <c r="A18" t="s">
        <v>22</v>
      </c>
      <c r="B18" t="s">
        <v>76</v>
      </c>
      <c r="C18" s="11">
        <f t="shared" si="7"/>
        <v>4.74</v>
      </c>
      <c r="D18" s="11">
        <f t="shared" si="7"/>
        <v>7.4</v>
      </c>
      <c r="E18" s="11">
        <f t="shared" si="7"/>
        <v>5.49</v>
      </c>
      <c r="F18" s="11">
        <f t="shared" si="7"/>
        <v>8.4499999999999993</v>
      </c>
      <c r="G18" s="11">
        <f t="shared" si="7"/>
        <v>8.75</v>
      </c>
      <c r="H18" s="11">
        <f t="shared" si="7"/>
        <v>11.01</v>
      </c>
      <c r="I18" s="11">
        <f t="shared" si="7"/>
        <v>13.69</v>
      </c>
      <c r="J18" s="11">
        <f t="shared" si="7"/>
        <v>15.76</v>
      </c>
      <c r="K18" s="11">
        <f t="shared" si="7"/>
        <v>15.7</v>
      </c>
      <c r="L18" s="11">
        <f t="shared" si="7"/>
        <v>13.65</v>
      </c>
      <c r="M18" s="11">
        <f t="shared" si="6"/>
        <v>16.899999999999999</v>
      </c>
      <c r="N18" s="6">
        <f t="shared" si="2"/>
        <v>0.1304359026894486</v>
      </c>
      <c r="O18" s="12">
        <f t="shared" si="3"/>
        <v>8.9481542758547583E-2</v>
      </c>
      <c r="P18" s="12">
        <f t="shared" si="4"/>
        <v>0.13556196145016641</v>
      </c>
    </row>
    <row r="19" spans="1:16">
      <c r="A19" t="s">
        <v>23</v>
      </c>
      <c r="B19" t="s">
        <v>78</v>
      </c>
      <c r="C19" s="11">
        <f t="shared" si="7"/>
        <v>17.04</v>
      </c>
      <c r="D19" s="11">
        <f t="shared" si="7"/>
        <v>16.2</v>
      </c>
      <c r="E19" s="11">
        <f t="shared" si="7"/>
        <v>14.35</v>
      </c>
      <c r="F19" s="11">
        <f t="shared" si="7"/>
        <v>15.02</v>
      </c>
      <c r="G19" s="11">
        <f t="shared" si="7"/>
        <v>14.51</v>
      </c>
      <c r="H19" s="11">
        <f t="shared" si="7"/>
        <v>18.510000000000002</v>
      </c>
      <c r="I19" s="11">
        <f t="shared" si="7"/>
        <v>14.07</v>
      </c>
      <c r="J19" s="11">
        <f t="shared" si="7"/>
        <v>19</v>
      </c>
      <c r="K19" s="11">
        <f t="shared" si="7"/>
        <v>16.77</v>
      </c>
      <c r="L19" s="11">
        <f t="shared" si="7"/>
        <v>19.36</v>
      </c>
      <c r="M19" s="11">
        <f t="shared" si="6"/>
        <v>27.6</v>
      </c>
      <c r="N19" s="6">
        <f t="shared" si="2"/>
        <v>-3.1633929219732959E-2</v>
      </c>
      <c r="O19" s="12">
        <f t="shared" si="3"/>
        <v>8.3179750904433192E-2</v>
      </c>
      <c r="P19" s="12">
        <f t="shared" si="4"/>
        <v>4.9406981536311623E-2</v>
      </c>
    </row>
    <row r="20" spans="1:16">
      <c r="A20" t="s">
        <v>24</v>
      </c>
      <c r="B20" t="s">
        <v>80</v>
      </c>
      <c r="C20" s="11">
        <f t="shared" si="7"/>
        <v>1.94</v>
      </c>
      <c r="D20" s="11">
        <f t="shared" si="7"/>
        <v>2.44</v>
      </c>
      <c r="E20" s="11">
        <f t="shared" si="7"/>
        <v>2.2200000000000002</v>
      </c>
      <c r="F20" s="11">
        <f t="shared" si="7"/>
        <v>2.94</v>
      </c>
      <c r="G20" s="11">
        <f t="shared" si="7"/>
        <v>2.72</v>
      </c>
      <c r="H20" s="11">
        <f t="shared" si="7"/>
        <v>3.9</v>
      </c>
      <c r="I20" s="11">
        <f t="shared" si="7"/>
        <v>3.05</v>
      </c>
      <c r="J20" s="11">
        <f t="shared" si="7"/>
        <v>3.67</v>
      </c>
      <c r="K20" s="11">
        <f t="shared" si="7"/>
        <v>2.59</v>
      </c>
      <c r="L20" s="11">
        <f t="shared" si="7"/>
        <v>2.96</v>
      </c>
      <c r="M20" s="11">
        <f t="shared" si="6"/>
        <v>3.46</v>
      </c>
      <c r="N20" s="6">
        <f t="shared" si="2"/>
        <v>6.9925244892298455E-2</v>
      </c>
      <c r="O20" s="12">
        <f t="shared" si="3"/>
        <v>-2.3657266474981675E-2</v>
      </c>
      <c r="P20" s="12">
        <f t="shared" si="4"/>
        <v>5.9564592133020566E-2</v>
      </c>
    </row>
    <row r="21" spans="1:16">
      <c r="A21" t="s">
        <v>25</v>
      </c>
      <c r="B21" t="s">
        <v>82</v>
      </c>
      <c r="C21" s="11">
        <f t="shared" si="7"/>
        <v>2.4500000000000002</v>
      </c>
      <c r="D21" s="11">
        <f t="shared" si="7"/>
        <v>2.98</v>
      </c>
      <c r="E21" s="11">
        <f t="shared" si="7"/>
        <v>2.4500000000000002</v>
      </c>
      <c r="F21" s="11">
        <f t="shared" si="7"/>
        <v>2.75</v>
      </c>
      <c r="G21" s="11">
        <f t="shared" si="7"/>
        <v>1.91</v>
      </c>
      <c r="H21" s="11">
        <f t="shared" si="7"/>
        <v>2.38</v>
      </c>
      <c r="I21" s="11">
        <f t="shared" si="7"/>
        <v>1.91</v>
      </c>
      <c r="J21" s="11">
        <f t="shared" si="7"/>
        <v>2.39</v>
      </c>
      <c r="K21" s="11">
        <f t="shared" si="7"/>
        <v>2.12</v>
      </c>
      <c r="L21" s="11">
        <f t="shared" si="7"/>
        <v>2.69</v>
      </c>
      <c r="M21" s="11">
        <f t="shared" si="6"/>
        <v>3.85</v>
      </c>
      <c r="N21" s="6">
        <f t="shared" si="2"/>
        <v>-4.857741493793577E-2</v>
      </c>
      <c r="O21" s="12">
        <f t="shared" si="3"/>
        <v>0.10097321782112156</v>
      </c>
      <c r="P21" s="12">
        <f t="shared" si="4"/>
        <v>4.6235529994636204E-2</v>
      </c>
    </row>
    <row r="22" spans="1:16">
      <c r="A22" t="s">
        <v>26</v>
      </c>
      <c r="B22" t="s">
        <v>84</v>
      </c>
      <c r="C22" s="11">
        <f t="shared" si="7"/>
        <v>0</v>
      </c>
      <c r="D22" s="11">
        <f t="shared" si="7"/>
        <v>4.96</v>
      </c>
      <c r="E22" s="11">
        <f t="shared" si="7"/>
        <v>4.37</v>
      </c>
      <c r="F22" s="11">
        <f t="shared" si="7"/>
        <v>6.14</v>
      </c>
      <c r="G22" s="11">
        <f t="shared" si="7"/>
        <v>6.1</v>
      </c>
      <c r="H22" s="11">
        <f t="shared" si="7"/>
        <v>8.6999999999999993</v>
      </c>
      <c r="I22" s="11">
        <f t="shared" si="7"/>
        <v>10.039999999999999</v>
      </c>
      <c r="J22" s="11">
        <f t="shared" si="7"/>
        <v>10.57</v>
      </c>
      <c r="K22" s="11">
        <f t="shared" si="7"/>
        <v>9.49</v>
      </c>
      <c r="L22" s="11">
        <f t="shared" si="7"/>
        <v>11.57</v>
      </c>
      <c r="M22" s="11">
        <f t="shared" si="6"/>
        <v>10.029999999999999</v>
      </c>
      <c r="N22" s="6">
        <f>(G22 /D22)^(1/4) - 1</f>
        <v>5.3081636419452405E-2</v>
      </c>
      <c r="O22" s="12">
        <f t="shared" si="3"/>
        <v>2.8860125612249155E-2</v>
      </c>
      <c r="P22" s="12">
        <f>(M22 /D22)^(1/9) - 1</f>
        <v>8.1383944879191317E-2</v>
      </c>
    </row>
    <row r="23" spans="1:16">
      <c r="A23" t="s">
        <v>27</v>
      </c>
      <c r="B23" t="s">
        <v>86</v>
      </c>
      <c r="C23" s="11">
        <f t="shared" si="7"/>
        <v>0</v>
      </c>
      <c r="D23" s="11">
        <f t="shared" si="7"/>
        <v>0</v>
      </c>
      <c r="E23" s="11">
        <f t="shared" si="7"/>
        <v>3.81</v>
      </c>
      <c r="F23" s="11">
        <f t="shared" si="7"/>
        <v>5</v>
      </c>
      <c r="G23" s="11">
        <f t="shared" si="7"/>
        <v>5.0599999999999996</v>
      </c>
      <c r="H23" s="11">
        <f t="shared" si="7"/>
        <v>5.57</v>
      </c>
      <c r="I23" s="11">
        <f t="shared" si="7"/>
        <v>5.18</v>
      </c>
      <c r="J23" s="11">
        <f t="shared" si="7"/>
        <v>6.01</v>
      </c>
      <c r="K23" s="11">
        <f t="shared" si="7"/>
        <v>5.25</v>
      </c>
      <c r="L23" s="11">
        <f t="shared" si="7"/>
        <v>5.12</v>
      </c>
      <c r="M23" s="11">
        <f t="shared" si="6"/>
        <v>5.46</v>
      </c>
      <c r="N23" s="6">
        <f>(G23 /E23)^(1/3) - 1</f>
        <v>9.9196103966854743E-2</v>
      </c>
      <c r="O23" s="12">
        <f t="shared" si="3"/>
        <v>-3.981306337755175E-3</v>
      </c>
      <c r="P23" s="12">
        <f>(M23 /E23)^(1/8) - 1</f>
        <v>4.6004272327258455E-2</v>
      </c>
    </row>
    <row r="24" spans="1:16">
      <c r="A24" t="s">
        <v>28</v>
      </c>
      <c r="B24" t="s">
        <v>88</v>
      </c>
      <c r="C24" s="11">
        <f t="shared" ref="C24:L32" si="8">SUM(_xldudf_WISEPRICE($B24, "close", , C$2, C$2))</f>
        <v>7.73</v>
      </c>
      <c r="D24" s="11">
        <f t="shared" si="8"/>
        <v>12.37</v>
      </c>
      <c r="E24" s="11">
        <f t="shared" si="8"/>
        <v>13.41</v>
      </c>
      <c r="F24" s="11">
        <f t="shared" si="8"/>
        <v>10.08</v>
      </c>
      <c r="G24" s="11">
        <f t="shared" si="8"/>
        <v>7.68</v>
      </c>
      <c r="H24" s="11">
        <f t="shared" si="8"/>
        <v>10.48</v>
      </c>
      <c r="I24" s="11">
        <f t="shared" si="8"/>
        <v>5.83</v>
      </c>
      <c r="J24" s="11">
        <f t="shared" si="8"/>
        <v>6.43</v>
      </c>
      <c r="K24" s="11">
        <f t="shared" si="8"/>
        <v>8.2899999999999991</v>
      </c>
      <c r="L24" s="11">
        <f t="shared" si="8"/>
        <v>15.24</v>
      </c>
      <c r="M24" s="11">
        <f t="shared" si="6"/>
        <v>26.06</v>
      </c>
      <c r="N24" s="6">
        <f t="shared" si="2"/>
        <v>-1.2970212278982096E-3</v>
      </c>
      <c r="O24" s="12">
        <f t="shared" si="3"/>
        <v>0.19983803705114944</v>
      </c>
      <c r="P24" s="12">
        <f t="shared" si="4"/>
        <v>0.12922241880890506</v>
      </c>
    </row>
    <row r="25" spans="1:16">
      <c r="A25" t="s">
        <v>29</v>
      </c>
      <c r="B25" t="s">
        <v>90</v>
      </c>
      <c r="C25" s="11">
        <f t="shared" si="8"/>
        <v>6.87</v>
      </c>
      <c r="D25" s="11">
        <f t="shared" si="8"/>
        <v>8.59</v>
      </c>
      <c r="E25" s="11">
        <f t="shared" si="8"/>
        <v>7.92</v>
      </c>
      <c r="F25" s="11">
        <f t="shared" si="8"/>
        <v>9.42</v>
      </c>
      <c r="G25" s="11">
        <f t="shared" si="8"/>
        <v>7.3</v>
      </c>
      <c r="H25" s="11">
        <f t="shared" si="8"/>
        <v>10</v>
      </c>
      <c r="I25" s="11">
        <f t="shared" si="8"/>
        <v>7.41</v>
      </c>
      <c r="J25" s="11">
        <f t="shared" si="8"/>
        <v>10.4</v>
      </c>
      <c r="K25" s="11">
        <f t="shared" si="8"/>
        <v>9.0399999999999991</v>
      </c>
      <c r="L25" s="11">
        <f t="shared" si="8"/>
        <v>11.2</v>
      </c>
      <c r="M25" s="11">
        <f t="shared" si="6"/>
        <v>14.13</v>
      </c>
      <c r="N25" s="6">
        <f t="shared" si="2"/>
        <v>1.221606231037109E-2</v>
      </c>
      <c r="O25" s="12">
        <f t="shared" si="3"/>
        <v>7.1589457706953574E-2</v>
      </c>
      <c r="P25" s="12">
        <f t="shared" si="4"/>
        <v>7.4777441568024683E-2</v>
      </c>
    </row>
    <row r="26" spans="1:16">
      <c r="A26" t="s">
        <v>30</v>
      </c>
      <c r="B26" t="s">
        <v>92</v>
      </c>
      <c r="C26" s="11">
        <f t="shared" si="8"/>
        <v>11.07</v>
      </c>
      <c r="D26" s="11">
        <f t="shared" si="8"/>
        <v>12.45</v>
      </c>
      <c r="E26" s="11">
        <f t="shared" si="8"/>
        <v>16.8</v>
      </c>
      <c r="F26" s="11">
        <f t="shared" si="8"/>
        <v>25.8</v>
      </c>
      <c r="G26" s="11">
        <f t="shared" si="8"/>
        <v>29.16</v>
      </c>
      <c r="H26" s="11">
        <f t="shared" si="8"/>
        <v>40.590000000000003</v>
      </c>
      <c r="I26" s="11">
        <f t="shared" si="8"/>
        <v>50</v>
      </c>
      <c r="J26" s="11">
        <f t="shared" si="8"/>
        <v>65</v>
      </c>
      <c r="K26" s="11">
        <f t="shared" si="8"/>
        <v>50.66</v>
      </c>
      <c r="L26" s="11">
        <f t="shared" si="8"/>
        <v>55.64</v>
      </c>
      <c r="M26" s="11">
        <f t="shared" si="6"/>
        <v>50.96</v>
      </c>
      <c r="N26" s="6">
        <f t="shared" si="2"/>
        <v>0.21374646976541878</v>
      </c>
      <c r="O26" s="12">
        <f t="shared" si="3"/>
        <v>4.6555040208869691E-2</v>
      </c>
      <c r="P26" s="12">
        <f t="shared" si="4"/>
        <v>0.16495239841624376</v>
      </c>
    </row>
    <row r="27" spans="1:16">
      <c r="A27" t="s">
        <v>31</v>
      </c>
      <c r="B27" t="s">
        <v>94</v>
      </c>
      <c r="C27" s="11">
        <f t="shared" si="8"/>
        <v>0</v>
      </c>
      <c r="D27" s="11">
        <f t="shared" si="8"/>
        <v>0</v>
      </c>
      <c r="E27" s="11">
        <f t="shared" si="8"/>
        <v>0</v>
      </c>
      <c r="F27" s="11">
        <f t="shared" si="8"/>
        <v>0</v>
      </c>
      <c r="G27" s="11">
        <f t="shared" si="8"/>
        <v>0</v>
      </c>
      <c r="H27" s="11">
        <f t="shared" si="8"/>
        <v>12.6</v>
      </c>
      <c r="I27" s="11">
        <f t="shared" si="8"/>
        <v>16.555</v>
      </c>
      <c r="J27" s="11">
        <f t="shared" si="8"/>
        <v>14.32</v>
      </c>
      <c r="K27" s="11">
        <f t="shared" si="8"/>
        <v>7.548</v>
      </c>
      <c r="L27" s="11">
        <f t="shared" si="8"/>
        <v>7.31</v>
      </c>
      <c r="M27" s="11">
        <f t="shared" si="6"/>
        <v>5.39</v>
      </c>
      <c r="N27" s="6" t="s">
        <v>138</v>
      </c>
      <c r="O27" s="12">
        <f t="shared" si="3"/>
        <v>-0.15619198935967571</v>
      </c>
      <c r="P27" s="12">
        <v>-0.15619198935967571</v>
      </c>
    </row>
    <row r="28" spans="1:16">
      <c r="A28" t="s">
        <v>32</v>
      </c>
      <c r="B28" t="s">
        <v>96</v>
      </c>
      <c r="C28" s="11">
        <f t="shared" si="8"/>
        <v>0</v>
      </c>
      <c r="D28" s="11">
        <f t="shared" si="8"/>
        <v>6.97</v>
      </c>
      <c r="E28" s="11">
        <f t="shared" si="8"/>
        <v>6.4</v>
      </c>
      <c r="F28" s="11">
        <f t="shared" si="8"/>
        <v>6.3</v>
      </c>
      <c r="G28" s="11">
        <f t="shared" si="8"/>
        <v>6.97</v>
      </c>
      <c r="H28" s="11">
        <f t="shared" si="8"/>
        <v>10.199999999999999</v>
      </c>
      <c r="I28" s="11">
        <f t="shared" si="8"/>
        <v>8.34</v>
      </c>
      <c r="J28" s="11">
        <f t="shared" si="8"/>
        <v>11.72</v>
      </c>
      <c r="K28" s="11">
        <f t="shared" si="8"/>
        <v>9.23</v>
      </c>
      <c r="L28" s="11">
        <f t="shared" si="8"/>
        <v>10.37</v>
      </c>
      <c r="M28" s="11">
        <f t="shared" si="6"/>
        <v>13.75</v>
      </c>
      <c r="N28" s="6">
        <f>(G28 /D28)^(1/4) - 1</f>
        <v>0</v>
      </c>
      <c r="O28" s="12">
        <f t="shared" si="3"/>
        <v>6.1550123730776951E-2</v>
      </c>
      <c r="P28" s="12">
        <f>(M28 /D28)^(1/9) - 1</f>
        <v>7.8414073062886391E-2</v>
      </c>
    </row>
    <row r="29" spans="1:16">
      <c r="A29" t="s">
        <v>33</v>
      </c>
      <c r="B29" t="s">
        <v>98</v>
      </c>
      <c r="C29" s="11">
        <f t="shared" si="8"/>
        <v>14.7</v>
      </c>
      <c r="D29" s="11">
        <f t="shared" si="8"/>
        <v>18.73</v>
      </c>
      <c r="E29" s="11">
        <f t="shared" si="8"/>
        <v>24.13</v>
      </c>
      <c r="F29" s="11">
        <f t="shared" si="8"/>
        <v>26.1</v>
      </c>
      <c r="G29" s="11">
        <f t="shared" si="8"/>
        <v>17.45</v>
      </c>
      <c r="H29" s="11">
        <f t="shared" si="8"/>
        <v>21.7</v>
      </c>
      <c r="I29" s="11">
        <f t="shared" si="8"/>
        <v>29.22</v>
      </c>
      <c r="J29" s="11">
        <f t="shared" si="8"/>
        <v>33.08</v>
      </c>
      <c r="K29" s="11">
        <f t="shared" si="8"/>
        <v>35.380000000000003</v>
      </c>
      <c r="L29" s="11">
        <f t="shared" si="8"/>
        <v>41.66</v>
      </c>
      <c r="M29" s="11">
        <f t="shared" si="6"/>
        <v>63.06</v>
      </c>
      <c r="N29" s="6">
        <f t="shared" si="2"/>
        <v>3.4893404893871605E-2</v>
      </c>
      <c r="O29" s="12">
        <f t="shared" si="3"/>
        <v>0.23782385064413125</v>
      </c>
      <c r="P29" s="12">
        <f t="shared" si="4"/>
        <v>0.15676106694421876</v>
      </c>
    </row>
    <row r="30" spans="1:16">
      <c r="A30" t="s">
        <v>34</v>
      </c>
      <c r="B30" t="s">
        <v>100</v>
      </c>
      <c r="C30" s="11">
        <f t="shared" si="8"/>
        <v>13.06</v>
      </c>
      <c r="D30" s="11">
        <f t="shared" si="8"/>
        <v>23.64</v>
      </c>
      <c r="E30" s="11">
        <f t="shared" si="8"/>
        <v>27.31</v>
      </c>
      <c r="F30" s="11">
        <f t="shared" si="8"/>
        <v>37.299999999999997</v>
      </c>
      <c r="G30" s="11">
        <f t="shared" si="8"/>
        <v>30.02</v>
      </c>
      <c r="H30" s="11">
        <f t="shared" si="8"/>
        <v>37.950000000000003</v>
      </c>
      <c r="I30" s="11">
        <f t="shared" si="8"/>
        <v>44.86</v>
      </c>
      <c r="J30" s="11">
        <f t="shared" si="8"/>
        <v>54.62</v>
      </c>
      <c r="K30" s="11">
        <f t="shared" si="8"/>
        <v>38.82</v>
      </c>
      <c r="L30" s="11">
        <f t="shared" si="8"/>
        <v>49</v>
      </c>
      <c r="M30" s="11">
        <f t="shared" si="6"/>
        <v>51.75</v>
      </c>
      <c r="N30" s="6">
        <f t="shared" si="2"/>
        <v>0.18111858219846955</v>
      </c>
      <c r="O30" s="12">
        <f t="shared" si="3"/>
        <v>6.3995312815083638E-2</v>
      </c>
      <c r="P30" s="12">
        <f t="shared" si="4"/>
        <v>0.14761632553477333</v>
      </c>
    </row>
    <row r="31" spans="1:16">
      <c r="A31" t="s">
        <v>35</v>
      </c>
      <c r="B31" t="s">
        <v>102</v>
      </c>
      <c r="C31" s="11">
        <f t="shared" si="8"/>
        <v>27.74</v>
      </c>
      <c r="D31" s="11">
        <f t="shared" si="8"/>
        <v>22.88</v>
      </c>
      <c r="E31" s="11">
        <f t="shared" si="8"/>
        <v>14.03</v>
      </c>
      <c r="F31" s="11">
        <f t="shared" si="8"/>
        <v>9.59</v>
      </c>
      <c r="G31" s="11">
        <f t="shared" si="8"/>
        <v>8.23</v>
      </c>
      <c r="H31" s="11">
        <f t="shared" si="8"/>
        <v>11</v>
      </c>
      <c r="I31" s="11">
        <f t="shared" si="8"/>
        <v>5.59</v>
      </c>
      <c r="J31" s="11">
        <f t="shared" si="8"/>
        <v>4.83</v>
      </c>
      <c r="K31" s="11">
        <f t="shared" si="8"/>
        <v>1.18</v>
      </c>
      <c r="L31" s="11">
        <f t="shared" si="8"/>
        <v>1.49</v>
      </c>
      <c r="M31" s="11">
        <f t="shared" si="6"/>
        <v>2.66</v>
      </c>
      <c r="N31" s="6">
        <f t="shared" si="2"/>
        <v>-0.21574250890875757</v>
      </c>
      <c r="O31" s="12">
        <f t="shared" si="3"/>
        <v>-0.2471684865979189</v>
      </c>
      <c r="P31" s="12">
        <f t="shared" si="4"/>
        <v>-0.20899811583166228</v>
      </c>
    </row>
    <row r="32" spans="1:16">
      <c r="A32" t="s">
        <v>36</v>
      </c>
      <c r="B32" t="s">
        <v>104</v>
      </c>
      <c r="C32" s="11">
        <f t="shared" si="8"/>
        <v>3.42</v>
      </c>
      <c r="D32" s="11">
        <f t="shared" si="8"/>
        <v>4.05</v>
      </c>
      <c r="E32" s="11">
        <f t="shared" si="8"/>
        <v>3.97</v>
      </c>
      <c r="F32" s="11">
        <f t="shared" si="8"/>
        <v>4.03</v>
      </c>
      <c r="G32" s="11">
        <f t="shared" si="8"/>
        <v>3.94</v>
      </c>
      <c r="H32" s="11">
        <f t="shared" si="8"/>
        <v>4.66</v>
      </c>
      <c r="I32" s="11">
        <f t="shared" si="8"/>
        <v>4.62</v>
      </c>
      <c r="J32" s="11">
        <f t="shared" si="8"/>
        <v>5.27</v>
      </c>
      <c r="K32" s="11">
        <f t="shared" si="8"/>
        <v>4.62</v>
      </c>
      <c r="L32" s="11">
        <f t="shared" si="8"/>
        <v>4.6399999999999997</v>
      </c>
      <c r="M32" s="11">
        <f t="shared" si="6"/>
        <v>4.3499999999999996</v>
      </c>
      <c r="N32" s="6">
        <f t="shared" si="2"/>
        <v>2.8712514512226228E-2</v>
      </c>
      <c r="O32" s="12">
        <f t="shared" si="3"/>
        <v>-1.3673576259936038E-2</v>
      </c>
      <c r="P32" s="12">
        <f t="shared" si="4"/>
        <v>2.4345149006960609E-2</v>
      </c>
    </row>
    <row r="33" spans="1:16">
      <c r="A33" t="s">
        <v>37</v>
      </c>
      <c r="B33" t="s">
        <v>106</v>
      </c>
      <c r="C33" s="11">
        <f t="shared" ref="C33:L40" si="9">SUM(_xldudf_WISEPRICE($B33, "close", , C$2, C$2))</f>
        <v>6.35</v>
      </c>
      <c r="D33" s="11">
        <f t="shared" si="9"/>
        <v>8.15</v>
      </c>
      <c r="E33" s="11">
        <f t="shared" si="9"/>
        <v>8.9600000000000009</v>
      </c>
      <c r="F33" s="11">
        <f t="shared" si="9"/>
        <v>15.16</v>
      </c>
      <c r="G33" s="11">
        <f t="shared" si="9"/>
        <v>12.57</v>
      </c>
      <c r="H33" s="11">
        <f t="shared" si="9"/>
        <v>13.36</v>
      </c>
      <c r="I33" s="11">
        <f t="shared" si="9"/>
        <v>14.88</v>
      </c>
      <c r="J33" s="11">
        <f t="shared" si="9"/>
        <v>17.71</v>
      </c>
      <c r="K33" s="11">
        <f t="shared" si="9"/>
        <v>13.65</v>
      </c>
      <c r="L33" s="11">
        <f t="shared" si="9"/>
        <v>21.17</v>
      </c>
      <c r="M33" s="11">
        <f t="shared" si="6"/>
        <v>12.62</v>
      </c>
      <c r="N33" s="6">
        <f t="shared" si="2"/>
        <v>0.14633700064007082</v>
      </c>
      <c r="O33" s="12">
        <f t="shared" si="3"/>
        <v>-1.1331768516682716E-2</v>
      </c>
      <c r="P33" s="12">
        <f t="shared" si="4"/>
        <v>7.1096408213985773E-2</v>
      </c>
    </row>
    <row r="34" spans="1:16">
      <c r="A34" t="s">
        <v>38</v>
      </c>
      <c r="B34" t="s">
        <v>108</v>
      </c>
      <c r="C34" s="11">
        <f t="shared" si="9"/>
        <v>6.23</v>
      </c>
      <c r="D34" s="11">
        <f t="shared" si="9"/>
        <v>6.04</v>
      </c>
      <c r="E34" s="11">
        <f t="shared" si="9"/>
        <v>10.81</v>
      </c>
      <c r="F34" s="11">
        <f t="shared" si="9"/>
        <v>18.43</v>
      </c>
      <c r="G34" s="11">
        <f t="shared" si="9"/>
        <v>12.14</v>
      </c>
      <c r="H34" s="11">
        <f t="shared" si="9"/>
        <v>24.76</v>
      </c>
      <c r="I34" s="11">
        <f t="shared" si="9"/>
        <v>31.72</v>
      </c>
      <c r="J34" s="11">
        <f t="shared" si="9"/>
        <v>43.23</v>
      </c>
      <c r="K34" s="11">
        <f t="shared" si="9"/>
        <v>33.44</v>
      </c>
      <c r="L34" s="11">
        <f t="shared" si="9"/>
        <v>44.57</v>
      </c>
      <c r="M34" s="11">
        <f t="shared" si="6"/>
        <v>23.81</v>
      </c>
      <c r="N34" s="6">
        <f t="shared" si="2"/>
        <v>0.14273657543659635</v>
      </c>
      <c r="O34" s="12">
        <f t="shared" si="3"/>
        <v>-7.7942237404056147E-3</v>
      </c>
      <c r="P34" s="12">
        <f t="shared" si="4"/>
        <v>0.14347621349114936</v>
      </c>
    </row>
    <row r="35" spans="1:16">
      <c r="A35" t="s">
        <v>39</v>
      </c>
      <c r="B35" t="s">
        <v>110</v>
      </c>
      <c r="C35" s="11">
        <f t="shared" si="9"/>
        <v>0.876</v>
      </c>
      <c r="D35" s="11">
        <f t="shared" si="9"/>
        <v>1.127</v>
      </c>
      <c r="E35" s="11">
        <f t="shared" si="9"/>
        <v>0.85799999999999998</v>
      </c>
      <c r="F35" s="11">
        <f t="shared" si="9"/>
        <v>0.72550000000000003</v>
      </c>
      <c r="G35" s="11">
        <f t="shared" si="9"/>
        <v>0.48959999999999998</v>
      </c>
      <c r="H35" s="11">
        <f t="shared" si="9"/>
        <v>0.5595</v>
      </c>
      <c r="I35" s="11">
        <f t="shared" si="9"/>
        <v>0.38109999999999999</v>
      </c>
      <c r="J35" s="11">
        <f t="shared" si="9"/>
        <v>0.44490000000000002</v>
      </c>
      <c r="K35" s="11">
        <f t="shared" si="9"/>
        <v>0.21879999999999999</v>
      </c>
      <c r="L35" s="11">
        <f t="shared" si="9"/>
        <v>0.29930000000000001</v>
      </c>
      <c r="M35" s="11">
        <f t="shared" si="6"/>
        <v>0.24970000000000001</v>
      </c>
      <c r="N35" s="6">
        <f t="shared" si="2"/>
        <v>-0.10984125941079659</v>
      </c>
      <c r="O35" s="12">
        <f t="shared" si="3"/>
        <v>-0.14901150176977163</v>
      </c>
      <c r="P35" s="12">
        <f t="shared" si="4"/>
        <v>-0.11795357593401123</v>
      </c>
    </row>
    <row r="36" spans="1:16">
      <c r="A36" t="s">
        <v>40</v>
      </c>
      <c r="B36" t="s">
        <v>112</v>
      </c>
      <c r="C36" s="11">
        <f t="shared" si="9"/>
        <v>12.43</v>
      </c>
      <c r="D36" s="11">
        <f t="shared" si="9"/>
        <v>10.8</v>
      </c>
      <c r="E36" s="11">
        <f t="shared" si="9"/>
        <v>17.25</v>
      </c>
      <c r="F36" s="11">
        <f t="shared" si="9"/>
        <v>13.25</v>
      </c>
      <c r="G36" s="11">
        <f t="shared" si="9"/>
        <v>9.52</v>
      </c>
      <c r="H36" s="11">
        <f t="shared" si="9"/>
        <v>10.1</v>
      </c>
      <c r="I36" s="11">
        <f t="shared" si="9"/>
        <v>6.54</v>
      </c>
      <c r="J36" s="11">
        <f t="shared" si="9"/>
        <v>9.7100000000000009</v>
      </c>
      <c r="K36" s="11">
        <f t="shared" si="9"/>
        <v>16.82</v>
      </c>
      <c r="L36" s="11">
        <f t="shared" si="9"/>
        <v>15.9</v>
      </c>
      <c r="M36" s="11">
        <f t="shared" si="6"/>
        <v>18.45</v>
      </c>
      <c r="N36" s="6">
        <f t="shared" si="2"/>
        <v>-5.1945805667677591E-2</v>
      </c>
      <c r="O36" s="12">
        <f t="shared" si="3"/>
        <v>0.12806727169814902</v>
      </c>
      <c r="P36" s="12">
        <f t="shared" si="4"/>
        <v>4.0285449843520782E-2</v>
      </c>
    </row>
    <row r="37" spans="1:16">
      <c r="A37" t="s">
        <v>41</v>
      </c>
      <c r="B37" t="s">
        <v>114</v>
      </c>
      <c r="C37" s="11">
        <f t="shared" si="9"/>
        <v>3.75</v>
      </c>
      <c r="D37" s="11">
        <f t="shared" si="9"/>
        <v>4.72</v>
      </c>
      <c r="E37" s="11">
        <f t="shared" si="9"/>
        <v>4.43</v>
      </c>
      <c r="F37" s="11">
        <f t="shared" si="9"/>
        <v>4.8</v>
      </c>
      <c r="G37" s="11">
        <f t="shared" si="9"/>
        <v>5.07</v>
      </c>
      <c r="H37" s="11">
        <f t="shared" si="9"/>
        <v>5.92</v>
      </c>
      <c r="I37" s="11">
        <f t="shared" si="9"/>
        <v>6.23</v>
      </c>
      <c r="J37" s="11">
        <f t="shared" si="9"/>
        <v>7.16</v>
      </c>
      <c r="K37" s="11">
        <f t="shared" si="9"/>
        <v>7</v>
      </c>
      <c r="L37" s="11">
        <f t="shared" si="9"/>
        <v>7.48</v>
      </c>
      <c r="M37" s="11">
        <f t="shared" si="6"/>
        <v>7.74</v>
      </c>
      <c r="N37" s="6">
        <f t="shared" si="2"/>
        <v>6.2173197333575736E-2</v>
      </c>
      <c r="O37" s="12">
        <f t="shared" si="3"/>
        <v>5.5076259013834283E-2</v>
      </c>
      <c r="P37" s="12">
        <f t="shared" si="4"/>
        <v>7.5154728555224315E-2</v>
      </c>
    </row>
    <row r="38" spans="1:16">
      <c r="A38" t="s">
        <v>42</v>
      </c>
      <c r="B38" t="s">
        <v>116</v>
      </c>
      <c r="C38" s="11">
        <f t="shared" si="9"/>
        <v>27.23</v>
      </c>
      <c r="D38" s="11">
        <f t="shared" si="9"/>
        <v>24.97</v>
      </c>
      <c r="E38" s="11">
        <f t="shared" si="9"/>
        <v>14.05</v>
      </c>
      <c r="F38" s="11">
        <f t="shared" si="9"/>
        <v>15.71</v>
      </c>
      <c r="G38" s="11">
        <f t="shared" si="9"/>
        <v>9.77</v>
      </c>
      <c r="H38" s="11">
        <f t="shared" si="9"/>
        <v>13.49</v>
      </c>
      <c r="I38" s="11">
        <f t="shared" si="9"/>
        <v>7.58</v>
      </c>
      <c r="J38" s="11">
        <f t="shared" si="9"/>
        <v>14.28</v>
      </c>
      <c r="K38" s="11">
        <f t="shared" si="9"/>
        <v>13.45</v>
      </c>
      <c r="L38" s="11">
        <f t="shared" si="9"/>
        <v>25.03</v>
      </c>
      <c r="M38" s="11">
        <f t="shared" si="6"/>
        <v>38.380000000000003</v>
      </c>
      <c r="N38" s="6">
        <f t="shared" si="2"/>
        <v>-0.18535314641093448</v>
      </c>
      <c r="O38" s="12">
        <f t="shared" si="3"/>
        <v>0.23258989830010757</v>
      </c>
      <c r="P38" s="12">
        <f t="shared" si="4"/>
        <v>3.4917505168384322E-2</v>
      </c>
    </row>
    <row r="39" spans="1:16">
      <c r="A39" t="s">
        <v>43</v>
      </c>
      <c r="B39" t="s">
        <v>118</v>
      </c>
      <c r="C39" s="11">
        <f t="shared" si="9"/>
        <v>4.1760000000000002</v>
      </c>
      <c r="D39" s="11">
        <f t="shared" si="9"/>
        <v>4.5759999999999996</v>
      </c>
      <c r="E39" s="11">
        <f t="shared" si="9"/>
        <v>3.5019999999999998</v>
      </c>
      <c r="F39" s="11">
        <f t="shared" si="9"/>
        <v>4.0380000000000003</v>
      </c>
      <c r="G39" s="11">
        <f t="shared" si="9"/>
        <v>3.46</v>
      </c>
      <c r="H39" s="11">
        <f t="shared" si="9"/>
        <v>5.2060000000000004</v>
      </c>
      <c r="I39" s="11">
        <f t="shared" si="9"/>
        <v>3.89</v>
      </c>
      <c r="J39" s="11">
        <f t="shared" si="9"/>
        <v>4.8499999999999996</v>
      </c>
      <c r="K39" s="11">
        <f t="shared" si="9"/>
        <v>4.5999999999999996</v>
      </c>
      <c r="L39" s="11">
        <f t="shared" si="9"/>
        <v>5.29</v>
      </c>
      <c r="M39" s="11">
        <f t="shared" si="6"/>
        <v>11.89</v>
      </c>
      <c r="N39" s="6">
        <f t="shared" si="2"/>
        <v>-3.6918319804959521E-2</v>
      </c>
      <c r="O39" s="12">
        <f t="shared" si="3"/>
        <v>0.17960210307188151</v>
      </c>
      <c r="P39" s="12">
        <f t="shared" si="4"/>
        <v>0.11030459324749042</v>
      </c>
    </row>
    <row r="40" spans="1:16">
      <c r="A40" t="s">
        <v>139</v>
      </c>
      <c r="B40" t="s">
        <v>140</v>
      </c>
      <c r="C40" s="11">
        <f t="shared" si="9"/>
        <v>19130</v>
      </c>
      <c r="D40" s="11">
        <f t="shared" si="9"/>
        <v>20734</v>
      </c>
      <c r="E40" s="11">
        <f t="shared" si="9"/>
        <v>19567</v>
      </c>
      <c r="F40" s="11">
        <f t="shared" si="9"/>
        <v>21845</v>
      </c>
      <c r="G40" s="11">
        <f t="shared" si="9"/>
        <v>18331</v>
      </c>
      <c r="H40" s="11">
        <f t="shared" si="9"/>
        <v>23836</v>
      </c>
      <c r="I40" s="11">
        <f t="shared" si="9"/>
        <v>22316</v>
      </c>
      <c r="J40" s="11">
        <f t="shared" si="9"/>
        <v>27955</v>
      </c>
      <c r="K40" s="11">
        <f t="shared" si="9"/>
        <v>24158</v>
      </c>
      <c r="L40" s="11">
        <f t="shared" si="9"/>
        <v>30525</v>
      </c>
      <c r="M40" s="11">
        <f t="shared" si="6"/>
        <v>34375</v>
      </c>
      <c r="N40" s="6">
        <f>(G40 /C40)^(1/5) - 1</f>
        <v>-8.4965322432102308E-3</v>
      </c>
      <c r="O40" s="12">
        <f>(M40 /H40)^(1/5) - 1</f>
        <v>7.5974220296580075E-2</v>
      </c>
      <c r="P40" s="12">
        <f t="shared" si="4"/>
        <v>6.0358625929871401E-2</v>
      </c>
    </row>
    <row r="42" spans="1:16">
      <c r="A42" s="2"/>
      <c r="B42" s="2"/>
    </row>
    <row r="43" spans="1:16"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6"/>
    </row>
    <row r="44" spans="1:16"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6"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6"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6"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6"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3:12"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3:12"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3:12"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3:12"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3:12"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3:12"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3:12"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3:12"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3:12"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3:12"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3:12"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3:12"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3:12"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3:12"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3:12"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3:12"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3:12"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3:12"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3:12"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3:12"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3:12"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3:12"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3:12"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3:12"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3:12"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3:12"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3:12"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3:12"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3:12"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3:12"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3:12"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3:12"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3:12">
      <c r="C81" s="12"/>
      <c r="D81" s="12"/>
      <c r="E81" s="12"/>
      <c r="F81" s="12"/>
      <c r="G81" s="12"/>
      <c r="H81" s="12"/>
      <c r="I81" s="12"/>
      <c r="J81" s="12"/>
      <c r="K81" s="12"/>
      <c r="L81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38DE-35B2-4958-BC4D-E714239D815A}">
  <dimension ref="A2:O42"/>
  <sheetViews>
    <sheetView topLeftCell="A15" workbookViewId="0">
      <selection activeCell="O2" sqref="O2:O40"/>
    </sheetView>
  </sheetViews>
  <sheetFormatPr defaultRowHeight="14.4"/>
  <cols>
    <col min="1" max="1" width="22.33203125" bestFit="1" customWidth="1"/>
    <col min="2" max="2" width="19.44140625" bestFit="1" customWidth="1"/>
    <col min="3" max="3" width="9.109375" bestFit="1" customWidth="1"/>
    <col min="13" max="14" width="13.6640625" bestFit="1" customWidth="1"/>
  </cols>
  <sheetData>
    <row r="2" spans="1:15">
      <c r="A2" s="2" t="s">
        <v>0</v>
      </c>
      <c r="B2" s="2" t="s">
        <v>44</v>
      </c>
      <c r="C2" s="2">
        <v>2015</v>
      </c>
      <c r="D2" s="2">
        <f t="shared" ref="D2:L2" si="0">C2+1</f>
        <v>2016</v>
      </c>
      <c r="E2" s="2">
        <f t="shared" si="0"/>
        <v>2017</v>
      </c>
      <c r="F2" s="2">
        <f t="shared" si="0"/>
        <v>2018</v>
      </c>
      <c r="G2" s="2">
        <f t="shared" si="0"/>
        <v>2019</v>
      </c>
      <c r="H2" s="2">
        <f t="shared" si="0"/>
        <v>2020</v>
      </c>
      <c r="I2" s="2">
        <f t="shared" si="0"/>
        <v>2021</v>
      </c>
      <c r="J2" s="2">
        <f t="shared" si="0"/>
        <v>2022</v>
      </c>
      <c r="K2" s="2">
        <f t="shared" si="0"/>
        <v>2023</v>
      </c>
      <c r="L2" s="2">
        <f t="shared" si="0"/>
        <v>2024</v>
      </c>
      <c r="M2" s="2" t="s">
        <v>136</v>
      </c>
      <c r="N2" s="2" t="s">
        <v>137</v>
      </c>
      <c r="O2" s="2" t="s">
        <v>166</v>
      </c>
    </row>
    <row r="3" spans="1:15">
      <c r="A3" t="s">
        <v>2</v>
      </c>
      <c r="B3" t="s">
        <v>46</v>
      </c>
      <c r="C3" s="11">
        <v>53.354911447600003</v>
      </c>
      <c r="D3" s="11">
        <v>17.0727506379</v>
      </c>
      <c r="E3" s="11">
        <v>16.129554474799999</v>
      </c>
      <c r="F3" s="11">
        <v>14.461320260500001</v>
      </c>
      <c r="G3" s="11">
        <v>13.3479101273</v>
      </c>
      <c r="H3" s="11">
        <v>11.1042280571</v>
      </c>
      <c r="I3" s="11">
        <v>10.4895642787</v>
      </c>
      <c r="J3" s="11">
        <v>9.5813163247999995</v>
      </c>
      <c r="K3" s="11">
        <v>8.8424944085000003</v>
      </c>
      <c r="L3" s="11">
        <v>7.7955039894000002</v>
      </c>
      <c r="M3" s="11">
        <f t="shared" ref="M3:M39" si="1">AVERAGE(C3:G3)</f>
        <v>22.873289389620002</v>
      </c>
      <c r="N3" s="11">
        <f t="shared" ref="N3:N39" si="2">AVERAGE(H3:L3)</f>
        <v>9.5626214116999986</v>
      </c>
      <c r="O3" s="11">
        <f>AVERAGE(C3:L3)</f>
        <v>16.217955400659996</v>
      </c>
    </row>
    <row r="4" spans="1:15">
      <c r="A4" t="s">
        <v>4</v>
      </c>
      <c r="B4" t="s">
        <v>48</v>
      </c>
      <c r="C4" s="11">
        <v>37.2458790353</v>
      </c>
      <c r="D4" s="11">
        <v>31.198794746899999</v>
      </c>
      <c r="E4" s="11">
        <v>28.144507789799999</v>
      </c>
      <c r="F4" s="11">
        <v>30.433578806300002</v>
      </c>
      <c r="G4" s="11">
        <v>52.3492566149</v>
      </c>
      <c r="H4" s="11">
        <v>75.423475514200007</v>
      </c>
      <c r="I4" s="11">
        <v>67.610326305699999</v>
      </c>
      <c r="J4" s="11">
        <v>34.963100443999998</v>
      </c>
      <c r="K4" s="11">
        <v>45.5464335753</v>
      </c>
      <c r="L4" s="11">
        <v>38.5965248256</v>
      </c>
      <c r="M4" s="11">
        <f t="shared" si="1"/>
        <v>35.874403398640005</v>
      </c>
      <c r="N4" s="11">
        <f t="shared" si="2"/>
        <v>52.427972132960008</v>
      </c>
      <c r="O4" s="11">
        <f t="shared" ref="O4:O40" si="3">AVERAGE(C4:L4)</f>
        <v>44.151187765800003</v>
      </c>
    </row>
    <row r="5" spans="1:15">
      <c r="A5" t="s">
        <v>6</v>
      </c>
      <c r="B5" t="s">
        <v>50</v>
      </c>
      <c r="C5" s="11">
        <v>12.383535417999999</v>
      </c>
      <c r="D5" s="11">
        <v>12.0357084708</v>
      </c>
      <c r="E5" s="11">
        <v>9.1065074354999993</v>
      </c>
      <c r="F5" s="11">
        <v>10.438162612899999</v>
      </c>
      <c r="G5" s="11">
        <v>7.9444284243999999</v>
      </c>
      <c r="H5" s="11">
        <v>6.3614562300999999</v>
      </c>
      <c r="I5" s="11">
        <v>5.5918570353000003</v>
      </c>
      <c r="J5" s="11">
        <v>7.0664482927999996</v>
      </c>
      <c r="K5" s="11">
        <v>7.4617834524999997</v>
      </c>
      <c r="L5" s="11">
        <v>5.8512195213</v>
      </c>
      <c r="M5" s="11">
        <f t="shared" si="1"/>
        <v>10.381668472319999</v>
      </c>
      <c r="N5" s="11">
        <f t="shared" si="2"/>
        <v>6.4665529063999996</v>
      </c>
      <c r="O5" s="11">
        <f t="shared" si="3"/>
        <v>8.4241106893599991</v>
      </c>
    </row>
    <row r="6" spans="1:15">
      <c r="A6" t="s">
        <v>8</v>
      </c>
      <c r="B6" t="s">
        <v>52</v>
      </c>
      <c r="C6" s="11">
        <v>12.298292614899999</v>
      </c>
      <c r="D6" s="11">
        <v>12.792083937799999</v>
      </c>
      <c r="E6" s="11">
        <v>13.7106330888</v>
      </c>
      <c r="F6" s="11">
        <v>14.4794425703</v>
      </c>
      <c r="G6" s="11">
        <v>11.4866564761</v>
      </c>
      <c r="H6" s="11">
        <v>12.000987863400001</v>
      </c>
      <c r="I6" s="11">
        <v>8.9558494030000002</v>
      </c>
      <c r="J6" s="11">
        <v>11.3461685681</v>
      </c>
      <c r="K6" s="11">
        <v>7.7229460580999998</v>
      </c>
      <c r="L6" s="11">
        <v>7.5667017556999996</v>
      </c>
      <c r="M6" s="11">
        <f t="shared" si="1"/>
        <v>12.953421737580001</v>
      </c>
      <c r="N6" s="11">
        <f t="shared" si="2"/>
        <v>9.5185307296600001</v>
      </c>
      <c r="O6" s="11">
        <f t="shared" si="3"/>
        <v>11.235976233619999</v>
      </c>
    </row>
    <row r="7" spans="1:15">
      <c r="A7" t="s">
        <v>9</v>
      </c>
      <c r="B7" t="s">
        <v>54</v>
      </c>
      <c r="C7" s="11">
        <v>26.479860652999999</v>
      </c>
      <c r="D7" s="11" t="s">
        <v>147</v>
      </c>
      <c r="E7" s="11" t="s">
        <v>147</v>
      </c>
      <c r="F7" s="11">
        <v>29.099246397800002</v>
      </c>
      <c r="G7" s="11" t="s">
        <v>147</v>
      </c>
      <c r="H7" s="11" t="s">
        <v>147</v>
      </c>
      <c r="I7" s="11">
        <v>13.638227844999999</v>
      </c>
      <c r="J7" s="11" t="s">
        <v>147</v>
      </c>
      <c r="K7" s="11">
        <v>1.872331642</v>
      </c>
      <c r="L7" s="11">
        <v>4.3964230768999997</v>
      </c>
      <c r="M7" s="11">
        <f t="shared" si="1"/>
        <v>27.789553525400002</v>
      </c>
      <c r="N7" s="11">
        <f t="shared" si="2"/>
        <v>6.6356608546333335</v>
      </c>
      <c r="O7" s="11">
        <f t="shared" si="3"/>
        <v>15.097217922940001</v>
      </c>
    </row>
    <row r="8" spans="1:15">
      <c r="A8" t="s">
        <v>10</v>
      </c>
      <c r="B8" t="s">
        <v>56</v>
      </c>
      <c r="C8" s="11">
        <v>10.780051757500001</v>
      </c>
      <c r="D8" s="11" t="s">
        <v>147</v>
      </c>
      <c r="E8" s="11">
        <v>1.5282214295000001</v>
      </c>
      <c r="F8" s="11" t="s">
        <v>147</v>
      </c>
      <c r="G8" s="11">
        <v>3.8494539212999999</v>
      </c>
      <c r="H8" s="11">
        <v>130.8526626288</v>
      </c>
      <c r="I8" s="11">
        <v>7.0089575665000003</v>
      </c>
      <c r="J8" s="11">
        <v>7.3341995988999997</v>
      </c>
      <c r="K8" s="11">
        <v>5.7002345669999999</v>
      </c>
      <c r="L8" s="11">
        <v>6.1206528251999996</v>
      </c>
      <c r="M8" s="11">
        <f t="shared" si="1"/>
        <v>5.3859090361000002</v>
      </c>
      <c r="N8" s="11">
        <f t="shared" si="2"/>
        <v>31.403341437279998</v>
      </c>
      <c r="O8" s="11">
        <f t="shared" si="3"/>
        <v>21.646804286837501</v>
      </c>
    </row>
    <row r="9" spans="1:15">
      <c r="A9" t="s">
        <v>11</v>
      </c>
      <c r="B9" t="s">
        <v>58</v>
      </c>
      <c r="C9" s="11">
        <v>14.441631447100001</v>
      </c>
      <c r="D9" s="11">
        <v>14.2764679464</v>
      </c>
      <c r="E9" s="11">
        <v>8.7283203022000002</v>
      </c>
      <c r="F9" s="11">
        <v>10.5935740404</v>
      </c>
      <c r="G9" s="11">
        <v>6.9607013458999996</v>
      </c>
      <c r="H9" s="11">
        <v>9.2818626170999998</v>
      </c>
      <c r="I9" s="11">
        <v>6.1938838662000002</v>
      </c>
      <c r="J9" s="11">
        <v>6.7643871504000002</v>
      </c>
      <c r="K9" s="11">
        <v>5.7611872903999997</v>
      </c>
      <c r="L9" s="11">
        <v>6.3673623843999998</v>
      </c>
      <c r="M9" s="11">
        <f t="shared" si="1"/>
        <v>11.0001390164</v>
      </c>
      <c r="N9" s="11">
        <f t="shared" si="2"/>
        <v>6.8737366616999989</v>
      </c>
      <c r="O9" s="11">
        <f t="shared" si="3"/>
        <v>8.9369378390499996</v>
      </c>
    </row>
    <row r="10" spans="1:15">
      <c r="A10" t="s">
        <v>12</v>
      </c>
      <c r="B10" t="s">
        <v>60</v>
      </c>
      <c r="C10" s="11">
        <v>15.3564850516</v>
      </c>
      <c r="D10" s="11" t="s">
        <v>148</v>
      </c>
      <c r="E10" s="11">
        <v>11.354183814600001</v>
      </c>
      <c r="F10" s="11">
        <v>3.9412012599000001</v>
      </c>
      <c r="G10" s="11">
        <v>5.8437209590999997</v>
      </c>
      <c r="H10" s="11">
        <v>4.2702649167000004</v>
      </c>
      <c r="I10" s="11">
        <v>4.8949082736999996</v>
      </c>
      <c r="J10" s="11">
        <v>1.8708890813000001</v>
      </c>
      <c r="K10" s="11">
        <v>2.8219696048</v>
      </c>
      <c r="L10" s="11">
        <v>6.1821639270000004</v>
      </c>
      <c r="M10" s="11">
        <f t="shared" si="1"/>
        <v>9.1238977713000011</v>
      </c>
      <c r="N10" s="11">
        <f t="shared" si="2"/>
        <v>4.0080391607000001</v>
      </c>
      <c r="O10" s="11">
        <f t="shared" si="3"/>
        <v>6.2817540987444449</v>
      </c>
    </row>
    <row r="11" spans="1:15">
      <c r="A11" t="s">
        <v>13</v>
      </c>
      <c r="B11" t="s">
        <v>62</v>
      </c>
      <c r="C11" s="11">
        <v>33.288139660399999</v>
      </c>
      <c r="D11" s="11">
        <v>38.0009341429</v>
      </c>
      <c r="E11" s="11">
        <v>36.090537394599998</v>
      </c>
      <c r="F11" s="11">
        <v>40.645466740300002</v>
      </c>
      <c r="G11" s="11">
        <v>40.836488877900003</v>
      </c>
      <c r="H11" s="11" t="s">
        <v>147</v>
      </c>
      <c r="I11" s="11">
        <v>77.408949401699999</v>
      </c>
      <c r="J11" s="11">
        <v>58.2984900557</v>
      </c>
      <c r="K11" s="11">
        <v>52.557755458599999</v>
      </c>
      <c r="L11" s="11">
        <v>59.9841996635</v>
      </c>
      <c r="M11" s="11">
        <f t="shared" si="1"/>
        <v>37.77231336322</v>
      </c>
      <c r="N11" s="11">
        <f t="shared" si="2"/>
        <v>62.062348644874994</v>
      </c>
      <c r="O11" s="11">
        <f t="shared" si="3"/>
        <v>48.567884599511117</v>
      </c>
    </row>
    <row r="12" spans="1:15">
      <c r="A12" t="s">
        <v>15</v>
      </c>
      <c r="B12" t="s">
        <v>64</v>
      </c>
      <c r="C12" s="11">
        <v>27.222756026500001</v>
      </c>
      <c r="D12" s="11">
        <v>31.717610670599999</v>
      </c>
      <c r="E12" s="11">
        <v>11.997715722400001</v>
      </c>
      <c r="F12" s="11">
        <v>8.1365125703000007</v>
      </c>
      <c r="G12" s="11">
        <v>11.923503050000001</v>
      </c>
      <c r="H12" s="11">
        <v>7.1595647848999997</v>
      </c>
      <c r="I12" s="11">
        <v>6.7275907792999998</v>
      </c>
      <c r="J12" s="11">
        <v>7.3123309212000001</v>
      </c>
      <c r="K12" s="11">
        <v>5.2750071465000001</v>
      </c>
      <c r="L12" s="11">
        <v>6.9217873585999996</v>
      </c>
      <c r="M12" s="11">
        <f t="shared" si="1"/>
        <v>18.199619607959999</v>
      </c>
      <c r="N12" s="11">
        <f t="shared" si="2"/>
        <v>6.6792561981000009</v>
      </c>
      <c r="O12" s="11">
        <f t="shared" si="3"/>
        <v>12.439437903030001</v>
      </c>
    </row>
    <row r="13" spans="1:15">
      <c r="A13" t="s">
        <v>17</v>
      </c>
      <c r="B13" t="s">
        <v>66</v>
      </c>
      <c r="C13" s="11">
        <v>26.363384218899999</v>
      </c>
      <c r="D13" s="11">
        <v>32.296086638600002</v>
      </c>
      <c r="E13" s="11">
        <v>20.714351167299998</v>
      </c>
      <c r="F13" s="11">
        <v>28.726430608299999</v>
      </c>
      <c r="G13" s="11">
        <v>30.2034099794</v>
      </c>
      <c r="H13" s="11">
        <v>56.358950213500002</v>
      </c>
      <c r="I13" s="11">
        <v>50.870549220900003</v>
      </c>
      <c r="J13" s="11">
        <v>32.057248555299999</v>
      </c>
      <c r="K13" s="11">
        <v>35.241500824299997</v>
      </c>
      <c r="L13" s="11">
        <v>35.843693616000003</v>
      </c>
      <c r="M13" s="11">
        <f t="shared" si="1"/>
        <v>27.660732522499995</v>
      </c>
      <c r="N13" s="11">
        <f t="shared" si="2"/>
        <v>42.074388485999997</v>
      </c>
      <c r="O13" s="11">
        <f t="shared" si="3"/>
        <v>34.867560504249994</v>
      </c>
    </row>
    <row r="14" spans="1:15">
      <c r="A14" t="s">
        <v>18</v>
      </c>
      <c r="B14" t="s">
        <v>68</v>
      </c>
      <c r="C14" s="11">
        <v>26.479854958499999</v>
      </c>
      <c r="D14" s="11">
        <v>27.453498138099999</v>
      </c>
      <c r="E14" s="11">
        <v>29.2920127718</v>
      </c>
      <c r="F14" s="11">
        <v>24.995785981000001</v>
      </c>
      <c r="G14" s="11">
        <v>35.927656969899999</v>
      </c>
      <c r="H14" s="11">
        <v>37.577102822400001</v>
      </c>
      <c r="I14" s="11">
        <v>30.756890628899999</v>
      </c>
      <c r="J14" s="11">
        <v>31.259825741899999</v>
      </c>
      <c r="K14" s="11">
        <v>32.516631191899997</v>
      </c>
      <c r="L14" s="11">
        <v>29.570126621</v>
      </c>
      <c r="M14" s="11">
        <f t="shared" si="1"/>
        <v>28.829761763859999</v>
      </c>
      <c r="N14" s="11">
        <f t="shared" si="2"/>
        <v>32.336115401219999</v>
      </c>
      <c r="O14" s="11">
        <f t="shared" si="3"/>
        <v>30.582938582539999</v>
      </c>
    </row>
    <row r="15" spans="1:15">
      <c r="A15" t="s">
        <v>19</v>
      </c>
      <c r="B15" t="s">
        <v>70</v>
      </c>
      <c r="C15" s="11">
        <v>16.657131977500001</v>
      </c>
      <c r="D15" s="11">
        <v>16.264128023200001</v>
      </c>
      <c r="E15" s="11">
        <v>13.747482012200001</v>
      </c>
      <c r="F15" s="11">
        <v>10.781206661800001</v>
      </c>
      <c r="G15" s="11">
        <v>33.047770729</v>
      </c>
      <c r="H15" s="11">
        <v>32.246356427000002</v>
      </c>
      <c r="I15" s="11">
        <v>22.466637780700001</v>
      </c>
      <c r="J15" s="11">
        <v>30.384962146900001</v>
      </c>
      <c r="K15" s="11">
        <v>19.887378166200001</v>
      </c>
      <c r="L15" s="11">
        <v>9.9737571822</v>
      </c>
      <c r="M15" s="11">
        <f t="shared" si="1"/>
        <v>18.099543880740001</v>
      </c>
      <c r="N15" s="11">
        <f t="shared" si="2"/>
        <v>22.991818340599998</v>
      </c>
      <c r="O15" s="11">
        <f t="shared" si="3"/>
        <v>20.545681110669999</v>
      </c>
    </row>
    <row r="16" spans="1:15">
      <c r="A16" t="s">
        <v>20</v>
      </c>
      <c r="B16" t="s">
        <v>72</v>
      </c>
      <c r="C16" s="11" t="s">
        <v>147</v>
      </c>
      <c r="D16" s="11" t="s">
        <v>147</v>
      </c>
      <c r="E16" s="11">
        <v>14.729026033</v>
      </c>
      <c r="F16" s="11">
        <v>12.0270748989</v>
      </c>
      <c r="G16" s="11" t="s">
        <v>147</v>
      </c>
      <c r="H16" s="11" t="s">
        <v>147</v>
      </c>
      <c r="I16" s="11">
        <v>7.4860337192999999</v>
      </c>
      <c r="J16" s="11">
        <v>3.3338731087000002</v>
      </c>
      <c r="K16" s="11">
        <v>10.629496960799999</v>
      </c>
      <c r="L16" s="11">
        <v>15.7988218521</v>
      </c>
      <c r="M16" s="11">
        <f t="shared" si="1"/>
        <v>13.37805046595</v>
      </c>
      <c r="N16" s="11">
        <f t="shared" si="2"/>
        <v>9.312056410224999</v>
      </c>
      <c r="O16" s="11">
        <f t="shared" si="3"/>
        <v>10.667387762133332</v>
      </c>
    </row>
    <row r="17" spans="1:15">
      <c r="A17" t="s">
        <v>21</v>
      </c>
      <c r="B17" t="s">
        <v>74</v>
      </c>
      <c r="C17" s="11">
        <v>28.665075638600001</v>
      </c>
      <c r="D17" s="11">
        <v>26.199692799200001</v>
      </c>
      <c r="E17" s="11">
        <v>30.753677765700001</v>
      </c>
      <c r="F17" s="11">
        <v>20.7960349596</v>
      </c>
      <c r="G17" s="11">
        <v>39.698368395199999</v>
      </c>
      <c r="H17" s="11">
        <v>57.358796973399997</v>
      </c>
      <c r="I17" s="11">
        <v>50.509306460200001</v>
      </c>
      <c r="J17" s="11">
        <v>39.248571434699997</v>
      </c>
      <c r="K17" s="11">
        <v>44.174300026799997</v>
      </c>
      <c r="L17" s="11">
        <v>48.706967251599998</v>
      </c>
      <c r="M17" s="11">
        <f t="shared" si="1"/>
        <v>29.222569911659996</v>
      </c>
      <c r="N17" s="11">
        <f t="shared" si="2"/>
        <v>47.999588429339994</v>
      </c>
      <c r="O17" s="11">
        <f t="shared" si="3"/>
        <v>38.611079170499998</v>
      </c>
    </row>
    <row r="18" spans="1:15">
      <c r="A18" t="s">
        <v>22</v>
      </c>
      <c r="B18" t="s">
        <v>76</v>
      </c>
      <c r="C18" s="11">
        <v>24.189769740100001</v>
      </c>
      <c r="D18" s="11">
        <v>15.2384189491</v>
      </c>
      <c r="E18" s="11">
        <v>23.960769558500001</v>
      </c>
      <c r="F18" s="11">
        <v>22.039233124300001</v>
      </c>
      <c r="G18" s="11">
        <v>22.528845308400001</v>
      </c>
      <c r="H18" s="11">
        <v>25.2190279364</v>
      </c>
      <c r="I18" s="11">
        <v>24.726509790800002</v>
      </c>
      <c r="J18" s="11">
        <v>22.091102154000001</v>
      </c>
      <c r="K18" s="11">
        <v>13.644591995700001</v>
      </c>
      <c r="L18" s="11">
        <v>15.722928620299999</v>
      </c>
      <c r="M18" s="11">
        <f t="shared" si="1"/>
        <v>21.59140733608</v>
      </c>
      <c r="N18" s="11">
        <f t="shared" si="2"/>
        <v>20.280832099439998</v>
      </c>
      <c r="O18" s="11">
        <f t="shared" si="3"/>
        <v>20.93611971776</v>
      </c>
    </row>
    <row r="19" spans="1:15">
      <c r="A19" t="s">
        <v>23</v>
      </c>
      <c r="B19" t="s">
        <v>78</v>
      </c>
      <c r="C19" s="11">
        <v>12.972794887199999</v>
      </c>
      <c r="D19" s="11">
        <v>10.5748151987</v>
      </c>
      <c r="E19" s="11">
        <v>11.110326026099999</v>
      </c>
      <c r="F19" s="11">
        <v>9.8267256486000001</v>
      </c>
      <c r="G19" s="11">
        <v>10.8051905019</v>
      </c>
      <c r="H19" s="11">
        <v>12.832759829700001</v>
      </c>
      <c r="I19" s="11">
        <v>10.2944228645</v>
      </c>
      <c r="J19" s="11">
        <v>8.9565273983000004</v>
      </c>
      <c r="K19" s="11">
        <v>8.0434506226</v>
      </c>
      <c r="L19" s="11">
        <v>11.2674821617</v>
      </c>
      <c r="M19" s="11">
        <f t="shared" si="1"/>
        <v>11.057970452499998</v>
      </c>
      <c r="N19" s="11">
        <f t="shared" si="2"/>
        <v>10.27892857536</v>
      </c>
      <c r="O19" s="11">
        <f t="shared" si="3"/>
        <v>10.668449513929998</v>
      </c>
    </row>
    <row r="20" spans="1:15">
      <c r="A20" t="s">
        <v>24</v>
      </c>
      <c r="B20" t="s">
        <v>80</v>
      </c>
      <c r="C20" s="11">
        <v>20.059210482499999</v>
      </c>
      <c r="D20" s="11">
        <v>15.5489249082</v>
      </c>
      <c r="E20" s="11">
        <v>17.202674801200001</v>
      </c>
      <c r="F20" s="11">
        <v>14.1641340402</v>
      </c>
      <c r="G20" s="11">
        <v>14.8893341939</v>
      </c>
      <c r="H20" s="11">
        <v>14.451806060599999</v>
      </c>
      <c r="I20" s="11">
        <v>16.0363800678</v>
      </c>
      <c r="J20" s="11">
        <v>14.363960817600001</v>
      </c>
      <c r="K20" s="11">
        <v>9.7300115902000002</v>
      </c>
      <c r="L20" s="11">
        <v>10.0016324227</v>
      </c>
      <c r="M20" s="11">
        <f t="shared" si="1"/>
        <v>16.372855685200001</v>
      </c>
      <c r="N20" s="11">
        <f t="shared" si="2"/>
        <v>12.91675819178</v>
      </c>
      <c r="O20" s="11">
        <f t="shared" si="3"/>
        <v>14.644806938490001</v>
      </c>
    </row>
    <row r="21" spans="1:15">
      <c r="A21" t="s">
        <v>25</v>
      </c>
      <c r="B21" t="s">
        <v>82</v>
      </c>
      <c r="C21" s="11">
        <v>17.861401406399999</v>
      </c>
      <c r="D21" s="11">
        <v>12.3737687746</v>
      </c>
      <c r="E21" s="11">
        <v>5.9530407002999999</v>
      </c>
      <c r="F21" s="11">
        <v>7.9099353504999996</v>
      </c>
      <c r="G21" s="11">
        <v>9.8192328073000006</v>
      </c>
      <c r="H21" s="11">
        <v>10.6314732408</v>
      </c>
      <c r="I21" s="11">
        <v>10.510641871000001</v>
      </c>
      <c r="J21" s="11">
        <v>9.1747721762999994</v>
      </c>
      <c r="K21" s="11">
        <v>6.2788612947000004</v>
      </c>
      <c r="L21" s="11">
        <v>8.0252633740999997</v>
      </c>
      <c r="M21" s="11">
        <f t="shared" si="1"/>
        <v>10.78347580782</v>
      </c>
      <c r="N21" s="11">
        <f t="shared" si="2"/>
        <v>8.9242023913799997</v>
      </c>
      <c r="O21" s="11">
        <f t="shared" si="3"/>
        <v>9.8538390996</v>
      </c>
    </row>
    <row r="22" spans="1:15">
      <c r="A22" t="s">
        <v>26</v>
      </c>
      <c r="B22" t="s">
        <v>84</v>
      </c>
      <c r="C22" s="11">
        <v>37.6479660882</v>
      </c>
      <c r="D22" s="11">
        <v>26.959453686300002</v>
      </c>
      <c r="E22" s="11">
        <v>29.067204528800001</v>
      </c>
      <c r="F22" s="11">
        <v>26.0001048082</v>
      </c>
      <c r="G22" s="11">
        <v>37.584661928599999</v>
      </c>
      <c r="H22" s="11">
        <v>55.226487244200001</v>
      </c>
      <c r="I22" s="11">
        <v>53.5750549021</v>
      </c>
      <c r="J22" s="11">
        <v>30.7930301723</v>
      </c>
      <c r="K22" s="11">
        <v>32.243057708499997</v>
      </c>
      <c r="L22" s="11">
        <v>25.871818450100001</v>
      </c>
      <c r="M22" s="11">
        <f t="shared" si="1"/>
        <v>31.451878208020002</v>
      </c>
      <c r="N22" s="11">
        <f t="shared" si="2"/>
        <v>39.541889695439998</v>
      </c>
      <c r="O22" s="11">
        <f t="shared" si="3"/>
        <v>35.496883951729998</v>
      </c>
    </row>
    <row r="23" spans="1:15">
      <c r="A23" t="s">
        <v>27</v>
      </c>
      <c r="B23" t="s">
        <v>86</v>
      </c>
      <c r="C23" s="11">
        <v>9.4478468909999993</v>
      </c>
      <c r="D23" s="11" t="s">
        <v>147</v>
      </c>
      <c r="E23" s="11">
        <v>13.8188092538</v>
      </c>
      <c r="F23" s="11">
        <v>12.9743589607</v>
      </c>
      <c r="G23" s="11">
        <v>10.5496074923</v>
      </c>
      <c r="H23" s="11">
        <v>10.939210064799999</v>
      </c>
      <c r="I23" s="11">
        <v>13.503095373400001</v>
      </c>
      <c r="J23" s="11">
        <v>10.3248199712</v>
      </c>
      <c r="K23" s="11">
        <v>9.5540627152000006</v>
      </c>
      <c r="L23" s="11">
        <v>9.1652589133000006</v>
      </c>
      <c r="M23" s="11">
        <f t="shared" si="1"/>
        <v>11.697655649449999</v>
      </c>
      <c r="N23" s="11">
        <f t="shared" si="2"/>
        <v>10.69728940758</v>
      </c>
      <c r="O23" s="11">
        <f t="shared" si="3"/>
        <v>11.141896626188888</v>
      </c>
    </row>
    <row r="24" spans="1:15">
      <c r="A24" t="s">
        <v>28</v>
      </c>
      <c r="B24" t="s">
        <v>88</v>
      </c>
      <c r="C24" s="11">
        <v>15.2189008214</v>
      </c>
      <c r="D24" s="11">
        <v>15.1770368713</v>
      </c>
      <c r="E24" s="11">
        <v>20.903263537899999</v>
      </c>
      <c r="F24" s="11">
        <v>8.6698750490999998</v>
      </c>
      <c r="G24" s="11">
        <v>7.3177238733000003</v>
      </c>
      <c r="H24" s="11">
        <v>14.098513444</v>
      </c>
      <c r="I24" s="11">
        <v>6.1842025597000001</v>
      </c>
      <c r="J24" s="11">
        <v>5.0021299029000001</v>
      </c>
      <c r="K24" s="11">
        <v>13.062441610900001</v>
      </c>
      <c r="L24" s="11">
        <v>13.8898608101</v>
      </c>
      <c r="M24" s="11">
        <f t="shared" si="1"/>
        <v>13.4573600306</v>
      </c>
      <c r="N24" s="11">
        <f t="shared" si="2"/>
        <v>10.44742966552</v>
      </c>
      <c r="O24" s="11">
        <f t="shared" si="3"/>
        <v>11.952394848059999</v>
      </c>
    </row>
    <row r="25" spans="1:15">
      <c r="A25" t="s">
        <v>29</v>
      </c>
      <c r="B25" t="s">
        <v>90</v>
      </c>
      <c r="C25" s="11">
        <v>12.644741145299999</v>
      </c>
      <c r="D25" s="11">
        <v>7.2540879681000003</v>
      </c>
      <c r="E25" s="11">
        <v>9.8405929440000008</v>
      </c>
      <c r="F25" s="11">
        <v>8.0868286299999994</v>
      </c>
      <c r="G25" s="11">
        <v>9.4806133522000007</v>
      </c>
      <c r="H25" s="11">
        <v>9.1596769480999995</v>
      </c>
      <c r="I25" s="11">
        <v>10.5181865328</v>
      </c>
      <c r="J25" s="11">
        <v>7.6395034836000004</v>
      </c>
      <c r="K25" s="11">
        <v>8.9742687080000003</v>
      </c>
      <c r="L25" s="11">
        <v>9.1464365035000004</v>
      </c>
      <c r="M25" s="11">
        <f t="shared" si="1"/>
        <v>9.4613728079200001</v>
      </c>
      <c r="N25" s="11">
        <f t="shared" si="2"/>
        <v>9.0876144352000008</v>
      </c>
      <c r="O25" s="11">
        <f t="shared" si="3"/>
        <v>9.2744936215599996</v>
      </c>
    </row>
    <row r="26" spans="1:15">
      <c r="A26" t="s">
        <v>30</v>
      </c>
      <c r="B26" t="s">
        <v>92</v>
      </c>
      <c r="C26" s="11">
        <v>19.2485109088</v>
      </c>
      <c r="D26" s="11">
        <v>21.017840572600001</v>
      </c>
      <c r="E26" s="11">
        <v>26.045105993100002</v>
      </c>
      <c r="F26" s="11">
        <v>22.082975684800001</v>
      </c>
      <c r="G26" s="11">
        <v>28.120995071599999</v>
      </c>
      <c r="H26" s="11">
        <v>42.181000554400001</v>
      </c>
      <c r="I26" s="11">
        <v>43.203074806499998</v>
      </c>
      <c r="J26" s="11">
        <v>21.945430764499999</v>
      </c>
      <c r="K26" s="11">
        <v>24.585992069700001</v>
      </c>
      <c r="L26" s="11">
        <v>21.562448898300001</v>
      </c>
      <c r="M26" s="11">
        <f t="shared" si="1"/>
        <v>23.303085646180001</v>
      </c>
      <c r="N26" s="11">
        <f t="shared" si="2"/>
        <v>30.695589418680004</v>
      </c>
      <c r="O26" s="11">
        <f t="shared" si="3"/>
        <v>26.999337532430001</v>
      </c>
    </row>
    <row r="27" spans="1:15">
      <c r="A27" t="s">
        <v>31</v>
      </c>
      <c r="B27" t="s">
        <v>94</v>
      </c>
      <c r="C27" s="11" t="s">
        <v>143</v>
      </c>
      <c r="D27" s="11">
        <v>89.181835966500003</v>
      </c>
      <c r="E27" s="11">
        <v>71.787523392899999</v>
      </c>
      <c r="F27" s="11" t="s">
        <v>147</v>
      </c>
      <c r="G27" s="11" t="s">
        <v>147</v>
      </c>
      <c r="H27" s="11">
        <v>80.186142926399995</v>
      </c>
      <c r="I27" s="11" t="s">
        <v>147</v>
      </c>
      <c r="J27" s="11">
        <v>68.953057454800003</v>
      </c>
      <c r="K27" s="11" t="s">
        <v>147</v>
      </c>
      <c r="L27" s="11">
        <v>41.024700378200002</v>
      </c>
      <c r="M27" s="11">
        <f t="shared" si="1"/>
        <v>80.484679679700008</v>
      </c>
      <c r="N27" s="11">
        <f t="shared" si="2"/>
        <v>63.3879669198</v>
      </c>
      <c r="O27" s="11">
        <f t="shared" si="3"/>
        <v>70.22665202376001</v>
      </c>
    </row>
    <row r="28" spans="1:15">
      <c r="A28" t="s">
        <v>32</v>
      </c>
      <c r="B28" t="s">
        <v>96</v>
      </c>
      <c r="C28" s="11">
        <v>16.784869976300001</v>
      </c>
      <c r="D28" s="11">
        <v>13.250086977500001</v>
      </c>
      <c r="E28" s="11">
        <v>11.9318181779</v>
      </c>
      <c r="F28" s="11">
        <v>6.5072099356999997</v>
      </c>
      <c r="G28" s="11">
        <v>9.8097038704999999</v>
      </c>
      <c r="H28" s="11">
        <v>8.9669336630000007</v>
      </c>
      <c r="I28" s="11">
        <v>9.5133849756999993</v>
      </c>
      <c r="J28" s="11">
        <v>7.5132957554999997</v>
      </c>
      <c r="K28" s="11">
        <v>6.9925826034999998</v>
      </c>
      <c r="L28" s="11">
        <v>8.8441558454999996</v>
      </c>
      <c r="M28" s="11">
        <f t="shared" si="1"/>
        <v>11.656737787580001</v>
      </c>
      <c r="N28" s="11">
        <f t="shared" si="2"/>
        <v>8.3660705686399996</v>
      </c>
      <c r="O28" s="11">
        <f t="shared" si="3"/>
        <v>10.011404178109998</v>
      </c>
    </row>
    <row r="29" spans="1:15">
      <c r="A29" t="s">
        <v>33</v>
      </c>
      <c r="B29" t="s">
        <v>98</v>
      </c>
      <c r="C29" s="11">
        <v>20.254698275500001</v>
      </c>
      <c r="D29" s="11">
        <v>21.231822101900001</v>
      </c>
      <c r="E29" s="11">
        <v>24.3389973568</v>
      </c>
      <c r="F29" s="11">
        <v>32.880766538499998</v>
      </c>
      <c r="G29" s="11">
        <v>19.365949006800001</v>
      </c>
      <c r="H29" s="11">
        <v>43.011280449399997</v>
      </c>
      <c r="I29" s="11">
        <v>28.31636</v>
      </c>
      <c r="J29" s="11">
        <v>18.120646865099999</v>
      </c>
      <c r="K29" s="11">
        <v>21.4742267749</v>
      </c>
      <c r="L29" s="11">
        <v>23.813108916299999</v>
      </c>
      <c r="M29" s="11">
        <f t="shared" si="1"/>
        <v>23.614446655899997</v>
      </c>
      <c r="N29" s="11">
        <f t="shared" si="2"/>
        <v>26.947124601140001</v>
      </c>
      <c r="O29" s="11">
        <f t="shared" si="3"/>
        <v>25.28078562852</v>
      </c>
    </row>
    <row r="30" spans="1:15">
      <c r="A30" t="s">
        <v>34</v>
      </c>
      <c r="B30" t="s">
        <v>100</v>
      </c>
      <c r="C30" s="11">
        <v>24.8750279914</v>
      </c>
      <c r="D30" s="11">
        <v>23.372117354099998</v>
      </c>
      <c r="E30" s="11">
        <v>26.7425454135</v>
      </c>
      <c r="F30" s="11">
        <v>19.641273764000001</v>
      </c>
      <c r="G30" s="11">
        <v>20.877968903999999</v>
      </c>
      <c r="H30" s="11">
        <v>26.274468162600002</v>
      </c>
      <c r="I30" s="11">
        <v>30.1571291992</v>
      </c>
      <c r="J30" s="11">
        <v>25.5055690706</v>
      </c>
      <c r="K30" s="11">
        <v>25.888258551900002</v>
      </c>
      <c r="L30" s="11">
        <v>25.064588902499999</v>
      </c>
      <c r="M30" s="11">
        <f t="shared" si="1"/>
        <v>23.1017866854</v>
      </c>
      <c r="N30" s="11">
        <f t="shared" si="2"/>
        <v>26.578002777360002</v>
      </c>
      <c r="O30" s="11">
        <f t="shared" si="3"/>
        <v>24.839894731379999</v>
      </c>
    </row>
    <row r="31" spans="1:15">
      <c r="A31" t="s">
        <v>35</v>
      </c>
      <c r="B31" t="s">
        <v>102</v>
      </c>
      <c r="C31" s="11" t="s">
        <v>147</v>
      </c>
      <c r="D31" s="11" t="s">
        <v>147</v>
      </c>
      <c r="E31" s="11" t="s">
        <v>147</v>
      </c>
      <c r="F31" s="11" t="s">
        <v>147</v>
      </c>
      <c r="G31" s="11">
        <v>23.332866127300001</v>
      </c>
      <c r="H31" s="11" t="s">
        <v>147</v>
      </c>
      <c r="I31" s="11" t="s">
        <v>147</v>
      </c>
      <c r="J31" s="11" t="s">
        <v>147</v>
      </c>
      <c r="K31" s="11">
        <v>16.3847341098</v>
      </c>
      <c r="L31" s="11">
        <v>16.139611699300001</v>
      </c>
      <c r="M31" s="11">
        <f t="shared" si="1"/>
        <v>23.332866127300001</v>
      </c>
      <c r="N31" s="11">
        <f t="shared" si="2"/>
        <v>16.262172904549999</v>
      </c>
      <c r="O31" s="11">
        <f t="shared" si="3"/>
        <v>18.619070645466667</v>
      </c>
    </row>
    <row r="32" spans="1:15">
      <c r="A32" t="s">
        <v>36</v>
      </c>
      <c r="B32" t="s">
        <v>104</v>
      </c>
      <c r="C32" s="11">
        <v>13.7662510374</v>
      </c>
      <c r="D32" s="11">
        <v>15.7614012494</v>
      </c>
      <c r="E32" s="11">
        <v>15.3760301733</v>
      </c>
      <c r="F32" s="11">
        <v>13.7809958031</v>
      </c>
      <c r="G32" s="11">
        <v>14.201634991600001</v>
      </c>
      <c r="H32" s="11">
        <v>13.670568659400001</v>
      </c>
      <c r="I32" s="11">
        <v>11.5878464377</v>
      </c>
      <c r="J32" s="11">
        <v>22.525756979499999</v>
      </c>
      <c r="K32" s="11">
        <v>13.766993124400001</v>
      </c>
      <c r="L32" s="11">
        <v>11.401805942599999</v>
      </c>
      <c r="M32" s="11">
        <f t="shared" si="1"/>
        <v>14.57726265096</v>
      </c>
      <c r="N32" s="11">
        <f t="shared" si="2"/>
        <v>14.590594228719999</v>
      </c>
      <c r="O32" s="11">
        <f t="shared" si="3"/>
        <v>14.583928439839999</v>
      </c>
    </row>
    <row r="33" spans="1:15">
      <c r="A33" t="s">
        <v>37</v>
      </c>
      <c r="B33" t="s">
        <v>106</v>
      </c>
      <c r="C33" s="11">
        <v>38.804077544899997</v>
      </c>
      <c r="D33" s="11">
        <v>7.2671905380000004</v>
      </c>
      <c r="E33" s="11">
        <v>6.6701741849999996</v>
      </c>
      <c r="F33" s="11">
        <v>5.3946447421999997</v>
      </c>
      <c r="G33" s="11">
        <v>3.1154732196000001</v>
      </c>
      <c r="H33" s="11">
        <v>780.51963172410001</v>
      </c>
      <c r="I33" s="11">
        <v>3.5957359126999999</v>
      </c>
      <c r="J33" s="11">
        <v>2.4785749235000001</v>
      </c>
      <c r="K33" s="11">
        <v>3.5378865481999999</v>
      </c>
      <c r="L33" s="11">
        <v>6.7920062341999996</v>
      </c>
      <c r="M33" s="11">
        <f t="shared" si="1"/>
        <v>12.250312045939999</v>
      </c>
      <c r="N33" s="11">
        <f t="shared" si="2"/>
        <v>159.38476706854001</v>
      </c>
      <c r="O33" s="11">
        <f t="shared" si="3"/>
        <v>85.817539557239996</v>
      </c>
    </row>
    <row r="34" spans="1:15">
      <c r="A34" t="s">
        <v>38</v>
      </c>
      <c r="B34" t="s">
        <v>108</v>
      </c>
      <c r="C34" s="11">
        <v>33.625252338199999</v>
      </c>
      <c r="D34" s="11">
        <v>82.573248308399997</v>
      </c>
      <c r="E34" s="11">
        <v>89.928466364800002</v>
      </c>
      <c r="F34" s="11">
        <v>9.9891192528000001</v>
      </c>
      <c r="G34" s="11">
        <v>23.391176599600001</v>
      </c>
      <c r="H34" s="11">
        <v>29.9183437332</v>
      </c>
      <c r="I34" s="11">
        <v>22.339474897599999</v>
      </c>
      <c r="J34" s="11">
        <v>8.0720950902999995</v>
      </c>
      <c r="K34" s="11">
        <v>11.233348314200001</v>
      </c>
      <c r="L34" s="11">
        <v>14.5523126165</v>
      </c>
      <c r="M34" s="11">
        <f t="shared" si="1"/>
        <v>47.90145257276</v>
      </c>
      <c r="N34" s="11">
        <f t="shared" si="2"/>
        <v>17.223114930360001</v>
      </c>
      <c r="O34" s="11">
        <f t="shared" si="3"/>
        <v>32.562283751560003</v>
      </c>
    </row>
    <row r="35" spans="1:15">
      <c r="A35" t="s">
        <v>39</v>
      </c>
      <c r="B35" t="s">
        <v>110</v>
      </c>
      <c r="C35" s="11" t="s">
        <v>147</v>
      </c>
      <c r="D35" s="11">
        <v>9.7528091814</v>
      </c>
      <c r="E35" s="11">
        <v>13.6343519179</v>
      </c>
      <c r="F35" s="11" t="s">
        <v>147</v>
      </c>
      <c r="G35" s="11">
        <v>9.5609851264000003</v>
      </c>
      <c r="H35" s="11">
        <v>1.1012493227</v>
      </c>
      <c r="I35" s="11" t="s">
        <v>147</v>
      </c>
      <c r="J35" s="11" t="s">
        <v>147</v>
      </c>
      <c r="K35" s="11" t="s">
        <v>147</v>
      </c>
      <c r="L35" s="11" t="s">
        <v>147</v>
      </c>
      <c r="M35" s="11">
        <f t="shared" si="1"/>
        <v>10.982715408566667</v>
      </c>
      <c r="N35" s="11">
        <f t="shared" si="2"/>
        <v>1.1012493227</v>
      </c>
      <c r="O35" s="11">
        <f t="shared" si="3"/>
        <v>8.5123488870999999</v>
      </c>
    </row>
    <row r="36" spans="1:15">
      <c r="A36" t="s">
        <v>40</v>
      </c>
      <c r="B36" t="s">
        <v>112</v>
      </c>
      <c r="C36" s="11" t="s">
        <v>147</v>
      </c>
      <c r="D36" s="11" t="s">
        <v>148</v>
      </c>
      <c r="E36" s="11">
        <v>34.4878416456</v>
      </c>
      <c r="F36" s="11">
        <v>14.682142020000001</v>
      </c>
      <c r="G36" s="11">
        <v>17.927603535900001</v>
      </c>
      <c r="H36" s="11" t="s">
        <v>147</v>
      </c>
      <c r="I36" s="11">
        <v>11.2498558407</v>
      </c>
      <c r="J36" s="11">
        <v>8.0586383844</v>
      </c>
      <c r="K36" s="11">
        <v>5.2296098140999998</v>
      </c>
      <c r="L36" s="11">
        <v>10.337737174900001</v>
      </c>
      <c r="M36" s="11">
        <f t="shared" si="1"/>
        <v>22.365862400500003</v>
      </c>
      <c r="N36" s="11">
        <f t="shared" si="2"/>
        <v>8.7189603035249998</v>
      </c>
      <c r="O36" s="11">
        <f t="shared" si="3"/>
        <v>14.567632630800002</v>
      </c>
    </row>
    <row r="37" spans="1:15">
      <c r="A37" t="s">
        <v>41</v>
      </c>
      <c r="B37" t="s">
        <v>114</v>
      </c>
      <c r="C37" s="11">
        <v>16.081081078499999</v>
      </c>
      <c r="D37" s="11">
        <v>13.809523803699999</v>
      </c>
      <c r="E37" s="11">
        <v>14.0350877164</v>
      </c>
      <c r="F37" s="11">
        <v>14.4034090863</v>
      </c>
      <c r="G37" s="11">
        <v>15.7824933636</v>
      </c>
      <c r="H37" s="11">
        <v>15.984654726300001</v>
      </c>
      <c r="I37" s="11">
        <v>17.8029506313</v>
      </c>
      <c r="J37" s="11">
        <v>15.7853557596</v>
      </c>
      <c r="K37" s="11">
        <v>16.944563254199998</v>
      </c>
      <c r="L37" s="11">
        <v>14.4236229438</v>
      </c>
      <c r="M37" s="11">
        <f t="shared" si="1"/>
        <v>14.822319009699999</v>
      </c>
      <c r="N37" s="11">
        <f t="shared" si="2"/>
        <v>16.188229463039999</v>
      </c>
      <c r="O37" s="11">
        <f t="shared" si="3"/>
        <v>15.505274236369999</v>
      </c>
    </row>
    <row r="38" spans="1:15">
      <c r="A38" t="s">
        <v>42</v>
      </c>
      <c r="B38" t="s">
        <v>116</v>
      </c>
      <c r="C38" s="11">
        <v>25.555752467600001</v>
      </c>
      <c r="D38" s="11" t="s">
        <v>147</v>
      </c>
      <c r="E38" s="11">
        <v>5.5899885850000004</v>
      </c>
      <c r="F38" s="11">
        <v>5.5706961795999996</v>
      </c>
      <c r="G38" s="11">
        <v>8.2904355829000007</v>
      </c>
      <c r="H38" s="11" t="s">
        <v>147</v>
      </c>
      <c r="I38" s="11">
        <v>14.3520059447</v>
      </c>
      <c r="J38" s="11">
        <v>4.2524247196999996</v>
      </c>
      <c r="K38" s="11">
        <v>4.4256082550000002</v>
      </c>
      <c r="L38" s="11">
        <v>6.7125452391999998</v>
      </c>
      <c r="M38" s="11">
        <f t="shared" si="1"/>
        <v>11.251718203775001</v>
      </c>
      <c r="N38" s="11">
        <f t="shared" si="2"/>
        <v>7.4356460396499999</v>
      </c>
      <c r="O38" s="11">
        <f t="shared" si="3"/>
        <v>9.3436821217125008</v>
      </c>
    </row>
    <row r="39" spans="1:15">
      <c r="A39" t="s">
        <v>43</v>
      </c>
      <c r="B39" t="s">
        <v>118</v>
      </c>
      <c r="C39" s="11">
        <v>5.8259595644999997</v>
      </c>
      <c r="D39" s="11">
        <v>4.5356800000000002</v>
      </c>
      <c r="E39" s="11" t="s">
        <v>147</v>
      </c>
      <c r="F39" s="11">
        <v>2.6465587478999999</v>
      </c>
      <c r="G39" s="11">
        <v>4.0556144044</v>
      </c>
      <c r="H39" s="11">
        <v>3.9580873622000001</v>
      </c>
      <c r="I39" s="11">
        <v>5.4616053304000003</v>
      </c>
      <c r="J39" s="11">
        <v>6.2101664762000004</v>
      </c>
      <c r="K39" s="11">
        <v>3.3556403270000001</v>
      </c>
      <c r="L39" s="11">
        <v>8.02</v>
      </c>
      <c r="M39" s="11">
        <f t="shared" si="1"/>
        <v>4.2659531792000003</v>
      </c>
      <c r="N39" s="11">
        <f t="shared" si="2"/>
        <v>5.4010998991600001</v>
      </c>
      <c r="O39" s="11">
        <f t="shared" si="3"/>
        <v>4.8965902458444459</v>
      </c>
    </row>
    <row r="40" spans="1:15">
      <c r="A40" t="s">
        <v>139</v>
      </c>
      <c r="B40" t="s">
        <v>140</v>
      </c>
      <c r="C40" t="str" cm="1">
        <f t="array" ref="C40">_xldudf_WISE(B40, "PE Ratio", 2023)</f>
        <v>Unavailable</v>
      </c>
      <c r="D40" t="str" cm="1">
        <f t="array" ref="D40">_xldudf_WISE(C40,"PE ratio",D2)</f>
        <v>Unavailable</v>
      </c>
      <c r="E40" t="str" cm="1">
        <f t="array" ref="E40">_xldudf_WISE(D40,"PE ratio",E2)</f>
        <v>Unavailable</v>
      </c>
      <c r="F40" t="str" cm="1">
        <f t="array" ref="F40">_xldudf_WISE(E40,"PE ratio",F2)</f>
        <v>Unavailable</v>
      </c>
      <c r="G40" t="str" cm="1">
        <f t="array" ref="G40">_xldudf_WISE(F40,"PE ratio",G2)</f>
        <v>Unavailable</v>
      </c>
      <c r="H40" t="str" cm="1">
        <f t="array" ref="H40">_xldudf_WISE(G40,"PE ratio",H2)</f>
        <v>Unavailable</v>
      </c>
      <c r="I40" t="str" cm="1">
        <f t="array" ref="I40">_xldudf_WISE(H40,"PE ratio",I2)</f>
        <v>Unavailable</v>
      </c>
      <c r="J40" t="str" cm="1">
        <f t="array" ref="J40">_xldudf_WISE(I40,"PE ratio",J2)</f>
        <v>Unavailable</v>
      </c>
      <c r="K40" t="str" cm="1">
        <f t="array" ref="K40">_xldudf_WISE(J40,"PE ratio",K2)</f>
        <v>Unavailable</v>
      </c>
      <c r="L40" t="str" cm="1">
        <f t="array" ref="L40">_xldudf_WISE(K40,"PE ratio",L2)</f>
        <v>Unavailable</v>
      </c>
      <c r="M40" s="11">
        <f>AVERAGE(M3:M39)</f>
        <v>20.495406699845997</v>
      </c>
      <c r="N40" s="11">
        <f>AVERAGE(N3:N39)</f>
        <v>23.643447570620495</v>
      </c>
      <c r="O40" s="11" t="e">
        <f t="shared" si="3"/>
        <v>#DIV/0!</v>
      </c>
    </row>
    <row r="42" spans="1:15">
      <c r="A42" s="2"/>
      <c r="B4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8970-3DD5-4AE7-9677-91E075D8C91B}">
  <dimension ref="A1:C9"/>
  <sheetViews>
    <sheetView workbookViewId="0">
      <selection activeCell="D1" sqref="A1:D1048576"/>
    </sheetView>
  </sheetViews>
  <sheetFormatPr defaultRowHeight="14.4"/>
  <sheetData>
    <row r="1" spans="1:3">
      <c r="A1" s="2" t="s">
        <v>132</v>
      </c>
    </row>
    <row r="3" spans="1:3">
      <c r="A3" t="s">
        <v>124</v>
      </c>
      <c r="B3" t="s">
        <v>125</v>
      </c>
      <c r="C3" t="s">
        <v>122</v>
      </c>
    </row>
    <row r="4" spans="1:3">
      <c r="A4">
        <v>2020</v>
      </c>
      <c r="B4" s="5">
        <v>5.4000000000000003E-3</v>
      </c>
      <c r="C4" t="s">
        <v>127</v>
      </c>
    </row>
    <row r="5" spans="1:3">
      <c r="A5">
        <v>2021</v>
      </c>
      <c r="B5" s="5">
        <v>1.0200000000000001E-2</v>
      </c>
      <c r="C5" t="s">
        <v>128</v>
      </c>
    </row>
    <row r="6" spans="1:3">
      <c r="A6">
        <v>2022</v>
      </c>
      <c r="B6" s="5">
        <v>4.1300000000000003E-2</v>
      </c>
      <c r="C6" t="s">
        <v>129</v>
      </c>
    </row>
    <row r="7" spans="1:3">
      <c r="A7">
        <v>2023</v>
      </c>
      <c r="B7" s="5">
        <v>3.8199999999999998E-2</v>
      </c>
      <c r="C7" t="s">
        <v>130</v>
      </c>
    </row>
    <row r="8" spans="1:3">
      <c r="A8">
        <v>2024</v>
      </c>
      <c r="B8" s="5">
        <v>3.3599999999999998E-2</v>
      </c>
      <c r="C8" t="s">
        <v>131</v>
      </c>
    </row>
    <row r="9" spans="1:3">
      <c r="A9" t="s">
        <v>126</v>
      </c>
      <c r="B9" s="5">
        <f>AVERAGE(B4:B8)</f>
        <v>2.5740000000000002E-2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C62B-2988-4781-805D-EAF823BB5D77}">
  <dimension ref="A1:A3"/>
  <sheetViews>
    <sheetView workbookViewId="0">
      <selection activeCell="A4" sqref="A4"/>
    </sheetView>
  </sheetViews>
  <sheetFormatPr defaultRowHeight="14.4"/>
  <sheetData>
    <row r="1" spans="1:1">
      <c r="A1" t="s">
        <v>122</v>
      </c>
    </row>
    <row r="3" spans="1:1">
      <c r="A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Summary_Table</vt:lpstr>
      <vt:lpstr>Overview_Table</vt:lpstr>
      <vt:lpstr>MKTCAP_BE</vt:lpstr>
      <vt:lpstr>Returns</vt:lpstr>
      <vt:lpstr>PE_Ratio</vt:lpstr>
      <vt:lpstr>Free Risk Return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Ceccaroni</dc:creator>
  <cp:lastModifiedBy>Riccardo Ceccaroni</cp:lastModifiedBy>
  <dcterms:created xsi:type="dcterms:W3CDTF">2026-01-19T15:48:23Z</dcterms:created>
  <dcterms:modified xsi:type="dcterms:W3CDTF">2026-01-21T15:01:17Z</dcterms:modified>
</cp:coreProperties>
</file>