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cca\Desktop\BuyBack Project\"/>
    </mc:Choice>
  </mc:AlternateContent>
  <xr:revisionPtr revIDLastSave="0" documentId="13_ncr:1_{E46C89D7-B75D-43F7-A50E-5BFF664AF272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Instructions" sheetId="1" r:id="rId1"/>
    <sheet name="Net Income" sheetId="2" r:id="rId2"/>
    <sheet name="Avg Shares Outstanding" sheetId="3" r:id="rId3"/>
    <sheet name="EPS" sheetId="12" r:id="rId4"/>
    <sheet name="Stock Prices" sheetId="8" r:id="rId5"/>
    <sheet name="Stock Price Return" sheetId="4" r:id="rId6"/>
    <sheet name="Market Cap" sheetId="5" r:id="rId7"/>
    <sheet name="Dividends Per Share" sheetId="6" r:id="rId8"/>
    <sheet name="PE Calculated" sheetId="10" r:id="rId9"/>
    <sheet name="Outlier Summary" sheetId="9" r:id="rId10"/>
    <sheet name="EPS Decomposition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3" l="1"/>
  <c r="K5" i="13"/>
  <c r="L5" i="13"/>
  <c r="M5" i="13"/>
  <c r="N5" i="13"/>
  <c r="O5" i="13"/>
  <c r="P5" i="13"/>
  <c r="Q5" i="13"/>
  <c r="R5" i="13"/>
  <c r="T5" i="13" s="1"/>
  <c r="S5" i="13"/>
  <c r="J6" i="13"/>
  <c r="K6" i="13"/>
  <c r="L6" i="13"/>
  <c r="M6" i="13"/>
  <c r="N6" i="13"/>
  <c r="O6" i="13"/>
  <c r="P6" i="13"/>
  <c r="Q6" i="13"/>
  <c r="R6" i="13"/>
  <c r="S6" i="13"/>
  <c r="T6" i="13" s="1"/>
  <c r="J7" i="13"/>
  <c r="K7" i="13"/>
  <c r="L7" i="13"/>
  <c r="M7" i="13"/>
  <c r="N7" i="13"/>
  <c r="O7" i="13"/>
  <c r="P7" i="13"/>
  <c r="Q7" i="13"/>
  <c r="R7" i="13"/>
  <c r="S7" i="13"/>
  <c r="T7" i="13"/>
  <c r="J8" i="13"/>
  <c r="K8" i="13"/>
  <c r="L8" i="13"/>
  <c r="M8" i="13"/>
  <c r="N8" i="13"/>
  <c r="O8" i="13"/>
  <c r="P8" i="13"/>
  <c r="Q8" i="13"/>
  <c r="R8" i="13"/>
  <c r="S8" i="13"/>
  <c r="T8" i="13"/>
  <c r="J9" i="13"/>
  <c r="K9" i="13"/>
  <c r="L9" i="13"/>
  <c r="M9" i="13"/>
  <c r="N9" i="13"/>
  <c r="O9" i="13"/>
  <c r="P9" i="13"/>
  <c r="Q9" i="13"/>
  <c r="R9" i="13"/>
  <c r="S9" i="13"/>
  <c r="T9" i="13"/>
  <c r="J10" i="13"/>
  <c r="K10" i="13"/>
  <c r="L10" i="13"/>
  <c r="M10" i="13"/>
  <c r="N10" i="13"/>
  <c r="O10" i="13"/>
  <c r="P10" i="13"/>
  <c r="Q10" i="13"/>
  <c r="R10" i="13"/>
  <c r="S10" i="13"/>
  <c r="T10" i="13"/>
  <c r="J11" i="13"/>
  <c r="K11" i="13"/>
  <c r="L11" i="13"/>
  <c r="M11" i="13"/>
  <c r="N11" i="13"/>
  <c r="O11" i="13"/>
  <c r="P11" i="13"/>
  <c r="Q11" i="13"/>
  <c r="R11" i="13"/>
  <c r="S11" i="13"/>
  <c r="T11" i="13"/>
  <c r="J12" i="13"/>
  <c r="K12" i="13"/>
  <c r="L12" i="13"/>
  <c r="M12" i="13"/>
  <c r="N12" i="13"/>
  <c r="O12" i="13"/>
  <c r="P12" i="13"/>
  <c r="Q12" i="13"/>
  <c r="R12" i="13"/>
  <c r="S12" i="13"/>
  <c r="T12" i="13"/>
  <c r="J13" i="13"/>
  <c r="K13" i="13"/>
  <c r="L13" i="13"/>
  <c r="M13" i="13"/>
  <c r="N13" i="13"/>
  <c r="O13" i="13"/>
  <c r="P13" i="13"/>
  <c r="Q13" i="13"/>
  <c r="R13" i="13"/>
  <c r="S13" i="13"/>
  <c r="T13" i="13"/>
  <c r="J14" i="13"/>
  <c r="K14" i="13"/>
  <c r="L14" i="13"/>
  <c r="M14" i="13"/>
  <c r="N14" i="13"/>
  <c r="O14" i="13"/>
  <c r="P14" i="13"/>
  <c r="Q14" i="13"/>
  <c r="R14" i="13"/>
  <c r="S14" i="13"/>
  <c r="T14" i="13"/>
  <c r="J15" i="13"/>
  <c r="K15" i="13"/>
  <c r="L15" i="13"/>
  <c r="M15" i="13"/>
  <c r="N15" i="13"/>
  <c r="O15" i="13"/>
  <c r="P15" i="13"/>
  <c r="Q15" i="13"/>
  <c r="R15" i="13"/>
  <c r="S15" i="13"/>
  <c r="T15" i="13"/>
  <c r="J16" i="13"/>
  <c r="K16" i="13"/>
  <c r="L16" i="13"/>
  <c r="M16" i="13"/>
  <c r="N16" i="13"/>
  <c r="O16" i="13"/>
  <c r="P16" i="13"/>
  <c r="Q16" i="13"/>
  <c r="R16" i="13"/>
  <c r="S16" i="13"/>
  <c r="T16" i="13"/>
  <c r="J17" i="13"/>
  <c r="K17" i="13"/>
  <c r="L17" i="13"/>
  <c r="M17" i="13"/>
  <c r="N17" i="13"/>
  <c r="O17" i="13"/>
  <c r="P17" i="13"/>
  <c r="Q17" i="13"/>
  <c r="R17" i="13"/>
  <c r="S17" i="13"/>
  <c r="T17" i="13"/>
  <c r="J18" i="13"/>
  <c r="K18" i="13"/>
  <c r="L18" i="13"/>
  <c r="M18" i="13"/>
  <c r="N18" i="13"/>
  <c r="O18" i="13"/>
  <c r="P18" i="13"/>
  <c r="Q18" i="13"/>
  <c r="R18" i="13"/>
  <c r="S18" i="13"/>
  <c r="T18" i="13"/>
  <c r="J19" i="13"/>
  <c r="K19" i="13"/>
  <c r="L19" i="13"/>
  <c r="M19" i="13"/>
  <c r="N19" i="13"/>
  <c r="O19" i="13"/>
  <c r="P19" i="13"/>
  <c r="Q19" i="13"/>
  <c r="R19" i="13"/>
  <c r="S19" i="13"/>
  <c r="T19" i="13"/>
  <c r="J20" i="13"/>
  <c r="K20" i="13"/>
  <c r="L20" i="13"/>
  <c r="M20" i="13"/>
  <c r="N20" i="13"/>
  <c r="O20" i="13"/>
  <c r="P20" i="13"/>
  <c r="Q20" i="13"/>
  <c r="R20" i="13"/>
  <c r="S20" i="13"/>
  <c r="T20" i="13"/>
  <c r="J21" i="13"/>
  <c r="K21" i="13"/>
  <c r="L21" i="13"/>
  <c r="M21" i="13"/>
  <c r="N21" i="13"/>
  <c r="O21" i="13"/>
  <c r="P21" i="13"/>
  <c r="Q21" i="13"/>
  <c r="R21" i="13"/>
  <c r="S21" i="13"/>
  <c r="T21" i="13"/>
  <c r="J22" i="13"/>
  <c r="K22" i="13"/>
  <c r="L22" i="13"/>
  <c r="M22" i="13"/>
  <c r="N22" i="13"/>
  <c r="O22" i="13"/>
  <c r="P22" i="13"/>
  <c r="Q22" i="13"/>
  <c r="R22" i="13"/>
  <c r="S22" i="13"/>
  <c r="T22" i="13"/>
  <c r="J23" i="13"/>
  <c r="K23" i="13"/>
  <c r="L23" i="13"/>
  <c r="M23" i="13"/>
  <c r="N23" i="13"/>
  <c r="O23" i="13"/>
  <c r="P23" i="13"/>
  <c r="Q23" i="13"/>
  <c r="R23" i="13"/>
  <c r="S23" i="13"/>
  <c r="T23" i="13"/>
  <c r="J24" i="13"/>
  <c r="K24" i="13"/>
  <c r="L24" i="13"/>
  <c r="M24" i="13"/>
  <c r="N24" i="13"/>
  <c r="O24" i="13"/>
  <c r="P24" i="13"/>
  <c r="Q24" i="13"/>
  <c r="R24" i="13"/>
  <c r="S24" i="13"/>
  <c r="T24" i="13"/>
  <c r="J25" i="13"/>
  <c r="K25" i="13"/>
  <c r="L25" i="13"/>
  <c r="M25" i="13"/>
  <c r="N25" i="13"/>
  <c r="O25" i="13"/>
  <c r="P25" i="13"/>
  <c r="Q25" i="13"/>
  <c r="R25" i="13"/>
  <c r="S25" i="13"/>
  <c r="T25" i="13"/>
  <c r="J26" i="13"/>
  <c r="K26" i="13"/>
  <c r="L26" i="13"/>
  <c r="M26" i="13"/>
  <c r="N26" i="13"/>
  <c r="O26" i="13"/>
  <c r="P26" i="13"/>
  <c r="Q26" i="13"/>
  <c r="R26" i="13"/>
  <c r="S26" i="13"/>
  <c r="T26" i="13"/>
  <c r="J27" i="13"/>
  <c r="K27" i="13"/>
  <c r="L27" i="13"/>
  <c r="M27" i="13"/>
  <c r="N27" i="13"/>
  <c r="O27" i="13"/>
  <c r="P27" i="13"/>
  <c r="Q27" i="13"/>
  <c r="R27" i="13"/>
  <c r="S27" i="13"/>
  <c r="T27" i="13"/>
  <c r="J28" i="13"/>
  <c r="K28" i="13"/>
  <c r="L28" i="13"/>
  <c r="M28" i="13"/>
  <c r="N28" i="13"/>
  <c r="O28" i="13"/>
  <c r="P28" i="13"/>
  <c r="Q28" i="13"/>
  <c r="R28" i="13"/>
  <c r="S28" i="13"/>
  <c r="T28" i="13"/>
  <c r="J29" i="13"/>
  <c r="K29" i="13"/>
  <c r="L29" i="13"/>
  <c r="M29" i="13"/>
  <c r="N29" i="13"/>
  <c r="O29" i="13"/>
  <c r="P29" i="13"/>
  <c r="Q29" i="13"/>
  <c r="R29" i="13"/>
  <c r="S29" i="13"/>
  <c r="T29" i="13"/>
  <c r="J30" i="13"/>
  <c r="K30" i="13"/>
  <c r="L30" i="13"/>
  <c r="M30" i="13"/>
  <c r="N30" i="13"/>
  <c r="O30" i="13"/>
  <c r="P30" i="13"/>
  <c r="Q30" i="13"/>
  <c r="R30" i="13"/>
  <c r="S30" i="13"/>
  <c r="T30" i="13"/>
  <c r="J31" i="13"/>
  <c r="K31" i="13"/>
  <c r="L31" i="13"/>
  <c r="M31" i="13"/>
  <c r="N31" i="13"/>
  <c r="O31" i="13"/>
  <c r="P31" i="13"/>
  <c r="Q31" i="13"/>
  <c r="R31" i="13"/>
  <c r="S31" i="13"/>
  <c r="T31" i="13"/>
  <c r="J32" i="13"/>
  <c r="K32" i="13"/>
  <c r="L32" i="13"/>
  <c r="M32" i="13"/>
  <c r="N32" i="13"/>
  <c r="O32" i="13"/>
  <c r="P32" i="13"/>
  <c r="Q32" i="13"/>
  <c r="R32" i="13"/>
  <c r="S32" i="13"/>
  <c r="T32" i="13"/>
  <c r="J33" i="13"/>
  <c r="K33" i="13"/>
  <c r="L33" i="13"/>
  <c r="M33" i="13"/>
  <c r="N33" i="13"/>
  <c r="O33" i="13"/>
  <c r="P33" i="13"/>
  <c r="Q33" i="13"/>
  <c r="R33" i="13"/>
  <c r="S33" i="13"/>
  <c r="T33" i="13"/>
  <c r="J34" i="13"/>
  <c r="K34" i="13"/>
  <c r="L34" i="13"/>
  <c r="M34" i="13"/>
  <c r="N34" i="13"/>
  <c r="O34" i="13"/>
  <c r="P34" i="13"/>
  <c r="Q34" i="13"/>
  <c r="R34" i="13"/>
  <c r="S34" i="13"/>
  <c r="T34" i="13"/>
  <c r="J35" i="13"/>
  <c r="K35" i="13"/>
  <c r="L35" i="13"/>
  <c r="M35" i="13"/>
  <c r="N35" i="13"/>
  <c r="O35" i="13"/>
  <c r="P35" i="13"/>
  <c r="Q35" i="13"/>
  <c r="R35" i="13"/>
  <c r="S35" i="13"/>
  <c r="T35" i="13"/>
  <c r="J36" i="13"/>
  <c r="K36" i="13"/>
  <c r="L36" i="13"/>
  <c r="M36" i="13"/>
  <c r="N36" i="13"/>
  <c r="O36" i="13"/>
  <c r="P36" i="13"/>
  <c r="Q36" i="13"/>
  <c r="R36" i="13"/>
  <c r="S36" i="13"/>
  <c r="T36" i="13"/>
  <c r="J37" i="13"/>
  <c r="K37" i="13"/>
  <c r="L37" i="13"/>
  <c r="M37" i="13"/>
  <c r="N37" i="13"/>
  <c r="O37" i="13"/>
  <c r="P37" i="13"/>
  <c r="Q37" i="13"/>
  <c r="R37" i="13"/>
  <c r="S37" i="13"/>
  <c r="T37" i="13"/>
  <c r="J38" i="13"/>
  <c r="K38" i="13"/>
  <c r="L38" i="13"/>
  <c r="M38" i="13"/>
  <c r="N38" i="13"/>
  <c r="O38" i="13"/>
  <c r="P38" i="13"/>
  <c r="Q38" i="13"/>
  <c r="R38" i="13"/>
  <c r="S38" i="13"/>
  <c r="T38" i="13"/>
  <c r="J39" i="13"/>
  <c r="K39" i="13"/>
  <c r="L39" i="13"/>
  <c r="M39" i="13"/>
  <c r="N39" i="13"/>
  <c r="O39" i="13"/>
  <c r="P39" i="13"/>
  <c r="Q39" i="13"/>
  <c r="R39" i="13"/>
  <c r="S39" i="13"/>
  <c r="T39" i="13"/>
  <c r="J40" i="13"/>
  <c r="K40" i="13"/>
  <c r="L40" i="13"/>
  <c r="M40" i="13"/>
  <c r="N40" i="13"/>
  <c r="O40" i="13"/>
  <c r="P40" i="13"/>
  <c r="Q40" i="13"/>
  <c r="R40" i="13"/>
  <c r="S40" i="13"/>
  <c r="T40" i="13"/>
  <c r="J41" i="13"/>
  <c r="K41" i="13"/>
  <c r="L41" i="13"/>
  <c r="M41" i="13"/>
  <c r="N41" i="13"/>
  <c r="O41" i="13"/>
  <c r="P41" i="13"/>
  <c r="Q41" i="13"/>
  <c r="R41" i="13"/>
  <c r="S41" i="13"/>
  <c r="T41" i="13"/>
  <c r="J42" i="13"/>
  <c r="K42" i="13"/>
  <c r="L42" i="13"/>
  <c r="M42" i="13"/>
  <c r="N42" i="13"/>
  <c r="O42" i="13"/>
  <c r="P42" i="13"/>
  <c r="Q42" i="13"/>
  <c r="R42" i="13"/>
  <c r="S42" i="13"/>
  <c r="T42" i="13"/>
  <c r="J43" i="13"/>
  <c r="K43" i="13"/>
  <c r="L43" i="13"/>
  <c r="M43" i="13"/>
  <c r="N43" i="13"/>
  <c r="O43" i="13"/>
  <c r="P43" i="13"/>
  <c r="Q43" i="13"/>
  <c r="R43" i="13"/>
  <c r="S43" i="13"/>
  <c r="T43" i="13"/>
  <c r="J44" i="13"/>
  <c r="K44" i="13"/>
  <c r="L44" i="13"/>
  <c r="M44" i="13"/>
  <c r="N44" i="13"/>
  <c r="O44" i="13"/>
  <c r="P44" i="13"/>
  <c r="Q44" i="13"/>
  <c r="R44" i="13"/>
  <c r="S44" i="13"/>
  <c r="T44" i="13"/>
  <c r="J45" i="13"/>
  <c r="K45" i="13"/>
  <c r="L45" i="13"/>
  <c r="M45" i="13"/>
  <c r="N45" i="13"/>
  <c r="O45" i="13"/>
  <c r="P45" i="13"/>
  <c r="Q45" i="13"/>
  <c r="R45" i="13"/>
  <c r="S45" i="13"/>
  <c r="T45" i="13"/>
  <c r="J46" i="13"/>
  <c r="K46" i="13"/>
  <c r="L46" i="13"/>
  <c r="M46" i="13"/>
  <c r="N46" i="13"/>
  <c r="O46" i="13"/>
  <c r="P46" i="13"/>
  <c r="Q46" i="13"/>
  <c r="R46" i="13"/>
  <c r="S46" i="13"/>
  <c r="T46" i="13"/>
  <c r="J47" i="13"/>
  <c r="K47" i="13"/>
  <c r="L47" i="13"/>
  <c r="M47" i="13"/>
  <c r="N47" i="13"/>
  <c r="O47" i="13"/>
  <c r="P47" i="13"/>
  <c r="Q47" i="13"/>
  <c r="R47" i="13"/>
  <c r="S47" i="13"/>
  <c r="T47" i="13"/>
  <c r="J48" i="13"/>
  <c r="K48" i="13"/>
  <c r="L48" i="13"/>
  <c r="M48" i="13"/>
  <c r="N48" i="13"/>
  <c r="O48" i="13"/>
  <c r="P48" i="13"/>
  <c r="Q48" i="13"/>
  <c r="R48" i="13"/>
  <c r="S48" i="13"/>
  <c r="T48" i="13"/>
  <c r="J49" i="13"/>
  <c r="K49" i="13"/>
  <c r="L49" i="13"/>
  <c r="M49" i="13"/>
  <c r="N49" i="13"/>
  <c r="O49" i="13"/>
  <c r="P49" i="13"/>
  <c r="Q49" i="13"/>
  <c r="R49" i="13"/>
  <c r="S49" i="13"/>
  <c r="T49" i="13"/>
  <c r="J50" i="13"/>
  <c r="K50" i="13"/>
  <c r="L50" i="13"/>
  <c r="M50" i="13"/>
  <c r="N50" i="13"/>
  <c r="O50" i="13"/>
  <c r="P50" i="13"/>
  <c r="Q50" i="13"/>
  <c r="R50" i="13"/>
  <c r="S50" i="13"/>
  <c r="T50" i="13"/>
  <c r="J51" i="13"/>
  <c r="K51" i="13"/>
  <c r="L51" i="13"/>
  <c r="M51" i="13"/>
  <c r="N51" i="13"/>
  <c r="O51" i="13"/>
  <c r="P51" i="13"/>
  <c r="Q51" i="13"/>
  <c r="R51" i="13"/>
  <c r="S51" i="13"/>
  <c r="T51" i="13"/>
  <c r="J52" i="13"/>
  <c r="K52" i="13"/>
  <c r="L52" i="13"/>
  <c r="M52" i="13"/>
  <c r="N52" i="13"/>
  <c r="O52" i="13"/>
  <c r="P52" i="13"/>
  <c r="Q52" i="13"/>
  <c r="R52" i="13"/>
  <c r="S52" i="13"/>
  <c r="T52" i="13"/>
  <c r="J53" i="13"/>
  <c r="K53" i="13"/>
  <c r="L53" i="13"/>
  <c r="M53" i="13"/>
  <c r="N53" i="13"/>
  <c r="O53" i="13"/>
  <c r="P53" i="13"/>
  <c r="Q53" i="13"/>
  <c r="R53" i="13"/>
  <c r="S53" i="13"/>
  <c r="T53" i="13"/>
  <c r="J54" i="13"/>
  <c r="K54" i="13"/>
  <c r="L54" i="13"/>
  <c r="M54" i="13"/>
  <c r="N54" i="13"/>
  <c r="O54" i="13"/>
  <c r="P54" i="13"/>
  <c r="Q54" i="13"/>
  <c r="R54" i="13"/>
  <c r="S54" i="13"/>
  <c r="T54" i="13"/>
  <c r="J55" i="13"/>
  <c r="K55" i="13"/>
  <c r="L55" i="13"/>
  <c r="M55" i="13"/>
  <c r="N55" i="13"/>
  <c r="O55" i="13"/>
  <c r="P55" i="13"/>
  <c r="Q55" i="13"/>
  <c r="R55" i="13"/>
  <c r="S55" i="13"/>
  <c r="T55" i="13"/>
  <c r="J56" i="13"/>
  <c r="K56" i="13"/>
  <c r="L56" i="13"/>
  <c r="M56" i="13"/>
  <c r="N56" i="13"/>
  <c r="O56" i="13"/>
  <c r="P56" i="13"/>
  <c r="Q56" i="13"/>
  <c r="R56" i="13"/>
  <c r="S56" i="13"/>
  <c r="T56" i="13"/>
  <c r="J57" i="13"/>
  <c r="K57" i="13"/>
  <c r="L57" i="13"/>
  <c r="M57" i="13"/>
  <c r="N57" i="13"/>
  <c r="O57" i="13"/>
  <c r="P57" i="13"/>
  <c r="Q57" i="13"/>
  <c r="R57" i="13"/>
  <c r="S57" i="13"/>
  <c r="T57" i="13"/>
  <c r="J58" i="13"/>
  <c r="K58" i="13"/>
  <c r="L58" i="13"/>
  <c r="M58" i="13"/>
  <c r="N58" i="13"/>
  <c r="O58" i="13"/>
  <c r="P58" i="13"/>
  <c r="Q58" i="13"/>
  <c r="R58" i="13"/>
  <c r="S58" i="13"/>
  <c r="T58" i="13"/>
  <c r="J59" i="13"/>
  <c r="K59" i="13"/>
  <c r="L59" i="13"/>
  <c r="M59" i="13"/>
  <c r="N59" i="13"/>
  <c r="O59" i="13"/>
  <c r="P59" i="13"/>
  <c r="Q59" i="13"/>
  <c r="R59" i="13"/>
  <c r="S59" i="13"/>
  <c r="T59" i="13"/>
  <c r="J60" i="13"/>
  <c r="K60" i="13"/>
  <c r="L60" i="13"/>
  <c r="M60" i="13"/>
  <c r="N60" i="13"/>
  <c r="O60" i="13"/>
  <c r="P60" i="13"/>
  <c r="Q60" i="13"/>
  <c r="R60" i="13"/>
  <c r="S60" i="13"/>
  <c r="T60" i="13"/>
  <c r="J61" i="13"/>
  <c r="K61" i="13"/>
  <c r="L61" i="13"/>
  <c r="M61" i="13"/>
  <c r="N61" i="13"/>
  <c r="O61" i="13"/>
  <c r="P61" i="13"/>
  <c r="Q61" i="13"/>
  <c r="R61" i="13"/>
  <c r="S61" i="13"/>
  <c r="T61" i="13"/>
  <c r="J62" i="13"/>
  <c r="K62" i="13"/>
  <c r="L62" i="13"/>
  <c r="M62" i="13"/>
  <c r="N62" i="13"/>
  <c r="O62" i="13"/>
  <c r="P62" i="13"/>
  <c r="Q62" i="13"/>
  <c r="R62" i="13"/>
  <c r="S62" i="13"/>
  <c r="T62" i="13"/>
  <c r="J63" i="13"/>
  <c r="K63" i="13"/>
  <c r="L63" i="13"/>
  <c r="M63" i="13"/>
  <c r="N63" i="13"/>
  <c r="O63" i="13"/>
  <c r="P63" i="13"/>
  <c r="Q63" i="13"/>
  <c r="R63" i="13"/>
  <c r="S63" i="13"/>
  <c r="T63" i="13"/>
  <c r="J64" i="13"/>
  <c r="K64" i="13"/>
  <c r="L64" i="13"/>
  <c r="M64" i="13"/>
  <c r="N64" i="13"/>
  <c r="O64" i="13"/>
  <c r="P64" i="13"/>
  <c r="Q64" i="13"/>
  <c r="R64" i="13"/>
  <c r="S64" i="13"/>
  <c r="T64" i="13"/>
  <c r="J65" i="13"/>
  <c r="K65" i="13"/>
  <c r="L65" i="13"/>
  <c r="M65" i="13"/>
  <c r="N65" i="13"/>
  <c r="O65" i="13"/>
  <c r="P65" i="13"/>
  <c r="Q65" i="13"/>
  <c r="R65" i="13"/>
  <c r="S65" i="13"/>
  <c r="T65" i="13"/>
  <c r="J66" i="13"/>
  <c r="K66" i="13"/>
  <c r="L66" i="13"/>
  <c r="M66" i="13"/>
  <c r="N66" i="13"/>
  <c r="O66" i="13"/>
  <c r="P66" i="13"/>
  <c r="Q66" i="13"/>
  <c r="R66" i="13"/>
  <c r="S66" i="13"/>
  <c r="T66" i="13"/>
  <c r="J67" i="13"/>
  <c r="K67" i="13"/>
  <c r="L67" i="13"/>
  <c r="M67" i="13"/>
  <c r="N67" i="13"/>
  <c r="O67" i="13"/>
  <c r="P67" i="13"/>
  <c r="Q67" i="13"/>
  <c r="R67" i="13"/>
  <c r="S67" i="13"/>
  <c r="T67" i="13"/>
  <c r="J68" i="13"/>
  <c r="K68" i="13"/>
  <c r="L68" i="13"/>
  <c r="M68" i="13"/>
  <c r="N68" i="13"/>
  <c r="O68" i="13"/>
  <c r="P68" i="13"/>
  <c r="Q68" i="13"/>
  <c r="R68" i="13"/>
  <c r="S68" i="13"/>
  <c r="T68" i="13"/>
  <c r="J69" i="13"/>
  <c r="K69" i="13"/>
  <c r="L69" i="13"/>
  <c r="M69" i="13"/>
  <c r="N69" i="13"/>
  <c r="O69" i="13"/>
  <c r="P69" i="13"/>
  <c r="Q69" i="13"/>
  <c r="R69" i="13"/>
  <c r="S69" i="13"/>
  <c r="T69" i="13"/>
  <c r="J70" i="13"/>
  <c r="K70" i="13"/>
  <c r="L70" i="13"/>
  <c r="M70" i="13"/>
  <c r="N70" i="13"/>
  <c r="O70" i="13"/>
  <c r="P70" i="13" s="1"/>
  <c r="R70" i="13" s="1"/>
  <c r="T70" i="13" s="1"/>
  <c r="Q70" i="13"/>
  <c r="S70" i="13"/>
  <c r="J71" i="13"/>
  <c r="K71" i="13"/>
  <c r="L71" i="13"/>
  <c r="M71" i="13"/>
  <c r="N71" i="13"/>
  <c r="O71" i="13"/>
  <c r="P71" i="13" s="1"/>
  <c r="R71" i="13" s="1"/>
  <c r="T71" i="13" s="1"/>
  <c r="Q71" i="13"/>
  <c r="S71" i="13"/>
  <c r="J72" i="13"/>
  <c r="K72" i="13"/>
  <c r="L72" i="13"/>
  <c r="M72" i="13"/>
  <c r="N72" i="13"/>
  <c r="O72" i="13"/>
  <c r="P72" i="13"/>
  <c r="Q72" i="13"/>
  <c r="R72" i="13"/>
  <c r="T72" i="13" s="1"/>
  <c r="S72" i="13"/>
  <c r="J73" i="13"/>
  <c r="K73" i="13"/>
  <c r="L73" i="13"/>
  <c r="M73" i="13"/>
  <c r="N73" i="13"/>
  <c r="O73" i="13"/>
  <c r="P73" i="13"/>
  <c r="Q73" i="13"/>
  <c r="R73" i="13"/>
  <c r="T73" i="13" s="1"/>
  <c r="S73" i="13"/>
  <c r="J74" i="13"/>
  <c r="K74" i="13"/>
  <c r="L74" i="13"/>
  <c r="M74" i="13"/>
  <c r="N74" i="13"/>
  <c r="O74" i="13"/>
  <c r="P74" i="13" s="1"/>
  <c r="R74" i="13" s="1"/>
  <c r="T74" i="13" s="1"/>
  <c r="Q74" i="13"/>
  <c r="S74" i="13"/>
  <c r="J75" i="13"/>
  <c r="K75" i="13"/>
  <c r="L75" i="13"/>
  <c r="M75" i="13"/>
  <c r="N75" i="13"/>
  <c r="O75" i="13"/>
  <c r="P75" i="13"/>
  <c r="Q75" i="13"/>
  <c r="R75" i="13"/>
  <c r="T75" i="13" s="1"/>
  <c r="S75" i="13"/>
  <c r="J76" i="13"/>
  <c r="K76" i="13"/>
  <c r="L76" i="13"/>
  <c r="M76" i="13"/>
  <c r="N76" i="13"/>
  <c r="O76" i="13"/>
  <c r="P76" i="13"/>
  <c r="Q76" i="13"/>
  <c r="R76" i="13"/>
  <c r="S76" i="13"/>
  <c r="T76" i="13" s="1"/>
  <c r="J77" i="13"/>
  <c r="K77" i="13"/>
  <c r="L77" i="13"/>
  <c r="M77" i="13"/>
  <c r="N77" i="13"/>
  <c r="O77" i="13"/>
  <c r="P77" i="13" s="1"/>
  <c r="R77" i="13" s="1"/>
  <c r="Q77" i="13"/>
  <c r="S77" i="13" s="1"/>
  <c r="J78" i="13"/>
  <c r="K78" i="13"/>
  <c r="L78" i="13"/>
  <c r="M78" i="13"/>
  <c r="N78" i="13"/>
  <c r="O78" i="13"/>
  <c r="P78" i="13"/>
  <c r="Q78" i="13"/>
  <c r="R78" i="13"/>
  <c r="S78" i="13"/>
  <c r="T78" i="13" s="1"/>
  <c r="J79" i="13"/>
  <c r="K79" i="13"/>
  <c r="L79" i="13"/>
  <c r="M79" i="13"/>
  <c r="N79" i="13"/>
  <c r="O79" i="13"/>
  <c r="P79" i="13" s="1"/>
  <c r="R79" i="13" s="1"/>
  <c r="T79" i="13" s="1"/>
  <c r="Q79" i="13"/>
  <c r="S79" i="13"/>
  <c r="J80" i="13"/>
  <c r="K80" i="13"/>
  <c r="L80" i="13"/>
  <c r="M80" i="13"/>
  <c r="N80" i="13"/>
  <c r="O80" i="13"/>
  <c r="P80" i="13" s="1"/>
  <c r="R80" i="13" s="1"/>
  <c r="T80" i="13" s="1"/>
  <c r="Q80" i="13"/>
  <c r="S80" i="13"/>
  <c r="J81" i="13"/>
  <c r="K81" i="13"/>
  <c r="L81" i="13"/>
  <c r="M81" i="13"/>
  <c r="N81" i="13"/>
  <c r="O81" i="13"/>
  <c r="J82" i="13"/>
  <c r="K82" i="13"/>
  <c r="L82" i="13"/>
  <c r="M82" i="13"/>
  <c r="N82" i="13"/>
  <c r="O82" i="13"/>
  <c r="P82" i="13" s="1"/>
  <c r="R82" i="13" s="1"/>
  <c r="T82" i="13" s="1"/>
  <c r="Q82" i="13"/>
  <c r="S82" i="13"/>
  <c r="J83" i="13"/>
  <c r="K83" i="13"/>
  <c r="L83" i="13"/>
  <c r="M83" i="13"/>
  <c r="N83" i="13"/>
  <c r="O83" i="13"/>
  <c r="P83" i="13"/>
  <c r="R83" i="13" s="1"/>
  <c r="T83" i="13" s="1"/>
  <c r="Q83" i="13"/>
  <c r="S83" i="13"/>
  <c r="J84" i="13"/>
  <c r="K84" i="13"/>
  <c r="L84" i="13"/>
  <c r="M84" i="13"/>
  <c r="N84" i="13"/>
  <c r="O84" i="13"/>
  <c r="P84" i="13" s="1"/>
  <c r="R84" i="13" s="1"/>
  <c r="T84" i="13" s="1"/>
  <c r="Q84" i="13"/>
  <c r="S84" i="13"/>
  <c r="J85" i="13"/>
  <c r="K85" i="13"/>
  <c r="L85" i="13"/>
  <c r="M85" i="13"/>
  <c r="N85" i="13"/>
  <c r="O85" i="13"/>
  <c r="P85" i="13"/>
  <c r="Q85" i="13"/>
  <c r="R85" i="13"/>
  <c r="T85" i="13" s="1"/>
  <c r="S85" i="13"/>
  <c r="J86" i="13"/>
  <c r="K86" i="13"/>
  <c r="L86" i="13"/>
  <c r="M86" i="13"/>
  <c r="N86" i="13"/>
  <c r="O86" i="13"/>
  <c r="P86" i="13"/>
  <c r="R86" i="13" s="1"/>
  <c r="T86" i="13" s="1"/>
  <c r="Q86" i="13"/>
  <c r="S86" i="13"/>
  <c r="J87" i="13"/>
  <c r="K87" i="13"/>
  <c r="L87" i="13"/>
  <c r="M87" i="13"/>
  <c r="N87" i="13"/>
  <c r="O87" i="13"/>
  <c r="P87" i="13" s="1"/>
  <c r="R87" i="13" s="1"/>
  <c r="T87" i="13" s="1"/>
  <c r="Q87" i="13"/>
  <c r="S87" i="13"/>
  <c r="J88" i="13"/>
  <c r="K88" i="13"/>
  <c r="L88" i="13"/>
  <c r="M88" i="13"/>
  <c r="N88" i="13"/>
  <c r="O88" i="13"/>
  <c r="P88" i="13" s="1"/>
  <c r="R88" i="13" s="1"/>
  <c r="T88" i="13" s="1"/>
  <c r="Q88" i="13"/>
  <c r="S88" i="13"/>
  <c r="J89" i="13"/>
  <c r="K89" i="13"/>
  <c r="L89" i="13"/>
  <c r="M89" i="13"/>
  <c r="N89" i="13"/>
  <c r="O89" i="13"/>
  <c r="P89" i="13" s="1"/>
  <c r="R89" i="13" s="1"/>
  <c r="T89" i="13" s="1"/>
  <c r="Q89" i="13"/>
  <c r="S89" i="13"/>
  <c r="J90" i="13"/>
  <c r="K90" i="13"/>
  <c r="L90" i="13"/>
  <c r="M90" i="13"/>
  <c r="N90" i="13"/>
  <c r="O90" i="13"/>
  <c r="P90" i="13"/>
  <c r="R90" i="13" s="1"/>
  <c r="T90" i="13" s="1"/>
  <c r="Q90" i="13"/>
  <c r="S90" i="13"/>
  <c r="J91" i="13"/>
  <c r="K91" i="13"/>
  <c r="L91" i="13"/>
  <c r="M91" i="13"/>
  <c r="N91" i="13"/>
  <c r="O91" i="13"/>
  <c r="P91" i="13" s="1"/>
  <c r="R91" i="13" s="1"/>
  <c r="T91" i="13" s="1"/>
  <c r="Q91" i="13"/>
  <c r="S91" i="13"/>
  <c r="J92" i="13"/>
  <c r="K92" i="13"/>
  <c r="L92" i="13"/>
  <c r="M92" i="13"/>
  <c r="N92" i="13"/>
  <c r="O92" i="13"/>
  <c r="P92" i="13" s="1"/>
  <c r="R92" i="13" s="1"/>
  <c r="T92" i="13" s="1"/>
  <c r="Q92" i="13"/>
  <c r="S92" i="13"/>
  <c r="J93" i="13"/>
  <c r="K93" i="13"/>
  <c r="L93" i="13"/>
  <c r="M93" i="13"/>
  <c r="N93" i="13"/>
  <c r="O93" i="13"/>
  <c r="P93" i="13" s="1"/>
  <c r="R93" i="13" s="1"/>
  <c r="T93" i="13" s="1"/>
  <c r="Q93" i="13"/>
  <c r="S93" i="13"/>
  <c r="J94" i="13"/>
  <c r="K94" i="13"/>
  <c r="L94" i="13"/>
  <c r="M94" i="13"/>
  <c r="N94" i="13"/>
  <c r="O94" i="13"/>
  <c r="J95" i="13"/>
  <c r="K95" i="13"/>
  <c r="L95" i="13"/>
  <c r="M95" i="13"/>
  <c r="N95" i="13"/>
  <c r="O95" i="13"/>
  <c r="P95" i="13" s="1"/>
  <c r="R95" i="13" s="1"/>
  <c r="T95" i="13" s="1"/>
  <c r="Q95" i="13"/>
  <c r="S95" i="13"/>
  <c r="J96" i="13"/>
  <c r="K96" i="13"/>
  <c r="L96" i="13"/>
  <c r="M96" i="13"/>
  <c r="N96" i="13"/>
  <c r="O96" i="13"/>
  <c r="P96" i="13"/>
  <c r="Q96" i="13"/>
  <c r="R96" i="13"/>
  <c r="S96" i="13"/>
  <c r="T96" i="13" s="1"/>
  <c r="J97" i="13"/>
  <c r="K97" i="13"/>
  <c r="L97" i="13"/>
  <c r="M97" i="13"/>
  <c r="N97" i="13"/>
  <c r="O97" i="13"/>
  <c r="P97" i="13" s="1"/>
  <c r="R97" i="13" s="1"/>
  <c r="T97" i="13" s="1"/>
  <c r="Q97" i="13"/>
  <c r="S97" i="13"/>
  <c r="J98" i="13"/>
  <c r="K98" i="13"/>
  <c r="L98" i="13"/>
  <c r="M98" i="13"/>
  <c r="N98" i="13"/>
  <c r="O98" i="13"/>
  <c r="J99" i="13"/>
  <c r="K99" i="13"/>
  <c r="L99" i="13"/>
  <c r="M99" i="13"/>
  <c r="N99" i="13"/>
  <c r="O99" i="13"/>
  <c r="P99" i="13"/>
  <c r="R99" i="13" s="1"/>
  <c r="T99" i="13" s="1"/>
  <c r="Q99" i="13"/>
  <c r="S99" i="13"/>
  <c r="J100" i="13"/>
  <c r="K100" i="13"/>
  <c r="L100" i="13"/>
  <c r="M100" i="13"/>
  <c r="N100" i="13"/>
  <c r="O100" i="13"/>
  <c r="J101" i="13"/>
  <c r="K101" i="13"/>
  <c r="L101" i="13"/>
  <c r="M101" i="13"/>
  <c r="N101" i="13"/>
  <c r="O101" i="13"/>
  <c r="P101" i="13"/>
  <c r="Q101" i="13"/>
  <c r="R101" i="13"/>
  <c r="T101" i="13" s="1"/>
  <c r="S101" i="13"/>
  <c r="J102" i="13"/>
  <c r="K102" i="13"/>
  <c r="L102" i="13"/>
  <c r="M102" i="13"/>
  <c r="N102" i="13"/>
  <c r="O102" i="13"/>
  <c r="P102" i="13"/>
  <c r="Q102" i="13"/>
  <c r="R102" i="13"/>
  <c r="T102" i="13" s="1"/>
  <c r="S102" i="13"/>
  <c r="J103" i="13"/>
  <c r="K103" i="13"/>
  <c r="L103" i="13"/>
  <c r="M103" i="13"/>
  <c r="N103" i="13"/>
  <c r="O103" i="13"/>
  <c r="P103" i="13" s="1"/>
  <c r="R103" i="13" s="1"/>
  <c r="T103" i="13" s="1"/>
  <c r="Q103" i="13"/>
  <c r="S103" i="13"/>
  <c r="J104" i="13"/>
  <c r="K104" i="13"/>
  <c r="L104" i="13"/>
  <c r="M104" i="13"/>
  <c r="N104" i="13"/>
  <c r="O104" i="13"/>
  <c r="P104" i="13" s="1"/>
  <c r="R104" i="13" s="1"/>
  <c r="T104" i="13" s="1"/>
  <c r="Q104" i="13"/>
  <c r="S104" i="13"/>
  <c r="J105" i="13"/>
  <c r="K105" i="13"/>
  <c r="L105" i="13"/>
  <c r="M105" i="13"/>
  <c r="N105" i="13"/>
  <c r="O105" i="13"/>
  <c r="P105" i="13"/>
  <c r="Q105" i="13"/>
  <c r="R105" i="13"/>
  <c r="S105" i="13"/>
  <c r="T105" i="13" s="1"/>
  <c r="J106" i="13"/>
  <c r="K106" i="13"/>
  <c r="L106" i="13"/>
  <c r="M106" i="13"/>
  <c r="N106" i="13"/>
  <c r="O106" i="13"/>
  <c r="P106" i="13"/>
  <c r="Q106" i="13"/>
  <c r="R106" i="13"/>
  <c r="S106" i="13"/>
  <c r="T106" i="13" s="1"/>
  <c r="J107" i="13"/>
  <c r="K107" i="13"/>
  <c r="L107" i="13"/>
  <c r="M107" i="13"/>
  <c r="N107" i="13"/>
  <c r="O107" i="13"/>
  <c r="P107" i="13"/>
  <c r="Q107" i="13"/>
  <c r="R107" i="13"/>
  <c r="S107" i="13"/>
  <c r="T107" i="13" s="1"/>
  <c r="J108" i="13"/>
  <c r="K108" i="13"/>
  <c r="L108" i="13"/>
  <c r="M108" i="13"/>
  <c r="N108" i="13"/>
  <c r="O108" i="13"/>
  <c r="P108" i="13" s="1"/>
  <c r="R108" i="13" s="1"/>
  <c r="T108" i="13" s="1"/>
  <c r="Q108" i="13"/>
  <c r="S108" i="13"/>
  <c r="J109" i="13"/>
  <c r="K109" i="13"/>
  <c r="L109" i="13"/>
  <c r="M109" i="13"/>
  <c r="N109" i="13"/>
  <c r="O109" i="13"/>
  <c r="P109" i="13" s="1"/>
  <c r="R109" i="13" s="1"/>
  <c r="T109" i="13" s="1"/>
  <c r="Q109" i="13"/>
  <c r="S109" i="13"/>
  <c r="J110" i="13"/>
  <c r="K110" i="13"/>
  <c r="L110" i="13"/>
  <c r="M110" i="13"/>
  <c r="N110" i="13"/>
  <c r="O110" i="13"/>
  <c r="P110" i="13" s="1"/>
  <c r="R110" i="13" s="1"/>
  <c r="T110" i="13" s="1"/>
  <c r="Q110" i="13"/>
  <c r="S110" i="13"/>
  <c r="J111" i="13"/>
  <c r="K111" i="13"/>
  <c r="L111" i="13"/>
  <c r="M111" i="13"/>
  <c r="N111" i="13"/>
  <c r="O111" i="13"/>
  <c r="P111" i="13" s="1"/>
  <c r="R111" i="13" s="1"/>
  <c r="T111" i="13" s="1"/>
  <c r="Q111" i="13"/>
  <c r="S111" i="13"/>
  <c r="J112" i="13"/>
  <c r="K112" i="13"/>
  <c r="L112" i="13"/>
  <c r="M112" i="13"/>
  <c r="N112" i="13"/>
  <c r="O112" i="13"/>
  <c r="P112" i="13" s="1"/>
  <c r="R112" i="13" s="1"/>
  <c r="T112" i="13" s="1"/>
  <c r="Q112" i="13"/>
  <c r="S112" i="13"/>
  <c r="J113" i="13"/>
  <c r="K113" i="13"/>
  <c r="L113" i="13"/>
  <c r="M113" i="13"/>
  <c r="N113" i="13"/>
  <c r="O113" i="13"/>
  <c r="P113" i="13" s="1"/>
  <c r="R113" i="13" s="1"/>
  <c r="T113" i="13" s="1"/>
  <c r="Q113" i="13"/>
  <c r="S113" i="13"/>
  <c r="J114" i="13"/>
  <c r="K114" i="13"/>
  <c r="L114" i="13"/>
  <c r="M114" i="13"/>
  <c r="N114" i="13"/>
  <c r="O114" i="13"/>
  <c r="P114" i="13" s="1"/>
  <c r="R114" i="13" s="1"/>
  <c r="T114" i="13" s="1"/>
  <c r="Q114" i="13"/>
  <c r="S114" i="13"/>
  <c r="J115" i="13"/>
  <c r="K115" i="13"/>
  <c r="L115" i="13"/>
  <c r="M115" i="13"/>
  <c r="N115" i="13"/>
  <c r="O115" i="13"/>
  <c r="P115" i="13" s="1"/>
  <c r="R115" i="13" s="1"/>
  <c r="T115" i="13" s="1"/>
  <c r="Q115" i="13"/>
  <c r="S115" i="13"/>
  <c r="J116" i="13"/>
  <c r="K116" i="13"/>
  <c r="L116" i="13"/>
  <c r="M116" i="13"/>
  <c r="N116" i="13"/>
  <c r="O116" i="13"/>
  <c r="P116" i="13"/>
  <c r="Q116" i="13"/>
  <c r="R116" i="13"/>
  <c r="T116" i="13" s="1"/>
  <c r="S116" i="13"/>
  <c r="J117" i="13"/>
  <c r="K117" i="13"/>
  <c r="L117" i="13"/>
  <c r="M117" i="13"/>
  <c r="N117" i="13"/>
  <c r="O117" i="13"/>
  <c r="P117" i="13" s="1"/>
  <c r="R117" i="13" s="1"/>
  <c r="T117" i="13" s="1"/>
  <c r="Q117" i="13"/>
  <c r="S117" i="13"/>
  <c r="J118" i="13"/>
  <c r="K118" i="13"/>
  <c r="L118" i="13"/>
  <c r="M118" i="13"/>
  <c r="N118" i="13"/>
  <c r="O118" i="13"/>
  <c r="P118" i="13" s="1"/>
  <c r="R118" i="13" s="1"/>
  <c r="T118" i="13" s="1"/>
  <c r="Q118" i="13"/>
  <c r="S118" i="13"/>
  <c r="J119" i="13"/>
  <c r="K119" i="13"/>
  <c r="L119" i="13"/>
  <c r="M119" i="13"/>
  <c r="N119" i="13"/>
  <c r="O119" i="13"/>
  <c r="J120" i="13"/>
  <c r="K120" i="13"/>
  <c r="L120" i="13"/>
  <c r="M120" i="13"/>
  <c r="N120" i="13"/>
  <c r="O120" i="13"/>
  <c r="P120" i="13" s="1"/>
  <c r="R120" i="13" s="1"/>
  <c r="T120" i="13" s="1"/>
  <c r="Q120" i="13"/>
  <c r="S120" i="13"/>
  <c r="J121" i="13"/>
  <c r="K121" i="13"/>
  <c r="L121" i="13"/>
  <c r="M121" i="13"/>
  <c r="N121" i="13"/>
  <c r="O121" i="13"/>
  <c r="P121" i="13" s="1"/>
  <c r="R121" i="13" s="1"/>
  <c r="T121" i="13" s="1"/>
  <c r="Q121" i="13"/>
  <c r="S121" i="13"/>
  <c r="J122" i="13"/>
  <c r="K122" i="13"/>
  <c r="L122" i="13"/>
  <c r="M122" i="13"/>
  <c r="N122" i="13"/>
  <c r="O122" i="13"/>
  <c r="P122" i="13"/>
  <c r="Q122" i="13"/>
  <c r="R122" i="13"/>
  <c r="T122" i="13" s="1"/>
  <c r="S122" i="13"/>
  <c r="J123" i="13"/>
  <c r="K123" i="13"/>
  <c r="L123" i="13"/>
  <c r="M123" i="13"/>
  <c r="N123" i="13"/>
  <c r="O123" i="13"/>
  <c r="J124" i="13"/>
  <c r="K124" i="13"/>
  <c r="L124" i="13"/>
  <c r="M124" i="13"/>
  <c r="N124" i="13"/>
  <c r="O124" i="13"/>
  <c r="P124" i="13"/>
  <c r="Q124" i="13"/>
  <c r="R124" i="13"/>
  <c r="S124" i="13"/>
  <c r="T124" i="13" s="1"/>
  <c r="J125" i="13"/>
  <c r="K125" i="13"/>
  <c r="L125" i="13"/>
  <c r="M125" i="13"/>
  <c r="N125" i="13"/>
  <c r="O125" i="13"/>
  <c r="P125" i="13" s="1"/>
  <c r="R125" i="13" s="1"/>
  <c r="T125" i="13" s="1"/>
  <c r="Q125" i="13"/>
  <c r="S125" i="13"/>
  <c r="J126" i="13"/>
  <c r="K126" i="13"/>
  <c r="L126" i="13"/>
  <c r="M126" i="13"/>
  <c r="N126" i="13"/>
  <c r="O126" i="13"/>
  <c r="P126" i="13"/>
  <c r="Q126" i="13"/>
  <c r="R126" i="13"/>
  <c r="S126" i="13"/>
  <c r="T126" i="13" s="1"/>
  <c r="J127" i="13"/>
  <c r="K127" i="13"/>
  <c r="L127" i="13"/>
  <c r="M127" i="13"/>
  <c r="N127" i="13"/>
  <c r="O127" i="13"/>
  <c r="P127" i="13" s="1"/>
  <c r="R127" i="13" s="1"/>
  <c r="T127" i="13" s="1"/>
  <c r="Q127" i="13"/>
  <c r="S127" i="13"/>
  <c r="J128" i="13"/>
  <c r="K128" i="13"/>
  <c r="L128" i="13"/>
  <c r="M128" i="13"/>
  <c r="N128" i="13"/>
  <c r="O128" i="13"/>
  <c r="J129" i="13"/>
  <c r="K129" i="13"/>
  <c r="L129" i="13"/>
  <c r="M129" i="13"/>
  <c r="N129" i="13"/>
  <c r="O129" i="13"/>
  <c r="P129" i="13" s="1"/>
  <c r="R129" i="13" s="1"/>
  <c r="T129" i="13" s="1"/>
  <c r="Q129" i="13"/>
  <c r="S129" i="13"/>
  <c r="J130" i="13"/>
  <c r="K130" i="13"/>
  <c r="L130" i="13"/>
  <c r="M130" i="13"/>
  <c r="N130" i="13"/>
  <c r="O130" i="13"/>
  <c r="P130" i="13" s="1"/>
  <c r="R130" i="13" s="1"/>
  <c r="T130" i="13" s="1"/>
  <c r="Q130" i="13"/>
  <c r="S130" i="13"/>
  <c r="J131" i="13"/>
  <c r="K131" i="13"/>
  <c r="L131" i="13"/>
  <c r="M131" i="13"/>
  <c r="N131" i="13"/>
  <c r="O131" i="13"/>
  <c r="P131" i="13" s="1"/>
  <c r="R131" i="13" s="1"/>
  <c r="T131" i="13" s="1"/>
  <c r="Q131" i="13"/>
  <c r="S131" i="13"/>
  <c r="J132" i="13"/>
  <c r="K132" i="13"/>
  <c r="L132" i="13"/>
  <c r="M132" i="13"/>
  <c r="N132" i="13"/>
  <c r="O132" i="13"/>
  <c r="P132" i="13" s="1"/>
  <c r="R132" i="13" s="1"/>
  <c r="T132" i="13" s="1"/>
  <c r="Q132" i="13"/>
  <c r="S132" i="13"/>
  <c r="J133" i="13"/>
  <c r="K133" i="13"/>
  <c r="L133" i="13"/>
  <c r="M133" i="13"/>
  <c r="N133" i="13"/>
  <c r="O133" i="13"/>
  <c r="P133" i="13"/>
  <c r="Q133" i="13"/>
  <c r="R133" i="13"/>
  <c r="T133" i="13" s="1"/>
  <c r="S133" i="13"/>
  <c r="J134" i="13"/>
  <c r="K134" i="13"/>
  <c r="L134" i="13"/>
  <c r="M134" i="13"/>
  <c r="N134" i="13"/>
  <c r="O134" i="13"/>
  <c r="P134" i="13" s="1"/>
  <c r="R134" i="13" s="1"/>
  <c r="T134" i="13" s="1"/>
  <c r="Q134" i="13"/>
  <c r="S134" i="13"/>
  <c r="J135" i="13"/>
  <c r="K135" i="13"/>
  <c r="L135" i="13"/>
  <c r="M135" i="13"/>
  <c r="N135" i="13"/>
  <c r="O135" i="13"/>
  <c r="P135" i="13"/>
  <c r="R135" i="13" s="1"/>
  <c r="T135" i="13" s="1"/>
  <c r="Q135" i="13"/>
  <c r="S135" i="13"/>
  <c r="J136" i="13"/>
  <c r="K136" i="13"/>
  <c r="L136" i="13"/>
  <c r="M136" i="13"/>
  <c r="N136" i="13"/>
  <c r="O136" i="13"/>
  <c r="P136" i="13"/>
  <c r="Q136" i="13"/>
  <c r="R136" i="13"/>
  <c r="S136" i="13"/>
  <c r="T136" i="13" s="1"/>
  <c r="J137" i="13"/>
  <c r="K137" i="13"/>
  <c r="L137" i="13"/>
  <c r="M137" i="13"/>
  <c r="N137" i="13"/>
  <c r="O137" i="13"/>
  <c r="P137" i="13" s="1"/>
  <c r="R137" i="13" s="1"/>
  <c r="T137" i="13" s="1"/>
  <c r="Q137" i="13"/>
  <c r="S137" i="13"/>
  <c r="J138" i="13"/>
  <c r="K138" i="13"/>
  <c r="L138" i="13"/>
  <c r="M138" i="13"/>
  <c r="N138" i="13"/>
  <c r="O138" i="13"/>
  <c r="P138" i="13" s="1"/>
  <c r="R138" i="13" s="1"/>
  <c r="T138" i="13" s="1"/>
  <c r="Q138" i="13"/>
  <c r="S138" i="13"/>
  <c r="J139" i="13"/>
  <c r="K139" i="13"/>
  <c r="L139" i="13"/>
  <c r="M139" i="13"/>
  <c r="N139" i="13"/>
  <c r="O139" i="13"/>
  <c r="P139" i="13"/>
  <c r="Q139" i="13"/>
  <c r="R139" i="13"/>
  <c r="T139" i="13" s="1"/>
  <c r="S139" i="13"/>
  <c r="J140" i="13"/>
  <c r="K140" i="13"/>
  <c r="L140" i="13"/>
  <c r="M140" i="13"/>
  <c r="N140" i="13"/>
  <c r="O140" i="13"/>
  <c r="P140" i="13" s="1"/>
  <c r="R140" i="13" s="1"/>
  <c r="T140" i="13" s="1"/>
  <c r="Q140" i="13"/>
  <c r="S140" i="13"/>
  <c r="J141" i="13"/>
  <c r="K141" i="13"/>
  <c r="L141" i="13"/>
  <c r="M141" i="13"/>
  <c r="N141" i="13"/>
  <c r="O141" i="13"/>
  <c r="P141" i="13"/>
  <c r="Q141" i="13"/>
  <c r="R141" i="13"/>
  <c r="S141" i="13"/>
  <c r="T141" i="13" s="1"/>
  <c r="J142" i="13"/>
  <c r="K142" i="13"/>
  <c r="L142" i="13"/>
  <c r="M142" i="13"/>
  <c r="N142" i="13"/>
  <c r="O142" i="13"/>
  <c r="P142" i="13"/>
  <c r="Q142" i="13"/>
  <c r="R142" i="13"/>
  <c r="S142" i="13"/>
  <c r="T142" i="13" s="1"/>
  <c r="J143" i="13"/>
  <c r="K143" i="13"/>
  <c r="L143" i="13"/>
  <c r="M143" i="13"/>
  <c r="N143" i="13"/>
  <c r="O143" i="13"/>
  <c r="Q143" i="13" s="1"/>
  <c r="S143" i="13" s="1"/>
  <c r="P143" i="13"/>
  <c r="R143" i="13"/>
  <c r="J144" i="13"/>
  <c r="K144" i="13"/>
  <c r="L144" i="13"/>
  <c r="M144" i="13"/>
  <c r="N144" i="13"/>
  <c r="O144" i="13"/>
  <c r="P144" i="13" s="1"/>
  <c r="R144" i="13" s="1"/>
  <c r="T144" i="13" s="1"/>
  <c r="Q144" i="13"/>
  <c r="S144" i="13"/>
  <c r="J145" i="13"/>
  <c r="K145" i="13"/>
  <c r="L145" i="13"/>
  <c r="M145" i="13"/>
  <c r="N145" i="13"/>
  <c r="O145" i="13"/>
  <c r="P145" i="13"/>
  <c r="Q145" i="13"/>
  <c r="R145" i="13"/>
  <c r="S145" i="13"/>
  <c r="T145" i="13" s="1"/>
  <c r="J146" i="13"/>
  <c r="K146" i="13"/>
  <c r="L146" i="13"/>
  <c r="M146" i="13"/>
  <c r="N146" i="13"/>
  <c r="O146" i="13"/>
  <c r="P146" i="13" s="1"/>
  <c r="R146" i="13" s="1"/>
  <c r="T146" i="13" s="1"/>
  <c r="Q146" i="13"/>
  <c r="S146" i="13"/>
  <c r="J147" i="13"/>
  <c r="K147" i="13"/>
  <c r="L147" i="13"/>
  <c r="M147" i="13"/>
  <c r="N147" i="13"/>
  <c r="O147" i="13"/>
  <c r="P147" i="13"/>
  <c r="Q147" i="13"/>
  <c r="R147" i="13"/>
  <c r="S147" i="13"/>
  <c r="T147" i="13" s="1"/>
  <c r="J148" i="13"/>
  <c r="K148" i="13"/>
  <c r="L148" i="13"/>
  <c r="M148" i="13"/>
  <c r="N148" i="13"/>
  <c r="O148" i="13"/>
  <c r="P148" i="13"/>
  <c r="R148" i="13" s="1"/>
  <c r="T148" i="13" s="1"/>
  <c r="Q148" i="13"/>
  <c r="S148" i="13"/>
  <c r="J149" i="13"/>
  <c r="K149" i="13"/>
  <c r="L149" i="13"/>
  <c r="M149" i="13"/>
  <c r="N149" i="13"/>
  <c r="O149" i="13"/>
  <c r="P149" i="13"/>
  <c r="Q149" i="13"/>
  <c r="R149" i="13"/>
  <c r="S149" i="13"/>
  <c r="T149" i="13" s="1"/>
  <c r="J150" i="13"/>
  <c r="K150" i="13"/>
  <c r="L150" i="13"/>
  <c r="M150" i="13"/>
  <c r="N150" i="13"/>
  <c r="O150" i="13"/>
  <c r="P150" i="13"/>
  <c r="Q150" i="13"/>
  <c r="R150" i="13"/>
  <c r="S150" i="13"/>
  <c r="T150" i="13" s="1"/>
  <c r="J151" i="13"/>
  <c r="K151" i="13"/>
  <c r="L151" i="13"/>
  <c r="M151" i="13"/>
  <c r="N151" i="13"/>
  <c r="O151" i="13"/>
  <c r="P151" i="13" s="1"/>
  <c r="R151" i="13" s="1"/>
  <c r="T151" i="13" s="1"/>
  <c r="Q151" i="13"/>
  <c r="S151" i="13"/>
  <c r="J152" i="13"/>
  <c r="K152" i="13"/>
  <c r="L152" i="13"/>
  <c r="M152" i="13"/>
  <c r="N152" i="13"/>
  <c r="O152" i="13"/>
  <c r="P152" i="13"/>
  <c r="R152" i="13" s="1"/>
  <c r="T152" i="13" s="1"/>
  <c r="Q152" i="13"/>
  <c r="S152" i="13"/>
  <c r="J153" i="13"/>
  <c r="K153" i="13"/>
  <c r="L153" i="13"/>
  <c r="M153" i="13"/>
  <c r="N153" i="13"/>
  <c r="O153" i="13"/>
  <c r="P153" i="13"/>
  <c r="R153" i="13" s="1"/>
  <c r="T153" i="13" s="1"/>
  <c r="Q153" i="13"/>
  <c r="S153" i="13"/>
  <c r="J154" i="13"/>
  <c r="K154" i="13"/>
  <c r="L154" i="13"/>
  <c r="M154" i="13"/>
  <c r="O154" i="13"/>
  <c r="Q154" i="13"/>
  <c r="J155" i="13"/>
  <c r="K155" i="13"/>
  <c r="L155" i="13"/>
  <c r="M155" i="13"/>
  <c r="N155" i="13"/>
  <c r="O155" i="13"/>
  <c r="P155" i="13"/>
  <c r="Q155" i="13"/>
  <c r="R155" i="13"/>
  <c r="S155" i="13"/>
  <c r="T155" i="13"/>
  <c r="J156" i="13"/>
  <c r="K156" i="13"/>
  <c r="L156" i="13"/>
  <c r="M156" i="13"/>
  <c r="N156" i="13"/>
  <c r="O156" i="13"/>
  <c r="P156" i="13"/>
  <c r="Q156" i="13"/>
  <c r="R156" i="13"/>
  <c r="S156" i="13"/>
  <c r="T156" i="13" s="1"/>
  <c r="J157" i="13"/>
  <c r="K157" i="13"/>
  <c r="L157" i="13"/>
  <c r="M157" i="13"/>
  <c r="N157" i="13"/>
  <c r="O157" i="13"/>
  <c r="P157" i="13"/>
  <c r="Q157" i="13"/>
  <c r="R157" i="13"/>
  <c r="S157" i="13"/>
  <c r="T157" i="13" s="1"/>
  <c r="J158" i="13"/>
  <c r="K158" i="13"/>
  <c r="L158" i="13"/>
  <c r="M158" i="13"/>
  <c r="N158" i="13"/>
  <c r="O158" i="13"/>
  <c r="P158" i="13" s="1"/>
  <c r="R158" i="13" s="1"/>
  <c r="T158" i="13" s="1"/>
  <c r="Q158" i="13"/>
  <c r="S158" i="13"/>
  <c r="J159" i="13"/>
  <c r="K159" i="13"/>
  <c r="L159" i="13"/>
  <c r="M159" i="13"/>
  <c r="N159" i="13"/>
  <c r="O159" i="13"/>
  <c r="J160" i="13"/>
  <c r="K160" i="13"/>
  <c r="L160" i="13"/>
  <c r="M160" i="13"/>
  <c r="N160" i="13"/>
  <c r="O160" i="13"/>
  <c r="P160" i="13"/>
  <c r="Q160" i="13"/>
  <c r="R160" i="13"/>
  <c r="S160" i="13"/>
  <c r="T160" i="13"/>
  <c r="J161" i="13"/>
  <c r="K161" i="13"/>
  <c r="L161" i="13"/>
  <c r="M161" i="13"/>
  <c r="N161" i="13"/>
  <c r="O161" i="13"/>
  <c r="P161" i="13"/>
  <c r="Q161" i="13"/>
  <c r="R161" i="13"/>
  <c r="T161" i="13" s="1"/>
  <c r="S161" i="13"/>
  <c r="J162" i="13"/>
  <c r="K162" i="13"/>
  <c r="L162" i="13"/>
  <c r="M162" i="13"/>
  <c r="N162" i="13"/>
  <c r="O162" i="13"/>
  <c r="P162" i="13"/>
  <c r="Q162" i="13"/>
  <c r="R162" i="13"/>
  <c r="T162" i="13" s="1"/>
  <c r="S162" i="13"/>
  <c r="J163" i="13"/>
  <c r="K163" i="13"/>
  <c r="L163" i="13"/>
  <c r="M163" i="13"/>
  <c r="N163" i="13"/>
  <c r="O163" i="13"/>
  <c r="P163" i="13" s="1"/>
  <c r="R163" i="13" s="1"/>
  <c r="T163" i="13" s="1"/>
  <c r="Q163" i="13"/>
  <c r="S163" i="13"/>
  <c r="J164" i="13"/>
  <c r="K164" i="13"/>
  <c r="L164" i="13"/>
  <c r="M164" i="13"/>
  <c r="N164" i="13"/>
  <c r="O164" i="13"/>
  <c r="J165" i="13"/>
  <c r="K165" i="13"/>
  <c r="L165" i="13"/>
  <c r="M165" i="13"/>
  <c r="N165" i="13"/>
  <c r="O165" i="13"/>
  <c r="P165" i="13" s="1"/>
  <c r="R165" i="13" s="1"/>
  <c r="T165" i="13" s="1"/>
  <c r="Q165" i="13"/>
  <c r="S165" i="13"/>
  <c r="J166" i="13"/>
  <c r="K166" i="13"/>
  <c r="L166" i="13"/>
  <c r="M166" i="13"/>
  <c r="N166" i="13"/>
  <c r="O166" i="13"/>
  <c r="P166" i="13"/>
  <c r="Q166" i="13"/>
  <c r="R166" i="13"/>
  <c r="S166" i="13"/>
  <c r="T166" i="13" s="1"/>
  <c r="J167" i="13"/>
  <c r="K167" i="13"/>
  <c r="L167" i="13"/>
  <c r="M167" i="13"/>
  <c r="N167" i="13"/>
  <c r="O167" i="13"/>
  <c r="P167" i="13" s="1"/>
  <c r="R167" i="13" s="1"/>
  <c r="T167" i="13" s="1"/>
  <c r="Q167" i="13"/>
  <c r="S167" i="13"/>
  <c r="J168" i="13"/>
  <c r="K168" i="13"/>
  <c r="L168" i="13"/>
  <c r="M168" i="13"/>
  <c r="N168" i="13"/>
  <c r="O168" i="13"/>
  <c r="P168" i="13"/>
  <c r="Q168" i="13"/>
  <c r="R168" i="13"/>
  <c r="S168" i="13"/>
  <c r="T168" i="13" s="1"/>
  <c r="J169" i="13"/>
  <c r="K169" i="13"/>
  <c r="L169" i="13"/>
  <c r="M169" i="13"/>
  <c r="N169" i="13"/>
  <c r="O169" i="13"/>
  <c r="P169" i="13" s="1"/>
  <c r="R169" i="13" s="1"/>
  <c r="T169" i="13" s="1"/>
  <c r="Q169" i="13"/>
  <c r="S169" i="13"/>
  <c r="J170" i="13"/>
  <c r="K170" i="13"/>
  <c r="L170" i="13"/>
  <c r="M170" i="13"/>
  <c r="N170" i="13"/>
  <c r="O170" i="13"/>
  <c r="P170" i="13" s="1"/>
  <c r="R170" i="13" s="1"/>
  <c r="T170" i="13" s="1"/>
  <c r="Q170" i="13"/>
  <c r="S170" i="13"/>
  <c r="J171" i="13"/>
  <c r="K171" i="13"/>
  <c r="L171" i="13"/>
  <c r="M171" i="13"/>
  <c r="N171" i="13"/>
  <c r="O171" i="13"/>
  <c r="P171" i="13"/>
  <c r="Q171" i="13"/>
  <c r="R171" i="13"/>
  <c r="T171" i="13" s="1"/>
  <c r="S171" i="13"/>
  <c r="J172" i="13"/>
  <c r="K172" i="13"/>
  <c r="L172" i="13"/>
  <c r="M172" i="13"/>
  <c r="N172" i="13"/>
  <c r="O172" i="13"/>
  <c r="P172" i="13"/>
  <c r="Q172" i="13"/>
  <c r="R172" i="13"/>
  <c r="T172" i="13" s="1"/>
  <c r="S172" i="13"/>
  <c r="J173" i="13"/>
  <c r="K173" i="13"/>
  <c r="L173" i="13"/>
  <c r="M173" i="13"/>
  <c r="O173" i="13"/>
  <c r="P173" i="13"/>
  <c r="R173" i="13"/>
  <c r="J174" i="13"/>
  <c r="K174" i="13"/>
  <c r="L174" i="13"/>
  <c r="M174" i="13"/>
  <c r="N174" i="13"/>
  <c r="O174" i="13"/>
  <c r="P174" i="13"/>
  <c r="Q174" i="13"/>
  <c r="R174" i="13"/>
  <c r="S174" i="13"/>
  <c r="T174" i="13" s="1"/>
  <c r="J175" i="13"/>
  <c r="K175" i="13"/>
  <c r="L175" i="13"/>
  <c r="M175" i="13"/>
  <c r="N175" i="13"/>
  <c r="O175" i="13"/>
  <c r="P175" i="13" s="1"/>
  <c r="R175" i="13" s="1"/>
  <c r="T175" i="13" s="1"/>
  <c r="Q175" i="13"/>
  <c r="S175" i="13" s="1"/>
  <c r="J176" i="13"/>
  <c r="K176" i="13"/>
  <c r="L176" i="13"/>
  <c r="M176" i="13"/>
  <c r="N176" i="13"/>
  <c r="O176" i="13"/>
  <c r="J177" i="13"/>
  <c r="K177" i="13"/>
  <c r="L177" i="13"/>
  <c r="M177" i="13"/>
  <c r="N177" i="13"/>
  <c r="O177" i="13"/>
  <c r="P177" i="13" s="1"/>
  <c r="R177" i="13" s="1"/>
  <c r="T177" i="13" s="1"/>
  <c r="Q177" i="13"/>
  <c r="S177" i="13"/>
  <c r="J178" i="13"/>
  <c r="K178" i="13"/>
  <c r="L178" i="13"/>
  <c r="M178" i="13"/>
  <c r="N178" i="13"/>
  <c r="O178" i="13"/>
  <c r="P178" i="13"/>
  <c r="Q178" i="13"/>
  <c r="R178" i="13"/>
  <c r="S178" i="13"/>
  <c r="T178" i="13" s="1"/>
  <c r="J179" i="13"/>
  <c r="K179" i="13"/>
  <c r="L179" i="13"/>
  <c r="M179" i="13"/>
  <c r="N179" i="13"/>
  <c r="O179" i="13"/>
  <c r="P179" i="13" s="1"/>
  <c r="R179" i="13" s="1"/>
  <c r="T179" i="13" s="1"/>
  <c r="Q179" i="13"/>
  <c r="S179" i="13"/>
  <c r="J180" i="13"/>
  <c r="K180" i="13"/>
  <c r="L180" i="13"/>
  <c r="M180" i="13"/>
  <c r="N180" i="13"/>
  <c r="O180" i="13"/>
  <c r="P180" i="13"/>
  <c r="R180" i="13" s="1"/>
  <c r="T180" i="13" s="1"/>
  <c r="Q180" i="13"/>
  <c r="S180" i="13"/>
  <c r="J181" i="13"/>
  <c r="K181" i="13"/>
  <c r="L181" i="13"/>
  <c r="M181" i="13"/>
  <c r="N181" i="13"/>
  <c r="O181" i="13"/>
  <c r="P181" i="13"/>
  <c r="Q181" i="13"/>
  <c r="R181" i="13"/>
  <c r="S181" i="13"/>
  <c r="T181" i="13" s="1"/>
  <c r="J182" i="13"/>
  <c r="K182" i="13"/>
  <c r="L182" i="13"/>
  <c r="M182" i="13"/>
  <c r="N182" i="13"/>
  <c r="O182" i="13"/>
  <c r="P182" i="13" s="1"/>
  <c r="R182" i="13" s="1"/>
  <c r="T182" i="13" s="1"/>
  <c r="Q182" i="13"/>
  <c r="S182" i="13"/>
  <c r="J183" i="13"/>
  <c r="K183" i="13"/>
  <c r="L183" i="13"/>
  <c r="M183" i="13"/>
  <c r="N183" i="13"/>
  <c r="O183" i="13"/>
  <c r="P183" i="13" s="1"/>
  <c r="R183" i="13" s="1"/>
  <c r="T183" i="13" s="1"/>
  <c r="Q183" i="13"/>
  <c r="S183" i="13"/>
  <c r="J184" i="13"/>
  <c r="K184" i="13"/>
  <c r="L184" i="13"/>
  <c r="M184" i="13"/>
  <c r="N184" i="13"/>
  <c r="O184" i="13"/>
  <c r="P184" i="13" s="1"/>
  <c r="R184" i="13" s="1"/>
  <c r="T184" i="13" s="1"/>
  <c r="Q184" i="13"/>
  <c r="S184" i="13"/>
  <c r="J185" i="13"/>
  <c r="K185" i="13"/>
  <c r="L185" i="13"/>
  <c r="M185" i="13"/>
  <c r="N185" i="13"/>
  <c r="O185" i="13"/>
  <c r="P185" i="13"/>
  <c r="Q185" i="13"/>
  <c r="R185" i="13"/>
  <c r="S185" i="13"/>
  <c r="T185" i="13" s="1"/>
  <c r="J186" i="13"/>
  <c r="K186" i="13"/>
  <c r="L186" i="13"/>
  <c r="M186" i="13"/>
  <c r="N186" i="13"/>
  <c r="O186" i="13"/>
  <c r="P186" i="13"/>
  <c r="Q186" i="13"/>
  <c r="R186" i="13"/>
  <c r="S186" i="13"/>
  <c r="T186" i="13"/>
  <c r="J187" i="13"/>
  <c r="K187" i="13"/>
  <c r="L187" i="13"/>
  <c r="M187" i="13"/>
  <c r="N187" i="13"/>
  <c r="O187" i="13"/>
  <c r="P187" i="13"/>
  <c r="Q187" i="13"/>
  <c r="R187" i="13"/>
  <c r="S187" i="13"/>
  <c r="T187" i="13" s="1"/>
  <c r="J188" i="13"/>
  <c r="K188" i="13"/>
  <c r="L188" i="13"/>
  <c r="M188" i="13"/>
  <c r="N188" i="13"/>
  <c r="O188" i="13"/>
  <c r="P188" i="13" s="1"/>
  <c r="R188" i="13" s="1"/>
  <c r="T188" i="13" s="1"/>
  <c r="Q188" i="13"/>
  <c r="S188" i="13"/>
  <c r="J189" i="13"/>
  <c r="K189" i="13"/>
  <c r="L189" i="13"/>
  <c r="M189" i="13"/>
  <c r="N189" i="13"/>
  <c r="O189" i="13"/>
  <c r="P189" i="13"/>
  <c r="Q189" i="13"/>
  <c r="R189" i="13"/>
  <c r="T189" i="13" s="1"/>
  <c r="S189" i="13"/>
  <c r="J190" i="13"/>
  <c r="K190" i="13"/>
  <c r="L190" i="13"/>
  <c r="M190" i="13"/>
  <c r="N190" i="13"/>
  <c r="O190" i="13"/>
  <c r="P190" i="13" s="1"/>
  <c r="R190" i="13" s="1"/>
  <c r="T190" i="13" s="1"/>
  <c r="Q190" i="13"/>
  <c r="S190" i="13"/>
  <c r="J191" i="13"/>
  <c r="K191" i="13"/>
  <c r="L191" i="13"/>
  <c r="M191" i="13"/>
  <c r="N191" i="13"/>
  <c r="O191" i="13"/>
  <c r="J192" i="13"/>
  <c r="K192" i="13"/>
  <c r="L192" i="13"/>
  <c r="M192" i="13"/>
  <c r="N192" i="13"/>
  <c r="O192" i="13"/>
  <c r="P192" i="13" s="1"/>
  <c r="R192" i="13" s="1"/>
  <c r="T192" i="13" s="1"/>
  <c r="Q192" i="13"/>
  <c r="S192" i="13"/>
  <c r="J193" i="13"/>
  <c r="K193" i="13"/>
  <c r="L193" i="13"/>
  <c r="M193" i="13"/>
  <c r="N193" i="13"/>
  <c r="O193" i="13"/>
  <c r="P193" i="13"/>
  <c r="Q193" i="13"/>
  <c r="R193" i="13"/>
  <c r="T193" i="13" s="1"/>
  <c r="S193" i="13"/>
  <c r="J194" i="13"/>
  <c r="K194" i="13"/>
  <c r="L194" i="13"/>
  <c r="M194" i="13"/>
  <c r="N194" i="13"/>
  <c r="O194" i="13"/>
  <c r="P194" i="13" s="1"/>
  <c r="R194" i="13" s="1"/>
  <c r="T194" i="13" s="1"/>
  <c r="Q194" i="13"/>
  <c r="S194" i="13"/>
  <c r="J195" i="13"/>
  <c r="K195" i="13"/>
  <c r="L195" i="13"/>
  <c r="M195" i="13"/>
  <c r="O195" i="13"/>
  <c r="P195" i="13"/>
  <c r="R195" i="13"/>
  <c r="J196" i="13"/>
  <c r="K196" i="13"/>
  <c r="L196" i="13"/>
  <c r="M196" i="13"/>
  <c r="N196" i="13"/>
  <c r="O196" i="13"/>
  <c r="P196" i="13"/>
  <c r="Q196" i="13"/>
  <c r="R196" i="13"/>
  <c r="S196" i="13"/>
  <c r="T196" i="13" s="1"/>
  <c r="J197" i="13"/>
  <c r="K197" i="13"/>
  <c r="L197" i="13"/>
  <c r="M197" i="13"/>
  <c r="N197" i="13"/>
  <c r="O197" i="13"/>
  <c r="P197" i="13"/>
  <c r="Q197" i="13"/>
  <c r="R197" i="13"/>
  <c r="S197" i="13"/>
  <c r="T197" i="13" s="1"/>
  <c r="J198" i="13"/>
  <c r="K198" i="13"/>
  <c r="L198" i="13"/>
  <c r="M198" i="13"/>
  <c r="N198" i="13"/>
  <c r="O198" i="13"/>
  <c r="P198" i="13" s="1"/>
  <c r="R198" i="13" s="1"/>
  <c r="T198" i="13" s="1"/>
  <c r="Q198" i="13"/>
  <c r="S198" i="13"/>
  <c r="J199" i="13"/>
  <c r="K199" i="13"/>
  <c r="L199" i="13"/>
  <c r="M199" i="13"/>
  <c r="N199" i="13"/>
  <c r="O199" i="13"/>
  <c r="P199" i="13"/>
  <c r="Q199" i="13"/>
  <c r="R199" i="13"/>
  <c r="S199" i="13"/>
  <c r="T199" i="13" s="1"/>
  <c r="J200" i="13"/>
  <c r="K200" i="13"/>
  <c r="L200" i="13"/>
  <c r="M200" i="13"/>
  <c r="N200" i="13"/>
  <c r="O200" i="13"/>
  <c r="P200" i="13" s="1"/>
  <c r="R200" i="13" s="1"/>
  <c r="T200" i="13" s="1"/>
  <c r="Q200" i="13"/>
  <c r="S200" i="13"/>
  <c r="J201" i="13"/>
  <c r="K201" i="13"/>
  <c r="L201" i="13"/>
  <c r="M201" i="13"/>
  <c r="N201" i="13"/>
  <c r="O201" i="13"/>
  <c r="P201" i="13"/>
  <c r="Q201" i="13"/>
  <c r="R201" i="13"/>
  <c r="T201" i="13" s="1"/>
  <c r="S201" i="13"/>
  <c r="J202" i="13"/>
  <c r="K202" i="13"/>
  <c r="L202" i="13"/>
  <c r="M202" i="13"/>
  <c r="N202" i="13"/>
  <c r="O202" i="13"/>
  <c r="P202" i="13"/>
  <c r="Q202" i="13"/>
  <c r="R202" i="13"/>
  <c r="T202" i="13" s="1"/>
  <c r="S202" i="13"/>
  <c r="J203" i="13"/>
  <c r="K203" i="13"/>
  <c r="L203" i="13"/>
  <c r="M203" i="13"/>
  <c r="N203" i="13"/>
  <c r="O203" i="13"/>
  <c r="P203" i="13"/>
  <c r="Q203" i="13"/>
  <c r="R203" i="13"/>
  <c r="S203" i="13"/>
  <c r="T203" i="13" s="1"/>
  <c r="J204" i="13"/>
  <c r="K204" i="13"/>
  <c r="L204" i="13"/>
  <c r="M204" i="13"/>
  <c r="N204" i="13"/>
  <c r="O204" i="13"/>
  <c r="P204" i="13"/>
  <c r="Q204" i="13"/>
  <c r="R204" i="13"/>
  <c r="S204" i="13"/>
  <c r="T204" i="13" s="1"/>
  <c r="J205" i="13"/>
  <c r="K205" i="13"/>
  <c r="L205" i="13"/>
  <c r="M205" i="13"/>
  <c r="N205" i="13"/>
  <c r="O205" i="13"/>
  <c r="P205" i="13"/>
  <c r="Q205" i="13"/>
  <c r="R205" i="13"/>
  <c r="T205" i="13" s="1"/>
  <c r="S205" i="13"/>
  <c r="J206" i="13"/>
  <c r="K206" i="13"/>
  <c r="L206" i="13"/>
  <c r="M206" i="13"/>
  <c r="N206" i="13"/>
  <c r="O206" i="13"/>
  <c r="P206" i="13" s="1"/>
  <c r="R206" i="13" s="1"/>
  <c r="T206" i="13" s="1"/>
  <c r="Q206" i="13"/>
  <c r="S206" i="13"/>
  <c r="J207" i="13"/>
  <c r="K207" i="13"/>
  <c r="L207" i="13"/>
  <c r="M207" i="13"/>
  <c r="N207" i="13"/>
  <c r="O207" i="13"/>
  <c r="P207" i="13" s="1"/>
  <c r="R207" i="13" s="1"/>
  <c r="T207" i="13" s="1"/>
  <c r="Q207" i="13"/>
  <c r="S207" i="13"/>
  <c r="J208" i="13"/>
  <c r="K208" i="13"/>
  <c r="L208" i="13"/>
  <c r="M208" i="13"/>
  <c r="N208" i="13"/>
  <c r="O208" i="13"/>
  <c r="J209" i="13"/>
  <c r="K209" i="13"/>
  <c r="L209" i="13"/>
  <c r="M209" i="13"/>
  <c r="N209" i="13"/>
  <c r="O209" i="13"/>
  <c r="P209" i="13" s="1"/>
  <c r="R209" i="13" s="1"/>
  <c r="T209" i="13" s="1"/>
  <c r="Q209" i="13"/>
  <c r="S209" i="13"/>
  <c r="J210" i="13"/>
  <c r="K210" i="13"/>
  <c r="L210" i="13"/>
  <c r="M210" i="13"/>
  <c r="N210" i="13"/>
  <c r="O210" i="13"/>
  <c r="P210" i="13" s="1"/>
  <c r="R210" i="13" s="1"/>
  <c r="T210" i="13" s="1"/>
  <c r="Q210" i="13"/>
  <c r="S210" i="13"/>
  <c r="J211" i="13"/>
  <c r="K211" i="13"/>
  <c r="L211" i="13"/>
  <c r="M211" i="13"/>
  <c r="N211" i="13"/>
  <c r="O211" i="13"/>
  <c r="P211" i="13" s="1"/>
  <c r="R211" i="13" s="1"/>
  <c r="T211" i="13" s="1"/>
  <c r="Q211" i="13"/>
  <c r="S211" i="13"/>
  <c r="J212" i="13"/>
  <c r="K212" i="13"/>
  <c r="L212" i="13"/>
  <c r="M212" i="13"/>
  <c r="N212" i="13"/>
  <c r="O212" i="13"/>
  <c r="J213" i="13"/>
  <c r="K213" i="13"/>
  <c r="L213" i="13"/>
  <c r="M213" i="13"/>
  <c r="N213" i="13"/>
  <c r="O213" i="13"/>
  <c r="P213" i="13"/>
  <c r="Q213" i="13"/>
  <c r="R213" i="13"/>
  <c r="S213" i="13"/>
  <c r="T213" i="13" s="1"/>
  <c r="J214" i="13"/>
  <c r="K214" i="13"/>
  <c r="L214" i="13"/>
  <c r="M214" i="13"/>
  <c r="N214" i="13"/>
  <c r="O214" i="13"/>
  <c r="J215" i="13"/>
  <c r="K215" i="13"/>
  <c r="L215" i="13"/>
  <c r="M215" i="13"/>
  <c r="N215" i="13"/>
  <c r="O215" i="13"/>
  <c r="P215" i="13" s="1"/>
  <c r="R215" i="13" s="1"/>
  <c r="T215" i="13" s="1"/>
  <c r="Q215" i="13"/>
  <c r="S215" i="13"/>
  <c r="J216" i="13"/>
  <c r="K216" i="13"/>
  <c r="L216" i="13"/>
  <c r="M216" i="13"/>
  <c r="N216" i="13"/>
  <c r="O216" i="13"/>
  <c r="P216" i="13" s="1"/>
  <c r="R216" i="13" s="1"/>
  <c r="T216" i="13" s="1"/>
  <c r="Q216" i="13"/>
  <c r="S216" i="13"/>
  <c r="J217" i="13"/>
  <c r="K217" i="13"/>
  <c r="L217" i="13"/>
  <c r="M217" i="13"/>
  <c r="N217" i="13"/>
  <c r="O217" i="13"/>
  <c r="P217" i="13" s="1"/>
  <c r="R217" i="13" s="1"/>
  <c r="T217" i="13" s="1"/>
  <c r="Q217" i="13"/>
  <c r="S217" i="13"/>
  <c r="J218" i="13"/>
  <c r="K218" i="13"/>
  <c r="L218" i="13"/>
  <c r="M218" i="13"/>
  <c r="N218" i="13"/>
  <c r="O218" i="13"/>
  <c r="P218" i="13" s="1"/>
  <c r="R218" i="13" s="1"/>
  <c r="T218" i="13" s="1"/>
  <c r="Q218" i="13"/>
  <c r="S218" i="13"/>
  <c r="J219" i="13"/>
  <c r="K219" i="13"/>
  <c r="L219" i="13"/>
  <c r="M219" i="13"/>
  <c r="N219" i="13"/>
  <c r="O219" i="13"/>
  <c r="P219" i="13"/>
  <c r="Q219" i="13"/>
  <c r="R219" i="13"/>
  <c r="T219" i="13" s="1"/>
  <c r="S219" i="13"/>
  <c r="J220" i="13"/>
  <c r="K220" i="13"/>
  <c r="L220" i="13"/>
  <c r="M220" i="13"/>
  <c r="N220" i="13"/>
  <c r="O220" i="13"/>
  <c r="J221" i="13"/>
  <c r="K221" i="13"/>
  <c r="L221" i="13"/>
  <c r="M221" i="13"/>
  <c r="N221" i="13"/>
  <c r="O221" i="13"/>
  <c r="P221" i="13"/>
  <c r="Q221" i="13"/>
  <c r="R221" i="13"/>
  <c r="T221" i="13" s="1"/>
  <c r="S221" i="13"/>
  <c r="J222" i="13"/>
  <c r="K222" i="13"/>
  <c r="L222" i="13"/>
  <c r="M222" i="13"/>
  <c r="N222" i="13"/>
  <c r="O222" i="13"/>
  <c r="P222" i="13"/>
  <c r="Q222" i="13"/>
  <c r="R222" i="13"/>
  <c r="T222" i="13" s="1"/>
  <c r="S222" i="13"/>
  <c r="J223" i="13"/>
  <c r="K223" i="13"/>
  <c r="L223" i="13"/>
  <c r="M223" i="13"/>
  <c r="N223" i="13"/>
  <c r="O223" i="13"/>
  <c r="P223" i="13" s="1"/>
  <c r="R223" i="13" s="1"/>
  <c r="T223" i="13" s="1"/>
  <c r="Q223" i="13"/>
  <c r="S223" i="13"/>
  <c r="J224" i="13"/>
  <c r="K224" i="13"/>
  <c r="L224" i="13"/>
  <c r="M224" i="13"/>
  <c r="N224" i="13"/>
  <c r="O224" i="13"/>
  <c r="P224" i="13"/>
  <c r="Q224" i="13"/>
  <c r="R224" i="13"/>
  <c r="T224" i="13" s="1"/>
  <c r="S224" i="13"/>
  <c r="J225" i="13"/>
  <c r="K225" i="13"/>
  <c r="L225" i="13"/>
  <c r="M225" i="13"/>
  <c r="N225" i="13"/>
  <c r="O225" i="13"/>
  <c r="P225" i="13" s="1"/>
  <c r="R225" i="13" s="1"/>
  <c r="T225" i="13" s="1"/>
  <c r="Q225" i="13"/>
  <c r="S225" i="13"/>
  <c r="J226" i="13"/>
  <c r="K226" i="13"/>
  <c r="L226" i="13"/>
  <c r="M226" i="13"/>
  <c r="N226" i="13"/>
  <c r="O226" i="13"/>
  <c r="P226" i="13"/>
  <c r="Q226" i="13"/>
  <c r="R226" i="13"/>
  <c r="S226" i="13"/>
  <c r="T226" i="13"/>
  <c r="J227" i="13"/>
  <c r="K227" i="13"/>
  <c r="L227" i="13"/>
  <c r="M227" i="13"/>
  <c r="N227" i="13"/>
  <c r="O227" i="13"/>
  <c r="P227" i="13"/>
  <c r="Q227" i="13"/>
  <c r="R227" i="13"/>
  <c r="S227" i="13"/>
  <c r="T227" i="13"/>
  <c r="J228" i="13"/>
  <c r="K228" i="13"/>
  <c r="L228" i="13"/>
  <c r="M228" i="13"/>
  <c r="N228" i="13"/>
  <c r="O228" i="13"/>
  <c r="P228" i="13"/>
  <c r="Q228" i="13"/>
  <c r="R228" i="13"/>
  <c r="S228" i="13"/>
  <c r="T228" i="13"/>
  <c r="J229" i="13"/>
  <c r="K229" i="13"/>
  <c r="L229" i="13"/>
  <c r="M229" i="13"/>
  <c r="N229" i="13"/>
  <c r="O229" i="13"/>
  <c r="P229" i="13"/>
  <c r="Q229" i="13"/>
  <c r="R229" i="13"/>
  <c r="S229" i="13"/>
  <c r="T229" i="13"/>
  <c r="J230" i="13"/>
  <c r="K230" i="13"/>
  <c r="L230" i="13"/>
  <c r="M230" i="13"/>
  <c r="N230" i="13"/>
  <c r="O230" i="13"/>
  <c r="P230" i="13"/>
  <c r="Q230" i="13"/>
  <c r="R230" i="13"/>
  <c r="S230" i="13"/>
  <c r="T230" i="13"/>
  <c r="J231" i="13"/>
  <c r="K231" i="13"/>
  <c r="L231" i="13"/>
  <c r="M231" i="13"/>
  <c r="N231" i="13"/>
  <c r="O231" i="13"/>
  <c r="P231" i="13"/>
  <c r="Q231" i="13"/>
  <c r="R231" i="13"/>
  <c r="S231" i="13"/>
  <c r="T231" i="13"/>
  <c r="J232" i="13"/>
  <c r="K232" i="13"/>
  <c r="L232" i="13"/>
  <c r="M232" i="13"/>
  <c r="N232" i="13"/>
  <c r="O232" i="13"/>
  <c r="P232" i="13"/>
  <c r="Q232" i="13"/>
  <c r="R232" i="13"/>
  <c r="S232" i="13"/>
  <c r="T232" i="13"/>
  <c r="J233" i="13"/>
  <c r="K233" i="13"/>
  <c r="L233" i="13"/>
  <c r="M233" i="13"/>
  <c r="N233" i="13"/>
  <c r="O233" i="13"/>
  <c r="P233" i="13"/>
  <c r="Q233" i="13"/>
  <c r="R233" i="13"/>
  <c r="S233" i="13"/>
  <c r="T233" i="13"/>
  <c r="J234" i="13"/>
  <c r="K234" i="13"/>
  <c r="L234" i="13"/>
  <c r="M234" i="13"/>
  <c r="N234" i="13"/>
  <c r="O234" i="13"/>
  <c r="P234" i="13"/>
  <c r="Q234" i="13"/>
  <c r="R234" i="13"/>
  <c r="S234" i="13"/>
  <c r="T234" i="13"/>
  <c r="J235" i="13"/>
  <c r="K235" i="13"/>
  <c r="L235" i="13"/>
  <c r="M235" i="13"/>
  <c r="N235" i="13"/>
  <c r="O235" i="13"/>
  <c r="P235" i="13"/>
  <c r="Q235" i="13"/>
  <c r="R235" i="13"/>
  <c r="S235" i="13"/>
  <c r="T235" i="13"/>
  <c r="J236" i="13"/>
  <c r="K236" i="13"/>
  <c r="L236" i="13"/>
  <c r="M236" i="13"/>
  <c r="N236" i="13"/>
  <c r="O236" i="13"/>
  <c r="P236" i="13"/>
  <c r="Q236" i="13"/>
  <c r="R236" i="13"/>
  <c r="S236" i="13"/>
  <c r="T236" i="13"/>
  <c r="J237" i="13"/>
  <c r="K237" i="13"/>
  <c r="L237" i="13"/>
  <c r="M237" i="13"/>
  <c r="N237" i="13"/>
  <c r="O237" i="13"/>
  <c r="P237" i="13"/>
  <c r="Q237" i="13"/>
  <c r="R237" i="13"/>
  <c r="S237" i="13"/>
  <c r="T237" i="13"/>
  <c r="J238" i="13"/>
  <c r="K238" i="13"/>
  <c r="L238" i="13"/>
  <c r="M238" i="13"/>
  <c r="N238" i="13"/>
  <c r="O238" i="13"/>
  <c r="P238" i="13"/>
  <c r="Q238" i="13"/>
  <c r="R238" i="13"/>
  <c r="S238" i="13"/>
  <c r="T238" i="13"/>
  <c r="J239" i="13"/>
  <c r="K239" i="13"/>
  <c r="L239" i="13"/>
  <c r="M239" i="13"/>
  <c r="N239" i="13"/>
  <c r="O239" i="13"/>
  <c r="P239" i="13"/>
  <c r="Q239" i="13"/>
  <c r="R239" i="13"/>
  <c r="S239" i="13"/>
  <c r="T239" i="13"/>
  <c r="J240" i="13"/>
  <c r="K240" i="13"/>
  <c r="L240" i="13"/>
  <c r="M240" i="13"/>
  <c r="N240" i="13"/>
  <c r="O240" i="13"/>
  <c r="P240" i="13"/>
  <c r="Q240" i="13"/>
  <c r="R240" i="13"/>
  <c r="S240" i="13"/>
  <c r="T240" i="13"/>
  <c r="J241" i="13"/>
  <c r="K241" i="13"/>
  <c r="L241" i="13"/>
  <c r="M241" i="13"/>
  <c r="N241" i="13"/>
  <c r="O241" i="13"/>
  <c r="P241" i="13"/>
  <c r="Q241" i="13"/>
  <c r="R241" i="13"/>
  <c r="S241" i="13"/>
  <c r="T241" i="13"/>
  <c r="J242" i="13"/>
  <c r="K242" i="13"/>
  <c r="L242" i="13"/>
  <c r="M242" i="13"/>
  <c r="N242" i="13"/>
  <c r="O242" i="13"/>
  <c r="P242" i="13"/>
  <c r="Q242" i="13"/>
  <c r="R242" i="13"/>
  <c r="S242" i="13"/>
  <c r="T242" i="13"/>
  <c r="J243" i="13"/>
  <c r="K243" i="13"/>
  <c r="L243" i="13"/>
  <c r="M243" i="13"/>
  <c r="N243" i="13"/>
  <c r="O243" i="13"/>
  <c r="P243" i="13"/>
  <c r="Q243" i="13"/>
  <c r="R243" i="13"/>
  <c r="S243" i="13"/>
  <c r="T243" i="13"/>
  <c r="J244" i="13"/>
  <c r="K244" i="13"/>
  <c r="L244" i="13"/>
  <c r="M244" i="13"/>
  <c r="N244" i="13"/>
  <c r="O244" i="13"/>
  <c r="P244" i="13"/>
  <c r="Q244" i="13"/>
  <c r="R244" i="13"/>
  <c r="S244" i="13"/>
  <c r="T244" i="13"/>
  <c r="J245" i="13"/>
  <c r="K245" i="13"/>
  <c r="L245" i="13"/>
  <c r="M245" i="13"/>
  <c r="N245" i="13"/>
  <c r="O245" i="13"/>
  <c r="P245" i="13"/>
  <c r="Q245" i="13"/>
  <c r="R245" i="13"/>
  <c r="S245" i="13"/>
  <c r="T245" i="13"/>
  <c r="J246" i="13"/>
  <c r="K246" i="13"/>
  <c r="L246" i="13"/>
  <c r="M246" i="13"/>
  <c r="N246" i="13"/>
  <c r="O246" i="13"/>
  <c r="P246" i="13"/>
  <c r="Q246" i="13"/>
  <c r="R246" i="13"/>
  <c r="S246" i="13"/>
  <c r="T246" i="13"/>
  <c r="J247" i="13"/>
  <c r="K247" i="13"/>
  <c r="L247" i="13"/>
  <c r="M247" i="13"/>
  <c r="N247" i="13"/>
  <c r="O247" i="13"/>
  <c r="P247" i="13"/>
  <c r="Q247" i="13"/>
  <c r="R247" i="13"/>
  <c r="S247" i="13"/>
  <c r="T247" i="13"/>
  <c r="J248" i="13"/>
  <c r="K248" i="13"/>
  <c r="L248" i="13"/>
  <c r="M248" i="13"/>
  <c r="N248" i="13"/>
  <c r="O248" i="13"/>
  <c r="P248" i="13"/>
  <c r="Q248" i="13"/>
  <c r="R248" i="13"/>
  <c r="S248" i="13"/>
  <c r="T248" i="13"/>
  <c r="J249" i="13"/>
  <c r="K249" i="13"/>
  <c r="L249" i="13"/>
  <c r="M249" i="13"/>
  <c r="N249" i="13"/>
  <c r="O249" i="13"/>
  <c r="P249" i="13"/>
  <c r="Q249" i="13"/>
  <c r="R249" i="13"/>
  <c r="S249" i="13"/>
  <c r="T249" i="13"/>
  <c r="J250" i="13"/>
  <c r="K250" i="13"/>
  <c r="L250" i="13"/>
  <c r="M250" i="13"/>
  <c r="N250" i="13"/>
  <c r="O250" i="13"/>
  <c r="P250" i="13"/>
  <c r="Q250" i="13"/>
  <c r="R250" i="13"/>
  <c r="S250" i="13"/>
  <c r="T250" i="13"/>
  <c r="J251" i="13"/>
  <c r="K251" i="13"/>
  <c r="L251" i="13"/>
  <c r="M251" i="13"/>
  <c r="N251" i="13"/>
  <c r="O251" i="13"/>
  <c r="P251" i="13"/>
  <c r="Q251" i="13"/>
  <c r="R251" i="13"/>
  <c r="S251" i="13"/>
  <c r="T251" i="13"/>
  <c r="J252" i="13"/>
  <c r="K252" i="13"/>
  <c r="L252" i="13"/>
  <c r="M252" i="13"/>
  <c r="N252" i="13"/>
  <c r="O252" i="13"/>
  <c r="P252" i="13"/>
  <c r="Q252" i="13"/>
  <c r="R252" i="13"/>
  <c r="S252" i="13"/>
  <c r="T252" i="13"/>
  <c r="J253" i="13"/>
  <c r="K253" i="13"/>
  <c r="L253" i="13"/>
  <c r="M253" i="13"/>
  <c r="N253" i="13"/>
  <c r="O253" i="13"/>
  <c r="P253" i="13"/>
  <c r="Q253" i="13"/>
  <c r="R253" i="13"/>
  <c r="S253" i="13"/>
  <c r="T253" i="13"/>
  <c r="J254" i="13"/>
  <c r="K254" i="13"/>
  <c r="L254" i="13"/>
  <c r="M254" i="13"/>
  <c r="N254" i="13"/>
  <c r="O254" i="13"/>
  <c r="P254" i="13"/>
  <c r="Q254" i="13"/>
  <c r="R254" i="13"/>
  <c r="S254" i="13"/>
  <c r="T254" i="13"/>
  <c r="J255" i="13"/>
  <c r="K255" i="13"/>
  <c r="L255" i="13"/>
  <c r="M255" i="13"/>
  <c r="N255" i="13"/>
  <c r="O255" i="13"/>
  <c r="P255" i="13"/>
  <c r="Q255" i="13"/>
  <c r="R255" i="13"/>
  <c r="S255" i="13"/>
  <c r="T255" i="13"/>
  <c r="J256" i="13"/>
  <c r="K256" i="13"/>
  <c r="L256" i="13"/>
  <c r="M256" i="13"/>
  <c r="N256" i="13"/>
  <c r="O256" i="13"/>
  <c r="P256" i="13"/>
  <c r="Q256" i="13"/>
  <c r="R256" i="13"/>
  <c r="S256" i="13"/>
  <c r="T256" i="13"/>
  <c r="J257" i="13"/>
  <c r="K257" i="13"/>
  <c r="L257" i="13"/>
  <c r="M257" i="13"/>
  <c r="N257" i="13"/>
  <c r="O257" i="13"/>
  <c r="P257" i="13"/>
  <c r="Q257" i="13"/>
  <c r="R257" i="13"/>
  <c r="S257" i="13"/>
  <c r="T257" i="13"/>
  <c r="J258" i="13"/>
  <c r="K258" i="13"/>
  <c r="L258" i="13"/>
  <c r="M258" i="13"/>
  <c r="N258" i="13"/>
  <c r="O258" i="13"/>
  <c r="P258" i="13"/>
  <c r="Q258" i="13"/>
  <c r="R258" i="13"/>
  <c r="S258" i="13"/>
  <c r="T258" i="13"/>
  <c r="J259" i="13"/>
  <c r="K259" i="13"/>
  <c r="L259" i="13"/>
  <c r="M259" i="13"/>
  <c r="N259" i="13"/>
  <c r="O259" i="13"/>
  <c r="P259" i="13"/>
  <c r="Q259" i="13"/>
  <c r="R259" i="13"/>
  <c r="S259" i="13"/>
  <c r="T259" i="13"/>
  <c r="J260" i="13"/>
  <c r="K260" i="13"/>
  <c r="L260" i="13"/>
  <c r="M260" i="13"/>
  <c r="N260" i="13"/>
  <c r="O260" i="13"/>
  <c r="P260" i="13"/>
  <c r="Q260" i="13"/>
  <c r="R260" i="13"/>
  <c r="S260" i="13"/>
  <c r="T260" i="13"/>
  <c r="J261" i="13"/>
  <c r="K261" i="13"/>
  <c r="L261" i="13"/>
  <c r="M261" i="13"/>
  <c r="N261" i="13"/>
  <c r="O261" i="13"/>
  <c r="P261" i="13"/>
  <c r="Q261" i="13"/>
  <c r="R261" i="13"/>
  <c r="S261" i="13"/>
  <c r="T261" i="13"/>
  <c r="J262" i="13"/>
  <c r="K262" i="13"/>
  <c r="L262" i="13"/>
  <c r="M262" i="13"/>
  <c r="N262" i="13"/>
  <c r="O262" i="13"/>
  <c r="P262" i="13"/>
  <c r="Q262" i="13"/>
  <c r="R262" i="13"/>
  <c r="S262" i="13"/>
  <c r="T262" i="13"/>
  <c r="J263" i="13"/>
  <c r="K263" i="13"/>
  <c r="L263" i="13"/>
  <c r="M263" i="13"/>
  <c r="N263" i="13"/>
  <c r="O263" i="13"/>
  <c r="P263" i="13"/>
  <c r="Q263" i="13"/>
  <c r="R263" i="13"/>
  <c r="S263" i="13"/>
  <c r="T263" i="13"/>
  <c r="J264" i="13"/>
  <c r="K264" i="13"/>
  <c r="L264" i="13"/>
  <c r="M264" i="13"/>
  <c r="N264" i="13"/>
  <c r="O264" i="13"/>
  <c r="P264" i="13"/>
  <c r="Q264" i="13"/>
  <c r="R264" i="13"/>
  <c r="S264" i="13"/>
  <c r="T264" i="13"/>
  <c r="J265" i="13"/>
  <c r="K265" i="13"/>
  <c r="L265" i="13"/>
  <c r="M265" i="13"/>
  <c r="N265" i="13"/>
  <c r="O265" i="13"/>
  <c r="P265" i="13"/>
  <c r="Q265" i="13"/>
  <c r="R265" i="13"/>
  <c r="S265" i="13"/>
  <c r="T265" i="13"/>
  <c r="J266" i="13"/>
  <c r="K266" i="13"/>
  <c r="L266" i="13"/>
  <c r="M266" i="13"/>
  <c r="N266" i="13"/>
  <c r="O266" i="13"/>
  <c r="P266" i="13"/>
  <c r="Q266" i="13"/>
  <c r="R266" i="13"/>
  <c r="S266" i="13"/>
  <c r="T266" i="13"/>
  <c r="J267" i="13"/>
  <c r="K267" i="13"/>
  <c r="L267" i="13"/>
  <c r="M267" i="13"/>
  <c r="N267" i="13"/>
  <c r="O267" i="13"/>
  <c r="P267" i="13"/>
  <c r="Q267" i="13"/>
  <c r="R267" i="13"/>
  <c r="S267" i="13"/>
  <c r="T267" i="13"/>
  <c r="J268" i="13"/>
  <c r="K268" i="13"/>
  <c r="L268" i="13"/>
  <c r="M268" i="13"/>
  <c r="N268" i="13"/>
  <c r="O268" i="13"/>
  <c r="P268" i="13"/>
  <c r="Q268" i="13"/>
  <c r="R268" i="13"/>
  <c r="S268" i="13"/>
  <c r="T268" i="13"/>
  <c r="J269" i="13"/>
  <c r="K269" i="13"/>
  <c r="L269" i="13"/>
  <c r="M269" i="13"/>
  <c r="N269" i="13"/>
  <c r="O269" i="13"/>
  <c r="P269" i="13"/>
  <c r="Q269" i="13"/>
  <c r="R269" i="13"/>
  <c r="S269" i="13"/>
  <c r="T269" i="13"/>
  <c r="J270" i="13"/>
  <c r="K270" i="13"/>
  <c r="L270" i="13"/>
  <c r="M270" i="13"/>
  <c r="N270" i="13"/>
  <c r="O270" i="13"/>
  <c r="P270" i="13"/>
  <c r="Q270" i="13"/>
  <c r="R270" i="13"/>
  <c r="S270" i="13"/>
  <c r="T270" i="13"/>
  <c r="J271" i="13"/>
  <c r="K271" i="13"/>
  <c r="L271" i="13"/>
  <c r="M271" i="13"/>
  <c r="N271" i="13"/>
  <c r="O271" i="13"/>
  <c r="P271" i="13"/>
  <c r="Q271" i="13"/>
  <c r="R271" i="13"/>
  <c r="S271" i="13"/>
  <c r="T271" i="13"/>
  <c r="J272" i="13"/>
  <c r="K272" i="13"/>
  <c r="L272" i="13"/>
  <c r="M272" i="13"/>
  <c r="N272" i="13"/>
  <c r="O272" i="13"/>
  <c r="P272" i="13"/>
  <c r="Q272" i="13"/>
  <c r="R272" i="13"/>
  <c r="S272" i="13"/>
  <c r="T272" i="13"/>
  <c r="J273" i="13"/>
  <c r="K273" i="13"/>
  <c r="L273" i="13"/>
  <c r="M273" i="13"/>
  <c r="N273" i="13"/>
  <c r="O273" i="13"/>
  <c r="P273" i="13"/>
  <c r="Q273" i="13"/>
  <c r="R273" i="13"/>
  <c r="S273" i="13"/>
  <c r="T273" i="13"/>
  <c r="J274" i="13"/>
  <c r="K274" i="13"/>
  <c r="L274" i="13"/>
  <c r="M274" i="13"/>
  <c r="N274" i="13"/>
  <c r="O274" i="13"/>
  <c r="P274" i="13"/>
  <c r="Q274" i="13"/>
  <c r="R274" i="13"/>
  <c r="S274" i="13"/>
  <c r="T274" i="13"/>
  <c r="J275" i="13"/>
  <c r="K275" i="13"/>
  <c r="L275" i="13"/>
  <c r="M275" i="13"/>
  <c r="N275" i="13"/>
  <c r="O275" i="13"/>
  <c r="P275" i="13"/>
  <c r="Q275" i="13"/>
  <c r="R275" i="13"/>
  <c r="S275" i="13"/>
  <c r="T275" i="13"/>
  <c r="J276" i="13"/>
  <c r="K276" i="13"/>
  <c r="L276" i="13"/>
  <c r="M276" i="13"/>
  <c r="N276" i="13"/>
  <c r="O276" i="13"/>
  <c r="P276" i="13"/>
  <c r="Q276" i="13"/>
  <c r="R276" i="13"/>
  <c r="S276" i="13"/>
  <c r="T276" i="13"/>
  <c r="J277" i="13"/>
  <c r="K277" i="13"/>
  <c r="L277" i="13"/>
  <c r="M277" i="13"/>
  <c r="N277" i="13"/>
  <c r="O277" i="13"/>
  <c r="P277" i="13"/>
  <c r="Q277" i="13"/>
  <c r="R277" i="13"/>
  <c r="S277" i="13"/>
  <c r="T277" i="13"/>
  <c r="J278" i="13"/>
  <c r="K278" i="13"/>
  <c r="L278" i="13"/>
  <c r="M278" i="13"/>
  <c r="N278" i="13"/>
  <c r="O278" i="13"/>
  <c r="P278" i="13"/>
  <c r="Q278" i="13"/>
  <c r="R278" i="13"/>
  <c r="S278" i="13"/>
  <c r="T278" i="13"/>
  <c r="J279" i="13"/>
  <c r="K279" i="13"/>
  <c r="L279" i="13"/>
  <c r="M279" i="13"/>
  <c r="N279" i="13"/>
  <c r="O279" i="13"/>
  <c r="P279" i="13"/>
  <c r="Q279" i="13"/>
  <c r="R279" i="13"/>
  <c r="S279" i="13"/>
  <c r="T279" i="13"/>
  <c r="J280" i="13"/>
  <c r="K280" i="13"/>
  <c r="L280" i="13"/>
  <c r="M280" i="13"/>
  <c r="N280" i="13"/>
  <c r="O280" i="13"/>
  <c r="P280" i="13"/>
  <c r="Q280" i="13"/>
  <c r="R280" i="13"/>
  <c r="S280" i="13"/>
  <c r="T280" i="13"/>
  <c r="J281" i="13"/>
  <c r="K281" i="13"/>
  <c r="L281" i="13"/>
  <c r="M281" i="13"/>
  <c r="N281" i="13"/>
  <c r="O281" i="13"/>
  <c r="P281" i="13"/>
  <c r="Q281" i="13"/>
  <c r="R281" i="13"/>
  <c r="S281" i="13"/>
  <c r="T281" i="13"/>
  <c r="J282" i="13"/>
  <c r="K282" i="13"/>
  <c r="L282" i="13"/>
  <c r="M282" i="13"/>
  <c r="N282" i="13"/>
  <c r="O282" i="13"/>
  <c r="P282" i="13"/>
  <c r="Q282" i="13"/>
  <c r="R282" i="13"/>
  <c r="S282" i="13"/>
  <c r="T282" i="13"/>
  <c r="J283" i="13"/>
  <c r="K283" i="13"/>
  <c r="L283" i="13"/>
  <c r="M283" i="13"/>
  <c r="N283" i="13"/>
  <c r="O283" i="13"/>
  <c r="P283" i="13"/>
  <c r="Q283" i="13"/>
  <c r="R283" i="13"/>
  <c r="S283" i="13"/>
  <c r="T283" i="13"/>
  <c r="J284" i="13"/>
  <c r="K284" i="13"/>
  <c r="L284" i="13"/>
  <c r="M284" i="13"/>
  <c r="N284" i="13"/>
  <c r="O284" i="13"/>
  <c r="P284" i="13"/>
  <c r="Q284" i="13"/>
  <c r="R284" i="13"/>
  <c r="S284" i="13"/>
  <c r="T284" i="13"/>
  <c r="J285" i="13"/>
  <c r="K285" i="13"/>
  <c r="L285" i="13"/>
  <c r="M285" i="13"/>
  <c r="N285" i="13"/>
  <c r="O285" i="13"/>
  <c r="P285" i="13"/>
  <c r="Q285" i="13"/>
  <c r="R285" i="13"/>
  <c r="S285" i="13"/>
  <c r="T285" i="13"/>
  <c r="J286" i="13"/>
  <c r="K286" i="13"/>
  <c r="L286" i="13"/>
  <c r="M286" i="13"/>
  <c r="N286" i="13"/>
  <c r="O286" i="13"/>
  <c r="P286" i="13"/>
  <c r="Q286" i="13"/>
  <c r="R286" i="13"/>
  <c r="S286" i="13"/>
  <c r="T286" i="13"/>
  <c r="J287" i="13"/>
  <c r="K287" i="13"/>
  <c r="L287" i="13"/>
  <c r="M287" i="13"/>
  <c r="N287" i="13"/>
  <c r="O287" i="13"/>
  <c r="P287" i="13"/>
  <c r="Q287" i="13"/>
  <c r="R287" i="13"/>
  <c r="S287" i="13"/>
  <c r="T287" i="13"/>
  <c r="J288" i="13"/>
  <c r="K288" i="13"/>
  <c r="L288" i="13"/>
  <c r="M288" i="13"/>
  <c r="N288" i="13"/>
  <c r="O288" i="13"/>
  <c r="P288" i="13"/>
  <c r="Q288" i="13"/>
  <c r="R288" i="13"/>
  <c r="S288" i="13"/>
  <c r="T288" i="13"/>
  <c r="J289" i="13"/>
  <c r="K289" i="13"/>
  <c r="L289" i="13"/>
  <c r="M289" i="13"/>
  <c r="N289" i="13"/>
  <c r="O289" i="13"/>
  <c r="P289" i="13"/>
  <c r="Q289" i="13"/>
  <c r="R289" i="13"/>
  <c r="S289" i="13"/>
  <c r="T289" i="13"/>
  <c r="J290" i="13"/>
  <c r="K290" i="13"/>
  <c r="L290" i="13"/>
  <c r="M290" i="13"/>
  <c r="N290" i="13"/>
  <c r="O290" i="13"/>
  <c r="P290" i="13"/>
  <c r="Q290" i="13"/>
  <c r="R290" i="13"/>
  <c r="S290" i="13"/>
  <c r="T290" i="13"/>
  <c r="J291" i="13"/>
  <c r="K291" i="13"/>
  <c r="L291" i="13"/>
  <c r="M291" i="13"/>
  <c r="N291" i="13"/>
  <c r="O291" i="13"/>
  <c r="P291" i="13"/>
  <c r="Q291" i="13"/>
  <c r="R291" i="13"/>
  <c r="S291" i="13"/>
  <c r="T291" i="13"/>
  <c r="J292" i="13"/>
  <c r="K292" i="13"/>
  <c r="L292" i="13"/>
  <c r="M292" i="13"/>
  <c r="N292" i="13"/>
  <c r="O292" i="13"/>
  <c r="P292" i="13"/>
  <c r="Q292" i="13"/>
  <c r="R292" i="13"/>
  <c r="S292" i="13"/>
  <c r="T292" i="13"/>
  <c r="J293" i="13"/>
  <c r="K293" i="13"/>
  <c r="L293" i="13"/>
  <c r="M293" i="13"/>
  <c r="N293" i="13"/>
  <c r="O293" i="13"/>
  <c r="P293" i="13"/>
  <c r="Q293" i="13"/>
  <c r="R293" i="13"/>
  <c r="S293" i="13"/>
  <c r="T293" i="13"/>
  <c r="J294" i="13"/>
  <c r="K294" i="13"/>
  <c r="L294" i="13"/>
  <c r="M294" i="13"/>
  <c r="N294" i="13"/>
  <c r="O294" i="13"/>
  <c r="P294" i="13"/>
  <c r="Q294" i="13"/>
  <c r="R294" i="13"/>
  <c r="S294" i="13"/>
  <c r="T294" i="13"/>
  <c r="J295" i="13"/>
  <c r="K295" i="13"/>
  <c r="L295" i="13"/>
  <c r="M295" i="13"/>
  <c r="N295" i="13"/>
  <c r="O295" i="13"/>
  <c r="P295" i="13"/>
  <c r="Q295" i="13"/>
  <c r="R295" i="13"/>
  <c r="S295" i="13"/>
  <c r="T295" i="13"/>
  <c r="J296" i="13"/>
  <c r="K296" i="13"/>
  <c r="L296" i="13"/>
  <c r="M296" i="13"/>
  <c r="N296" i="13"/>
  <c r="O296" i="13"/>
  <c r="P296" i="13"/>
  <c r="Q296" i="13"/>
  <c r="R296" i="13"/>
  <c r="S296" i="13"/>
  <c r="T296" i="13"/>
  <c r="J297" i="13"/>
  <c r="K297" i="13"/>
  <c r="L297" i="13"/>
  <c r="M297" i="13"/>
  <c r="N297" i="13"/>
  <c r="O297" i="13"/>
  <c r="P297" i="13"/>
  <c r="Q297" i="13"/>
  <c r="R297" i="13"/>
  <c r="S297" i="13"/>
  <c r="T297" i="13"/>
  <c r="J298" i="13"/>
  <c r="K298" i="13"/>
  <c r="L298" i="13"/>
  <c r="M298" i="13"/>
  <c r="N298" i="13"/>
  <c r="O298" i="13"/>
  <c r="P298" i="13"/>
  <c r="Q298" i="13"/>
  <c r="R298" i="13"/>
  <c r="S298" i="13"/>
  <c r="T298" i="13"/>
  <c r="J299" i="13"/>
  <c r="K299" i="13"/>
  <c r="L299" i="13"/>
  <c r="M299" i="13"/>
  <c r="N299" i="13"/>
  <c r="O299" i="13"/>
  <c r="P299" i="13"/>
  <c r="Q299" i="13"/>
  <c r="R299" i="13"/>
  <c r="S299" i="13"/>
  <c r="T299" i="13"/>
  <c r="J300" i="13"/>
  <c r="K300" i="13"/>
  <c r="L300" i="13"/>
  <c r="M300" i="13"/>
  <c r="N300" i="13"/>
  <c r="O300" i="13"/>
  <c r="P300" i="13"/>
  <c r="Q300" i="13"/>
  <c r="R300" i="13"/>
  <c r="S300" i="13"/>
  <c r="T300" i="13"/>
  <c r="J301" i="13"/>
  <c r="K301" i="13"/>
  <c r="L301" i="13"/>
  <c r="M301" i="13"/>
  <c r="N301" i="13"/>
  <c r="O301" i="13"/>
  <c r="P301" i="13"/>
  <c r="Q301" i="13"/>
  <c r="R301" i="13"/>
  <c r="S301" i="13"/>
  <c r="T301" i="13"/>
  <c r="J302" i="13"/>
  <c r="K302" i="13"/>
  <c r="L302" i="13"/>
  <c r="M302" i="13"/>
  <c r="N302" i="13"/>
  <c r="O302" i="13"/>
  <c r="P302" i="13"/>
  <c r="Q302" i="13"/>
  <c r="R302" i="13"/>
  <c r="S302" i="13"/>
  <c r="T302" i="13"/>
  <c r="J303" i="13"/>
  <c r="K303" i="13"/>
  <c r="L303" i="13"/>
  <c r="M303" i="13"/>
  <c r="N303" i="13"/>
  <c r="O303" i="13"/>
  <c r="P303" i="13"/>
  <c r="Q303" i="13"/>
  <c r="R303" i="13"/>
  <c r="S303" i="13"/>
  <c r="T303" i="13"/>
  <c r="J304" i="13"/>
  <c r="K304" i="13"/>
  <c r="L304" i="13"/>
  <c r="M304" i="13"/>
  <c r="N304" i="13"/>
  <c r="O304" i="13"/>
  <c r="P304" i="13"/>
  <c r="Q304" i="13"/>
  <c r="R304" i="13"/>
  <c r="S304" i="13"/>
  <c r="T304" i="13"/>
  <c r="J305" i="13"/>
  <c r="K305" i="13"/>
  <c r="L305" i="13"/>
  <c r="M305" i="13"/>
  <c r="N305" i="13"/>
  <c r="O305" i="13"/>
  <c r="P305" i="13"/>
  <c r="Q305" i="13"/>
  <c r="R305" i="13"/>
  <c r="S305" i="13"/>
  <c r="T305" i="13"/>
  <c r="J306" i="13"/>
  <c r="K306" i="13"/>
  <c r="L306" i="13"/>
  <c r="M306" i="13"/>
  <c r="N306" i="13"/>
  <c r="O306" i="13"/>
  <c r="P306" i="13"/>
  <c r="Q306" i="13"/>
  <c r="R306" i="13"/>
  <c r="S306" i="13"/>
  <c r="T306" i="13"/>
  <c r="J307" i="13"/>
  <c r="K307" i="13"/>
  <c r="L307" i="13"/>
  <c r="M307" i="13"/>
  <c r="N307" i="13"/>
  <c r="O307" i="13"/>
  <c r="P307" i="13"/>
  <c r="Q307" i="13"/>
  <c r="R307" i="13"/>
  <c r="S307" i="13"/>
  <c r="T307" i="13"/>
  <c r="J308" i="13"/>
  <c r="K308" i="13"/>
  <c r="L308" i="13"/>
  <c r="M308" i="13"/>
  <c r="N308" i="13"/>
  <c r="O308" i="13"/>
  <c r="P308" i="13"/>
  <c r="Q308" i="13"/>
  <c r="R308" i="13"/>
  <c r="S308" i="13"/>
  <c r="T308" i="13"/>
  <c r="J309" i="13"/>
  <c r="K309" i="13"/>
  <c r="L309" i="13"/>
  <c r="M309" i="13"/>
  <c r="N309" i="13"/>
  <c r="O309" i="13"/>
  <c r="P309" i="13"/>
  <c r="Q309" i="13"/>
  <c r="R309" i="13"/>
  <c r="S309" i="13"/>
  <c r="T309" i="13"/>
  <c r="J310" i="13"/>
  <c r="K310" i="13"/>
  <c r="L310" i="13"/>
  <c r="M310" i="13"/>
  <c r="N310" i="13"/>
  <c r="O310" i="13"/>
  <c r="P310" i="13"/>
  <c r="Q310" i="13"/>
  <c r="R310" i="13"/>
  <c r="S310" i="13"/>
  <c r="T310" i="13"/>
  <c r="J311" i="13"/>
  <c r="K311" i="13"/>
  <c r="L311" i="13"/>
  <c r="M311" i="13"/>
  <c r="N311" i="13"/>
  <c r="O311" i="13"/>
  <c r="P311" i="13"/>
  <c r="Q311" i="13"/>
  <c r="R311" i="13"/>
  <c r="S311" i="13"/>
  <c r="T311" i="13"/>
  <c r="J312" i="13"/>
  <c r="K312" i="13"/>
  <c r="L312" i="13"/>
  <c r="M312" i="13"/>
  <c r="N312" i="13"/>
  <c r="O312" i="13"/>
  <c r="P312" i="13"/>
  <c r="Q312" i="13"/>
  <c r="R312" i="13"/>
  <c r="S312" i="13"/>
  <c r="T312" i="13"/>
  <c r="J313" i="13"/>
  <c r="K313" i="13"/>
  <c r="L313" i="13"/>
  <c r="M313" i="13"/>
  <c r="N313" i="13"/>
  <c r="O313" i="13"/>
  <c r="P313" i="13"/>
  <c r="Q313" i="13"/>
  <c r="R313" i="13"/>
  <c r="S313" i="13"/>
  <c r="T313" i="13"/>
  <c r="J314" i="13"/>
  <c r="K314" i="13"/>
  <c r="L314" i="13"/>
  <c r="M314" i="13"/>
  <c r="N314" i="13"/>
  <c r="O314" i="13"/>
  <c r="P314" i="13"/>
  <c r="Q314" i="13"/>
  <c r="R314" i="13"/>
  <c r="S314" i="13"/>
  <c r="T314" i="13"/>
  <c r="J315" i="13"/>
  <c r="K315" i="13"/>
  <c r="L315" i="13"/>
  <c r="M315" i="13"/>
  <c r="N315" i="13"/>
  <c r="O315" i="13"/>
  <c r="P315" i="13"/>
  <c r="Q315" i="13"/>
  <c r="R315" i="13"/>
  <c r="S315" i="13"/>
  <c r="T315" i="13"/>
  <c r="J316" i="13"/>
  <c r="K316" i="13"/>
  <c r="L316" i="13"/>
  <c r="M316" i="13"/>
  <c r="N316" i="13"/>
  <c r="O316" i="13"/>
  <c r="P316" i="13"/>
  <c r="Q316" i="13"/>
  <c r="R316" i="13"/>
  <c r="S316" i="13"/>
  <c r="T316" i="13"/>
  <c r="J317" i="13"/>
  <c r="K317" i="13"/>
  <c r="L317" i="13"/>
  <c r="M317" i="13"/>
  <c r="N317" i="13"/>
  <c r="O317" i="13"/>
  <c r="P317" i="13"/>
  <c r="Q317" i="13"/>
  <c r="R317" i="13"/>
  <c r="S317" i="13"/>
  <c r="T317" i="13"/>
  <c r="J318" i="13"/>
  <c r="K318" i="13"/>
  <c r="L318" i="13"/>
  <c r="M318" i="13"/>
  <c r="N318" i="13"/>
  <c r="O318" i="13"/>
  <c r="P318" i="13"/>
  <c r="Q318" i="13"/>
  <c r="R318" i="13"/>
  <c r="S318" i="13"/>
  <c r="T318" i="13"/>
  <c r="J319" i="13"/>
  <c r="K319" i="13"/>
  <c r="L319" i="13"/>
  <c r="M319" i="13"/>
  <c r="N319" i="13"/>
  <c r="O319" i="13"/>
  <c r="P319" i="13"/>
  <c r="Q319" i="13"/>
  <c r="R319" i="13"/>
  <c r="S319" i="13"/>
  <c r="T319" i="13"/>
  <c r="J320" i="13"/>
  <c r="K320" i="13"/>
  <c r="L320" i="13"/>
  <c r="M320" i="13"/>
  <c r="N320" i="13"/>
  <c r="O320" i="13"/>
  <c r="P320" i="13"/>
  <c r="Q320" i="13"/>
  <c r="R320" i="13"/>
  <c r="S320" i="13"/>
  <c r="T320" i="13"/>
  <c r="J321" i="13"/>
  <c r="K321" i="13"/>
  <c r="L321" i="13"/>
  <c r="M321" i="13"/>
  <c r="N321" i="13"/>
  <c r="O321" i="13"/>
  <c r="P321" i="13"/>
  <c r="Q321" i="13"/>
  <c r="R321" i="13"/>
  <c r="S321" i="13"/>
  <c r="T321" i="13"/>
  <c r="J322" i="13"/>
  <c r="K322" i="13"/>
  <c r="L322" i="13"/>
  <c r="M322" i="13"/>
  <c r="N322" i="13"/>
  <c r="O322" i="13"/>
  <c r="P322" i="13"/>
  <c r="Q322" i="13"/>
  <c r="R322" i="13"/>
  <c r="S322" i="13"/>
  <c r="T322" i="13"/>
  <c r="J323" i="13"/>
  <c r="K323" i="13"/>
  <c r="L323" i="13"/>
  <c r="M323" i="13"/>
  <c r="N323" i="13"/>
  <c r="O323" i="13"/>
  <c r="P323" i="13"/>
  <c r="Q323" i="13"/>
  <c r="R323" i="13"/>
  <c r="S323" i="13"/>
  <c r="T323" i="13"/>
  <c r="J324" i="13"/>
  <c r="K324" i="13"/>
  <c r="L324" i="13"/>
  <c r="M324" i="13"/>
  <c r="N324" i="13"/>
  <c r="O324" i="13"/>
  <c r="P324" i="13"/>
  <c r="Q324" i="13"/>
  <c r="R324" i="13"/>
  <c r="S324" i="13"/>
  <c r="T324" i="13"/>
  <c r="J325" i="13"/>
  <c r="K325" i="13"/>
  <c r="L325" i="13"/>
  <c r="M325" i="13"/>
  <c r="N325" i="13"/>
  <c r="O325" i="13"/>
  <c r="P325" i="13"/>
  <c r="Q325" i="13"/>
  <c r="R325" i="13"/>
  <c r="S325" i="13"/>
  <c r="T325" i="13"/>
  <c r="J326" i="13"/>
  <c r="K326" i="13"/>
  <c r="L326" i="13"/>
  <c r="M326" i="13"/>
  <c r="N326" i="13"/>
  <c r="O326" i="13"/>
  <c r="P326" i="13"/>
  <c r="Q326" i="13"/>
  <c r="R326" i="13"/>
  <c r="S326" i="13"/>
  <c r="T326" i="13"/>
  <c r="J327" i="13"/>
  <c r="K327" i="13"/>
  <c r="L327" i="13"/>
  <c r="M327" i="13"/>
  <c r="N327" i="13"/>
  <c r="O327" i="13"/>
  <c r="P327" i="13"/>
  <c r="Q327" i="13"/>
  <c r="R327" i="13"/>
  <c r="S327" i="13"/>
  <c r="T327" i="13"/>
  <c r="J328" i="13"/>
  <c r="K328" i="13"/>
  <c r="L328" i="13"/>
  <c r="M328" i="13"/>
  <c r="N328" i="13"/>
  <c r="O328" i="13"/>
  <c r="P328" i="13"/>
  <c r="Q328" i="13"/>
  <c r="R328" i="13"/>
  <c r="S328" i="13"/>
  <c r="T328" i="13"/>
  <c r="J329" i="13"/>
  <c r="K329" i="13"/>
  <c r="L329" i="13"/>
  <c r="M329" i="13"/>
  <c r="N329" i="13"/>
  <c r="O329" i="13"/>
  <c r="P329" i="13"/>
  <c r="Q329" i="13"/>
  <c r="R329" i="13"/>
  <c r="S329" i="13"/>
  <c r="T329" i="13"/>
  <c r="J330" i="13"/>
  <c r="K330" i="13"/>
  <c r="L330" i="13"/>
  <c r="M330" i="13"/>
  <c r="N330" i="13"/>
  <c r="O330" i="13"/>
  <c r="P330" i="13"/>
  <c r="Q330" i="13"/>
  <c r="R330" i="13"/>
  <c r="S330" i="13"/>
  <c r="T330" i="13"/>
  <c r="J331" i="13"/>
  <c r="K331" i="13"/>
  <c r="L331" i="13"/>
  <c r="M331" i="13"/>
  <c r="N331" i="13"/>
  <c r="O331" i="13"/>
  <c r="P331" i="13"/>
  <c r="Q331" i="13"/>
  <c r="R331" i="13"/>
  <c r="S331" i="13"/>
  <c r="T331" i="13"/>
  <c r="J332" i="13"/>
  <c r="K332" i="13"/>
  <c r="L332" i="13"/>
  <c r="M332" i="13"/>
  <c r="N332" i="13"/>
  <c r="O332" i="13"/>
  <c r="P332" i="13"/>
  <c r="Q332" i="13"/>
  <c r="R332" i="13"/>
  <c r="S332" i="13"/>
  <c r="T332" i="13"/>
  <c r="J333" i="13"/>
  <c r="K333" i="13"/>
  <c r="L333" i="13"/>
  <c r="M333" i="13"/>
  <c r="N333" i="13"/>
  <c r="O333" i="13"/>
  <c r="P333" i="13"/>
  <c r="Q333" i="13"/>
  <c r="R333" i="13"/>
  <c r="S333" i="13"/>
  <c r="T333" i="13"/>
  <c r="J334" i="13"/>
  <c r="K334" i="13"/>
  <c r="L334" i="13"/>
  <c r="M334" i="13"/>
  <c r="N334" i="13"/>
  <c r="O334" i="13"/>
  <c r="P334" i="13"/>
  <c r="Q334" i="13"/>
  <c r="R334" i="13"/>
  <c r="S334" i="13"/>
  <c r="T334" i="13"/>
  <c r="J335" i="13"/>
  <c r="K335" i="13"/>
  <c r="L335" i="13"/>
  <c r="M335" i="13"/>
  <c r="N335" i="13"/>
  <c r="O335" i="13"/>
  <c r="P335" i="13"/>
  <c r="Q335" i="13"/>
  <c r="R335" i="13"/>
  <c r="S335" i="13"/>
  <c r="T335" i="13"/>
  <c r="J336" i="13"/>
  <c r="K336" i="13"/>
  <c r="L336" i="13"/>
  <c r="M336" i="13"/>
  <c r="N336" i="13"/>
  <c r="O336" i="13"/>
  <c r="P336" i="13"/>
  <c r="Q336" i="13"/>
  <c r="R336" i="13"/>
  <c r="S336" i="13"/>
  <c r="T336" i="13"/>
  <c r="J337" i="13"/>
  <c r="K337" i="13"/>
  <c r="L337" i="13"/>
  <c r="M337" i="13"/>
  <c r="N337" i="13"/>
  <c r="O337" i="13"/>
  <c r="P337" i="13"/>
  <c r="Q337" i="13"/>
  <c r="R337" i="13"/>
  <c r="S337" i="13"/>
  <c r="T337" i="13"/>
  <c r="J338" i="13"/>
  <c r="K338" i="13"/>
  <c r="L338" i="13"/>
  <c r="M338" i="13"/>
  <c r="N338" i="13"/>
  <c r="O338" i="13"/>
  <c r="P338" i="13"/>
  <c r="Q338" i="13"/>
  <c r="R338" i="13"/>
  <c r="S338" i="13"/>
  <c r="T338" i="13"/>
  <c r="J339" i="13"/>
  <c r="K339" i="13"/>
  <c r="L339" i="13"/>
  <c r="M339" i="13"/>
  <c r="N339" i="13"/>
  <c r="O339" i="13"/>
  <c r="P339" i="13"/>
  <c r="Q339" i="13"/>
  <c r="R339" i="13"/>
  <c r="S339" i="13"/>
  <c r="T339" i="13"/>
  <c r="J340" i="13"/>
  <c r="K340" i="13"/>
  <c r="L340" i="13"/>
  <c r="M340" i="13"/>
  <c r="N340" i="13"/>
  <c r="O340" i="13"/>
  <c r="P340" i="13"/>
  <c r="Q340" i="13"/>
  <c r="R340" i="13"/>
  <c r="S340" i="13"/>
  <c r="T340" i="13"/>
  <c r="J341" i="13"/>
  <c r="K341" i="13"/>
  <c r="L341" i="13"/>
  <c r="M341" i="13"/>
  <c r="N341" i="13"/>
  <c r="O341" i="13"/>
  <c r="P341" i="13"/>
  <c r="Q341" i="13"/>
  <c r="R341" i="13"/>
  <c r="S341" i="13"/>
  <c r="T341" i="13"/>
  <c r="J342" i="13"/>
  <c r="K342" i="13"/>
  <c r="L342" i="13"/>
  <c r="M342" i="13"/>
  <c r="N342" i="13"/>
  <c r="O342" i="13"/>
  <c r="P342" i="13"/>
  <c r="Q342" i="13"/>
  <c r="R342" i="13"/>
  <c r="S342" i="13"/>
  <c r="T342" i="13"/>
  <c r="J343" i="13"/>
  <c r="K343" i="13"/>
  <c r="L343" i="13"/>
  <c r="M343" i="13"/>
  <c r="N343" i="13"/>
  <c r="O343" i="13"/>
  <c r="P343" i="13"/>
  <c r="Q343" i="13"/>
  <c r="R343" i="13"/>
  <c r="S343" i="13"/>
  <c r="T343" i="13"/>
  <c r="J344" i="13"/>
  <c r="K344" i="13"/>
  <c r="L344" i="13"/>
  <c r="M344" i="13"/>
  <c r="N344" i="13"/>
  <c r="O344" i="13"/>
  <c r="P344" i="13"/>
  <c r="Q344" i="13"/>
  <c r="R344" i="13"/>
  <c r="S344" i="13"/>
  <c r="T344" i="13"/>
  <c r="J345" i="13"/>
  <c r="K345" i="13"/>
  <c r="L345" i="13"/>
  <c r="M345" i="13"/>
  <c r="N345" i="13"/>
  <c r="O345" i="13"/>
  <c r="P345" i="13"/>
  <c r="Q345" i="13"/>
  <c r="R345" i="13"/>
  <c r="S345" i="13"/>
  <c r="T345" i="13"/>
  <c r="J346" i="13"/>
  <c r="K346" i="13"/>
  <c r="L346" i="13"/>
  <c r="M346" i="13"/>
  <c r="N346" i="13"/>
  <c r="O346" i="13"/>
  <c r="P346" i="13"/>
  <c r="Q346" i="13"/>
  <c r="R346" i="13"/>
  <c r="S346" i="13"/>
  <c r="T346" i="13"/>
  <c r="J347" i="13"/>
  <c r="K347" i="13"/>
  <c r="L347" i="13"/>
  <c r="M347" i="13"/>
  <c r="N347" i="13"/>
  <c r="O347" i="13"/>
  <c r="P347" i="13"/>
  <c r="Q347" i="13"/>
  <c r="R347" i="13"/>
  <c r="S347" i="13"/>
  <c r="T347" i="13"/>
  <c r="J348" i="13"/>
  <c r="K348" i="13"/>
  <c r="L348" i="13"/>
  <c r="M348" i="13"/>
  <c r="N348" i="13"/>
  <c r="O348" i="13"/>
  <c r="P348" i="13"/>
  <c r="Q348" i="13"/>
  <c r="R348" i="13"/>
  <c r="S348" i="13"/>
  <c r="T348" i="13"/>
  <c r="J349" i="13"/>
  <c r="K349" i="13"/>
  <c r="L349" i="13"/>
  <c r="M349" i="13"/>
  <c r="N349" i="13"/>
  <c r="O349" i="13"/>
  <c r="P349" i="13"/>
  <c r="Q349" i="13"/>
  <c r="R349" i="13"/>
  <c r="S349" i="13"/>
  <c r="T349" i="13"/>
  <c r="J350" i="13"/>
  <c r="K350" i="13"/>
  <c r="L350" i="13"/>
  <c r="M350" i="13"/>
  <c r="N350" i="13"/>
  <c r="O350" i="13"/>
  <c r="P350" i="13"/>
  <c r="Q350" i="13"/>
  <c r="R350" i="13"/>
  <c r="S350" i="13"/>
  <c r="T350" i="13"/>
  <c r="J351" i="13"/>
  <c r="K351" i="13"/>
  <c r="L351" i="13"/>
  <c r="M351" i="13"/>
  <c r="N351" i="13"/>
  <c r="O351" i="13"/>
  <c r="P351" i="13"/>
  <c r="Q351" i="13"/>
  <c r="R351" i="13"/>
  <c r="S351" i="13"/>
  <c r="T351" i="13"/>
  <c r="J352" i="13"/>
  <c r="K352" i="13"/>
  <c r="L352" i="13"/>
  <c r="M352" i="13"/>
  <c r="N352" i="13"/>
  <c r="O352" i="13"/>
  <c r="P352" i="13"/>
  <c r="Q352" i="13"/>
  <c r="R352" i="13"/>
  <c r="S352" i="13"/>
  <c r="T352" i="13"/>
  <c r="J353" i="13"/>
  <c r="K353" i="13"/>
  <c r="L353" i="13"/>
  <c r="M353" i="13"/>
  <c r="N353" i="13"/>
  <c r="O353" i="13"/>
  <c r="P353" i="13"/>
  <c r="Q353" i="13"/>
  <c r="R353" i="13"/>
  <c r="S353" i="13"/>
  <c r="T353" i="13"/>
  <c r="J354" i="13"/>
  <c r="K354" i="13"/>
  <c r="L354" i="13"/>
  <c r="M354" i="13"/>
  <c r="N354" i="13"/>
  <c r="O354" i="13"/>
  <c r="P354" i="13"/>
  <c r="Q354" i="13"/>
  <c r="R354" i="13"/>
  <c r="S354" i="13"/>
  <c r="T354" i="13"/>
  <c r="J355" i="13"/>
  <c r="K355" i="13"/>
  <c r="L355" i="13"/>
  <c r="M355" i="13"/>
  <c r="N355" i="13"/>
  <c r="O355" i="13"/>
  <c r="P355" i="13"/>
  <c r="Q355" i="13"/>
  <c r="R355" i="13"/>
  <c r="S355" i="13"/>
  <c r="T355" i="13"/>
  <c r="J356" i="13"/>
  <c r="K356" i="13"/>
  <c r="L356" i="13"/>
  <c r="M356" i="13"/>
  <c r="N356" i="13"/>
  <c r="O356" i="13"/>
  <c r="P356" i="13"/>
  <c r="Q356" i="13"/>
  <c r="R356" i="13"/>
  <c r="S356" i="13"/>
  <c r="T356" i="13"/>
  <c r="J357" i="13"/>
  <c r="K357" i="13"/>
  <c r="L357" i="13"/>
  <c r="M357" i="13"/>
  <c r="N357" i="13"/>
  <c r="O357" i="13"/>
  <c r="P357" i="13"/>
  <c r="Q357" i="13"/>
  <c r="R357" i="13"/>
  <c r="S357" i="13"/>
  <c r="T357" i="13"/>
  <c r="J358" i="13"/>
  <c r="K358" i="13"/>
  <c r="L358" i="13"/>
  <c r="M358" i="13"/>
  <c r="N358" i="13"/>
  <c r="O358" i="13"/>
  <c r="P358" i="13"/>
  <c r="Q358" i="13"/>
  <c r="R358" i="13"/>
  <c r="S358" i="13"/>
  <c r="T358" i="13"/>
  <c r="J359" i="13"/>
  <c r="K359" i="13"/>
  <c r="L359" i="13"/>
  <c r="M359" i="13"/>
  <c r="N359" i="13"/>
  <c r="O359" i="13"/>
  <c r="P359" i="13"/>
  <c r="Q359" i="13"/>
  <c r="R359" i="13"/>
  <c r="S359" i="13"/>
  <c r="T359" i="13"/>
  <c r="J360" i="13"/>
  <c r="K360" i="13"/>
  <c r="L360" i="13"/>
  <c r="M360" i="13"/>
  <c r="N360" i="13"/>
  <c r="O360" i="13"/>
  <c r="P360" i="13"/>
  <c r="Q360" i="13"/>
  <c r="R360" i="13"/>
  <c r="S360" i="13"/>
  <c r="T360" i="13"/>
  <c r="J361" i="13"/>
  <c r="K361" i="13"/>
  <c r="L361" i="13"/>
  <c r="M361" i="13"/>
  <c r="N361" i="13"/>
  <c r="O361" i="13"/>
  <c r="P361" i="13"/>
  <c r="Q361" i="13"/>
  <c r="R361" i="13"/>
  <c r="S361" i="13"/>
  <c r="T361" i="13"/>
  <c r="J362" i="13"/>
  <c r="K362" i="13"/>
  <c r="L362" i="13"/>
  <c r="M362" i="13"/>
  <c r="N362" i="13"/>
  <c r="O362" i="13"/>
  <c r="P362" i="13"/>
  <c r="Q362" i="13"/>
  <c r="R362" i="13"/>
  <c r="S362" i="13"/>
  <c r="T362" i="13"/>
  <c r="J363" i="13"/>
  <c r="K363" i="13"/>
  <c r="L363" i="13"/>
  <c r="M363" i="13"/>
  <c r="N363" i="13"/>
  <c r="O363" i="13"/>
  <c r="P363" i="13"/>
  <c r="Q363" i="13"/>
  <c r="R363" i="13"/>
  <c r="S363" i="13"/>
  <c r="T363" i="13"/>
  <c r="J364" i="13"/>
  <c r="K364" i="13"/>
  <c r="L364" i="13"/>
  <c r="M364" i="13"/>
  <c r="N364" i="13"/>
  <c r="O364" i="13"/>
  <c r="P364" i="13"/>
  <c r="Q364" i="13"/>
  <c r="R364" i="13"/>
  <c r="S364" i="13"/>
  <c r="T364" i="13"/>
  <c r="J365" i="13"/>
  <c r="K365" i="13"/>
  <c r="L365" i="13"/>
  <c r="M365" i="13"/>
  <c r="N365" i="13"/>
  <c r="O365" i="13"/>
  <c r="P365" i="13"/>
  <c r="Q365" i="13"/>
  <c r="R365" i="13"/>
  <c r="S365" i="13"/>
  <c r="T365" i="13"/>
  <c r="J366" i="13"/>
  <c r="K366" i="13"/>
  <c r="L366" i="13"/>
  <c r="M366" i="13"/>
  <c r="N366" i="13"/>
  <c r="O366" i="13"/>
  <c r="P366" i="13"/>
  <c r="Q366" i="13"/>
  <c r="R366" i="13"/>
  <c r="S366" i="13"/>
  <c r="T366" i="13"/>
  <c r="J367" i="13"/>
  <c r="K367" i="13"/>
  <c r="L367" i="13"/>
  <c r="M367" i="13"/>
  <c r="N367" i="13"/>
  <c r="O367" i="13"/>
  <c r="P367" i="13"/>
  <c r="Q367" i="13"/>
  <c r="R367" i="13"/>
  <c r="S367" i="13"/>
  <c r="T367" i="13"/>
  <c r="J368" i="13"/>
  <c r="K368" i="13"/>
  <c r="L368" i="13"/>
  <c r="M368" i="13"/>
  <c r="N368" i="13"/>
  <c r="O368" i="13"/>
  <c r="P368" i="13"/>
  <c r="Q368" i="13"/>
  <c r="R368" i="13"/>
  <c r="S368" i="13"/>
  <c r="T368" i="13"/>
  <c r="J369" i="13"/>
  <c r="K369" i="13"/>
  <c r="L369" i="13"/>
  <c r="M369" i="13"/>
  <c r="N369" i="13"/>
  <c r="O369" i="13"/>
  <c r="P369" i="13"/>
  <c r="Q369" i="13"/>
  <c r="R369" i="13"/>
  <c r="S369" i="13"/>
  <c r="T369" i="13"/>
  <c r="J370" i="13"/>
  <c r="K370" i="13"/>
  <c r="L370" i="13"/>
  <c r="M370" i="13"/>
  <c r="N370" i="13"/>
  <c r="O370" i="13"/>
  <c r="P370" i="13"/>
  <c r="Q370" i="13"/>
  <c r="R370" i="13"/>
  <c r="S370" i="13"/>
  <c r="T370" i="13"/>
  <c r="J371" i="13"/>
  <c r="K371" i="13"/>
  <c r="L371" i="13"/>
  <c r="M371" i="13"/>
  <c r="N371" i="13"/>
  <c r="O371" i="13"/>
  <c r="P371" i="13"/>
  <c r="Q371" i="13"/>
  <c r="R371" i="13"/>
  <c r="S371" i="13"/>
  <c r="T371" i="13"/>
  <c r="J372" i="13"/>
  <c r="K372" i="13"/>
  <c r="L372" i="13"/>
  <c r="M372" i="13"/>
  <c r="N372" i="13"/>
  <c r="O372" i="13"/>
  <c r="P372" i="13"/>
  <c r="Q372" i="13"/>
  <c r="R372" i="13"/>
  <c r="S372" i="13"/>
  <c r="T372" i="13"/>
  <c r="J373" i="13"/>
  <c r="K373" i="13"/>
  <c r="L373" i="13"/>
  <c r="M373" i="13"/>
  <c r="N373" i="13"/>
  <c r="O373" i="13"/>
  <c r="P373" i="13"/>
  <c r="Q373" i="13"/>
  <c r="R373" i="13"/>
  <c r="S373" i="13"/>
  <c r="T373" i="13"/>
  <c r="J374" i="13"/>
  <c r="K374" i="13"/>
  <c r="L374" i="13"/>
  <c r="M374" i="13"/>
  <c r="N374" i="13"/>
  <c r="O374" i="13"/>
  <c r="P374" i="13"/>
  <c r="Q374" i="13"/>
  <c r="R374" i="13"/>
  <c r="S374" i="13"/>
  <c r="T374" i="13"/>
  <c r="J375" i="13"/>
  <c r="K375" i="13"/>
  <c r="L375" i="13"/>
  <c r="M375" i="13"/>
  <c r="N375" i="13"/>
  <c r="O375" i="13"/>
  <c r="P375" i="13"/>
  <c r="Q375" i="13"/>
  <c r="R375" i="13"/>
  <c r="S375" i="13"/>
  <c r="T375" i="13"/>
  <c r="J376" i="13"/>
  <c r="K376" i="13"/>
  <c r="L376" i="13"/>
  <c r="M376" i="13"/>
  <c r="N376" i="13"/>
  <c r="O376" i="13"/>
  <c r="P376" i="13"/>
  <c r="Q376" i="13"/>
  <c r="R376" i="13"/>
  <c r="S376" i="13"/>
  <c r="T376" i="13"/>
  <c r="J377" i="13"/>
  <c r="K377" i="13"/>
  <c r="L377" i="13"/>
  <c r="M377" i="13"/>
  <c r="N377" i="13"/>
  <c r="O377" i="13"/>
  <c r="P377" i="13"/>
  <c r="Q377" i="13"/>
  <c r="R377" i="13"/>
  <c r="S377" i="13"/>
  <c r="T377" i="13"/>
  <c r="J378" i="13"/>
  <c r="K378" i="13"/>
  <c r="L378" i="13"/>
  <c r="M378" i="13"/>
  <c r="N378" i="13"/>
  <c r="O378" i="13"/>
  <c r="P378" i="13"/>
  <c r="Q378" i="13"/>
  <c r="R378" i="13"/>
  <c r="S378" i="13"/>
  <c r="T378" i="13"/>
  <c r="J379" i="13"/>
  <c r="K379" i="13"/>
  <c r="L379" i="13"/>
  <c r="M379" i="13"/>
  <c r="N379" i="13"/>
  <c r="O379" i="13"/>
  <c r="P379" i="13"/>
  <c r="Q379" i="13"/>
  <c r="R379" i="13"/>
  <c r="S379" i="13"/>
  <c r="T379" i="13"/>
  <c r="J380" i="13"/>
  <c r="K380" i="13"/>
  <c r="L380" i="13"/>
  <c r="M380" i="13"/>
  <c r="N380" i="13"/>
  <c r="O380" i="13"/>
  <c r="P380" i="13"/>
  <c r="Q380" i="13"/>
  <c r="R380" i="13"/>
  <c r="S380" i="13"/>
  <c r="T380" i="13"/>
  <c r="J381" i="13"/>
  <c r="K381" i="13"/>
  <c r="L381" i="13"/>
  <c r="M381" i="13"/>
  <c r="N381" i="13"/>
  <c r="O381" i="13"/>
  <c r="P381" i="13"/>
  <c r="Q381" i="13"/>
  <c r="R381" i="13"/>
  <c r="S381" i="13"/>
  <c r="T381" i="13"/>
  <c r="J382" i="13"/>
  <c r="K382" i="13"/>
  <c r="L382" i="13"/>
  <c r="M382" i="13"/>
  <c r="N382" i="13"/>
  <c r="O382" i="13"/>
  <c r="P382" i="13"/>
  <c r="Q382" i="13"/>
  <c r="R382" i="13"/>
  <c r="S382" i="13"/>
  <c r="T382" i="13"/>
  <c r="J383" i="13"/>
  <c r="K383" i="13"/>
  <c r="L383" i="13"/>
  <c r="M383" i="13"/>
  <c r="N383" i="13"/>
  <c r="O383" i="13"/>
  <c r="P383" i="13"/>
  <c r="Q383" i="13"/>
  <c r="R383" i="13"/>
  <c r="S383" i="13"/>
  <c r="T383" i="13"/>
  <c r="J384" i="13"/>
  <c r="K384" i="13"/>
  <c r="L384" i="13"/>
  <c r="M384" i="13"/>
  <c r="N384" i="13"/>
  <c r="O384" i="13"/>
  <c r="P384" i="13"/>
  <c r="Q384" i="13"/>
  <c r="R384" i="13"/>
  <c r="S384" i="13"/>
  <c r="T384" i="13"/>
  <c r="J385" i="13"/>
  <c r="K385" i="13"/>
  <c r="L385" i="13"/>
  <c r="M385" i="13"/>
  <c r="N385" i="13"/>
  <c r="O385" i="13"/>
  <c r="P385" i="13"/>
  <c r="Q385" i="13"/>
  <c r="R385" i="13"/>
  <c r="S385" i="13"/>
  <c r="T385" i="13"/>
  <c r="J386" i="13"/>
  <c r="K386" i="13"/>
  <c r="L386" i="13"/>
  <c r="M386" i="13"/>
  <c r="N386" i="13"/>
  <c r="O386" i="13"/>
  <c r="P386" i="13"/>
  <c r="Q386" i="13"/>
  <c r="R386" i="13"/>
  <c r="S386" i="13"/>
  <c r="T386" i="13"/>
  <c r="J387" i="13"/>
  <c r="K387" i="13"/>
  <c r="L387" i="13"/>
  <c r="M387" i="13"/>
  <c r="N387" i="13"/>
  <c r="O387" i="13"/>
  <c r="P387" i="13"/>
  <c r="Q387" i="13"/>
  <c r="R387" i="13"/>
  <c r="S387" i="13"/>
  <c r="T387" i="13"/>
  <c r="J388" i="13"/>
  <c r="K388" i="13"/>
  <c r="L388" i="13"/>
  <c r="M388" i="13"/>
  <c r="N388" i="13"/>
  <c r="O388" i="13"/>
  <c r="P388" i="13"/>
  <c r="Q388" i="13"/>
  <c r="R388" i="13"/>
  <c r="S388" i="13"/>
  <c r="T388" i="13"/>
  <c r="J389" i="13"/>
  <c r="K389" i="13"/>
  <c r="L389" i="13"/>
  <c r="M389" i="13"/>
  <c r="N389" i="13"/>
  <c r="O389" i="13"/>
  <c r="P389" i="13"/>
  <c r="Q389" i="13"/>
  <c r="R389" i="13"/>
  <c r="S389" i="13"/>
  <c r="T389" i="13"/>
  <c r="J390" i="13"/>
  <c r="K390" i="13"/>
  <c r="L390" i="13"/>
  <c r="M390" i="13"/>
  <c r="N390" i="13"/>
  <c r="O390" i="13"/>
  <c r="P390" i="13"/>
  <c r="Q390" i="13"/>
  <c r="R390" i="13"/>
  <c r="S390" i="13"/>
  <c r="T390" i="13"/>
  <c r="J391" i="13"/>
  <c r="K391" i="13"/>
  <c r="L391" i="13"/>
  <c r="M391" i="13"/>
  <c r="N391" i="13"/>
  <c r="O391" i="13"/>
  <c r="P391" i="13"/>
  <c r="Q391" i="13"/>
  <c r="R391" i="13"/>
  <c r="S391" i="13"/>
  <c r="T391" i="13"/>
  <c r="J392" i="13"/>
  <c r="K392" i="13"/>
  <c r="L392" i="13"/>
  <c r="M392" i="13"/>
  <c r="N392" i="13"/>
  <c r="O392" i="13"/>
  <c r="P392" i="13"/>
  <c r="Q392" i="13"/>
  <c r="R392" i="13"/>
  <c r="S392" i="13"/>
  <c r="T392" i="13"/>
  <c r="J393" i="13"/>
  <c r="K393" i="13"/>
  <c r="L393" i="13"/>
  <c r="M393" i="13"/>
  <c r="N393" i="13"/>
  <c r="O393" i="13"/>
  <c r="P393" i="13"/>
  <c r="Q393" i="13"/>
  <c r="R393" i="13"/>
  <c r="S393" i="13"/>
  <c r="T393" i="13"/>
  <c r="J394" i="13"/>
  <c r="K394" i="13"/>
  <c r="L394" i="13"/>
  <c r="M394" i="13"/>
  <c r="N394" i="13"/>
  <c r="O394" i="13"/>
  <c r="P394" i="13"/>
  <c r="Q394" i="13"/>
  <c r="R394" i="13"/>
  <c r="S394" i="13"/>
  <c r="T394" i="13"/>
  <c r="J395" i="13"/>
  <c r="K395" i="13"/>
  <c r="L395" i="13"/>
  <c r="M395" i="13"/>
  <c r="N395" i="13"/>
  <c r="O395" i="13"/>
  <c r="P395" i="13"/>
  <c r="Q395" i="13"/>
  <c r="R395" i="13"/>
  <c r="S395" i="13"/>
  <c r="T395" i="13"/>
  <c r="J396" i="13"/>
  <c r="K396" i="13"/>
  <c r="L396" i="13"/>
  <c r="M396" i="13"/>
  <c r="N396" i="13"/>
  <c r="O396" i="13"/>
  <c r="P396" i="13"/>
  <c r="Q396" i="13"/>
  <c r="R396" i="13"/>
  <c r="S396" i="13"/>
  <c r="T396" i="13"/>
  <c r="J397" i="13"/>
  <c r="K397" i="13"/>
  <c r="L397" i="13"/>
  <c r="M397" i="13"/>
  <c r="N397" i="13"/>
  <c r="O397" i="13"/>
  <c r="P397" i="13"/>
  <c r="Q397" i="13"/>
  <c r="R397" i="13"/>
  <c r="S397" i="13"/>
  <c r="T397" i="13"/>
  <c r="J398" i="13"/>
  <c r="K398" i="13"/>
  <c r="L398" i="13"/>
  <c r="M398" i="13"/>
  <c r="N398" i="13"/>
  <c r="O398" i="13"/>
  <c r="P398" i="13"/>
  <c r="Q398" i="13"/>
  <c r="R398" i="13"/>
  <c r="S398" i="13"/>
  <c r="T398" i="13"/>
  <c r="J399" i="13"/>
  <c r="K399" i="13"/>
  <c r="L399" i="13"/>
  <c r="M399" i="13"/>
  <c r="N399" i="13"/>
  <c r="O399" i="13"/>
  <c r="P399" i="13"/>
  <c r="Q399" i="13"/>
  <c r="R399" i="13"/>
  <c r="S399" i="13"/>
  <c r="T399" i="13"/>
  <c r="J400" i="13"/>
  <c r="K400" i="13"/>
  <c r="L400" i="13"/>
  <c r="M400" i="13"/>
  <c r="N400" i="13"/>
  <c r="O400" i="13"/>
  <c r="P400" i="13"/>
  <c r="Q400" i="13"/>
  <c r="R400" i="13"/>
  <c r="S400" i="13"/>
  <c r="T400" i="13"/>
  <c r="J401" i="13"/>
  <c r="K401" i="13"/>
  <c r="L401" i="13"/>
  <c r="M401" i="13"/>
  <c r="N401" i="13"/>
  <c r="O401" i="13"/>
  <c r="P401" i="13"/>
  <c r="Q401" i="13"/>
  <c r="R401" i="13"/>
  <c r="S401" i="13"/>
  <c r="T401" i="13"/>
  <c r="J402" i="13"/>
  <c r="K402" i="13"/>
  <c r="L402" i="13"/>
  <c r="M402" i="13"/>
  <c r="N402" i="13"/>
  <c r="O402" i="13"/>
  <c r="P402" i="13"/>
  <c r="Q402" i="13"/>
  <c r="R402" i="13"/>
  <c r="S402" i="13"/>
  <c r="T402" i="13"/>
  <c r="J403" i="13"/>
  <c r="K403" i="13"/>
  <c r="L403" i="13"/>
  <c r="M403" i="13"/>
  <c r="N403" i="13"/>
  <c r="O403" i="13"/>
  <c r="P403" i="13"/>
  <c r="Q403" i="13"/>
  <c r="R403" i="13"/>
  <c r="S403" i="13"/>
  <c r="T403" i="13"/>
  <c r="J404" i="13"/>
  <c r="K404" i="13"/>
  <c r="L404" i="13"/>
  <c r="M404" i="13"/>
  <c r="N404" i="13"/>
  <c r="O404" i="13"/>
  <c r="P404" i="13"/>
  <c r="Q404" i="13"/>
  <c r="R404" i="13"/>
  <c r="T404" i="13" s="1"/>
  <c r="S404" i="13"/>
  <c r="J405" i="13"/>
  <c r="K405" i="13"/>
  <c r="L405" i="13"/>
  <c r="M405" i="13"/>
  <c r="N405" i="13"/>
  <c r="O405" i="13"/>
  <c r="P405" i="13"/>
  <c r="Q405" i="13"/>
  <c r="R405" i="13"/>
  <c r="T405" i="13" s="1"/>
  <c r="S405" i="13"/>
  <c r="J406" i="13"/>
  <c r="K406" i="13"/>
  <c r="L406" i="13"/>
  <c r="M406" i="13"/>
  <c r="N406" i="13"/>
  <c r="O406" i="13"/>
  <c r="P406" i="13" s="1"/>
  <c r="R406" i="13" s="1"/>
  <c r="T406" i="13" s="1"/>
  <c r="Q406" i="13"/>
  <c r="S406" i="13"/>
  <c r="J407" i="13"/>
  <c r="K407" i="13"/>
  <c r="L407" i="13"/>
  <c r="M407" i="13"/>
  <c r="N407" i="13"/>
  <c r="O407" i="13"/>
  <c r="P407" i="13"/>
  <c r="Q407" i="13"/>
  <c r="R407" i="13"/>
  <c r="T407" i="13" s="1"/>
  <c r="S407" i="13"/>
  <c r="J408" i="13"/>
  <c r="K408" i="13"/>
  <c r="L408" i="13"/>
  <c r="M408" i="13"/>
  <c r="N408" i="13"/>
  <c r="O408" i="13"/>
  <c r="P408" i="13"/>
  <c r="Q408" i="13"/>
  <c r="R408" i="13"/>
  <c r="T408" i="13" s="1"/>
  <c r="S408" i="13"/>
  <c r="J409" i="13"/>
  <c r="K409" i="13"/>
  <c r="L409" i="13"/>
  <c r="M409" i="13"/>
  <c r="N409" i="13"/>
  <c r="O409" i="13"/>
  <c r="P409" i="13"/>
  <c r="Q409" i="13"/>
  <c r="R409" i="13"/>
  <c r="T409" i="13" s="1"/>
  <c r="S409" i="13"/>
  <c r="J410" i="13"/>
  <c r="K410" i="13"/>
  <c r="L410" i="13"/>
  <c r="M410" i="13"/>
  <c r="N410" i="13"/>
  <c r="O410" i="13"/>
  <c r="P410" i="13"/>
  <c r="Q410" i="13"/>
  <c r="R410" i="13"/>
  <c r="T410" i="13" s="1"/>
  <c r="S410" i="13"/>
  <c r="J411" i="13"/>
  <c r="K411" i="13"/>
  <c r="L411" i="13"/>
  <c r="M411" i="13"/>
  <c r="N411" i="13"/>
  <c r="O411" i="13"/>
  <c r="P411" i="13"/>
  <c r="Q411" i="13"/>
  <c r="R411" i="13"/>
  <c r="T411" i="13" s="1"/>
  <c r="S411" i="13"/>
  <c r="J412" i="13"/>
  <c r="K412" i="13"/>
  <c r="L412" i="13"/>
  <c r="M412" i="13"/>
  <c r="N412" i="13"/>
  <c r="O412" i="13"/>
  <c r="P412" i="13"/>
  <c r="Q412" i="13"/>
  <c r="R412" i="13"/>
  <c r="T412" i="13" s="1"/>
  <c r="S412" i="13"/>
  <c r="J413" i="13"/>
  <c r="K413" i="13"/>
  <c r="L413" i="13"/>
  <c r="M413" i="13"/>
  <c r="N413" i="13"/>
  <c r="O413" i="13"/>
  <c r="P413" i="13"/>
  <c r="Q413" i="13"/>
  <c r="R413" i="13"/>
  <c r="T413" i="13" s="1"/>
  <c r="S413" i="13"/>
  <c r="J414" i="13"/>
  <c r="K414" i="13"/>
  <c r="L414" i="13"/>
  <c r="M414" i="13"/>
  <c r="N414" i="13"/>
  <c r="O414" i="13"/>
  <c r="P414" i="13"/>
  <c r="Q414" i="13"/>
  <c r="R414" i="13"/>
  <c r="T414" i="13" s="1"/>
  <c r="S414" i="13"/>
  <c r="J415" i="13"/>
  <c r="K415" i="13"/>
  <c r="L415" i="13"/>
  <c r="M415" i="13"/>
  <c r="N415" i="13"/>
  <c r="O415" i="13"/>
  <c r="P415" i="13"/>
  <c r="Q415" i="13"/>
  <c r="R415" i="13"/>
  <c r="T415" i="13" s="1"/>
  <c r="S415" i="13"/>
  <c r="J416" i="13"/>
  <c r="K416" i="13"/>
  <c r="L416" i="13"/>
  <c r="M416" i="13"/>
  <c r="N416" i="13"/>
  <c r="O416" i="13"/>
  <c r="P416" i="13"/>
  <c r="Q416" i="13"/>
  <c r="R416" i="13"/>
  <c r="T416" i="13" s="1"/>
  <c r="S416" i="13"/>
  <c r="J417" i="13"/>
  <c r="K417" i="13"/>
  <c r="L417" i="13"/>
  <c r="M417" i="13"/>
  <c r="N417" i="13"/>
  <c r="O417" i="13"/>
  <c r="P417" i="13"/>
  <c r="Q417" i="13"/>
  <c r="R417" i="13"/>
  <c r="T417" i="13" s="1"/>
  <c r="S417" i="13"/>
  <c r="J418" i="13"/>
  <c r="K418" i="13"/>
  <c r="L418" i="13"/>
  <c r="M418" i="13"/>
  <c r="N418" i="13"/>
  <c r="O418" i="13"/>
  <c r="P418" i="13"/>
  <c r="Q418" i="13"/>
  <c r="R418" i="13"/>
  <c r="T418" i="13" s="1"/>
  <c r="S418" i="13"/>
  <c r="J419" i="13"/>
  <c r="K419" i="13"/>
  <c r="L419" i="13"/>
  <c r="M419" i="13"/>
  <c r="N419" i="13"/>
  <c r="O419" i="13"/>
  <c r="P419" i="13" s="1"/>
  <c r="R419" i="13" s="1"/>
  <c r="T419" i="13" s="1"/>
  <c r="Q419" i="13"/>
  <c r="S419" i="13"/>
  <c r="J420" i="13"/>
  <c r="K420" i="13"/>
  <c r="L420" i="13"/>
  <c r="M420" i="13"/>
  <c r="N420" i="13"/>
  <c r="O420" i="13"/>
  <c r="P420" i="13"/>
  <c r="Q420" i="13"/>
  <c r="R420" i="13"/>
  <c r="T420" i="13" s="1"/>
  <c r="S420" i="13"/>
  <c r="J421" i="13"/>
  <c r="K421" i="13"/>
  <c r="L421" i="13"/>
  <c r="M421" i="13"/>
  <c r="N421" i="13"/>
  <c r="O421" i="13"/>
  <c r="P421" i="13"/>
  <c r="Q421" i="13"/>
  <c r="R421" i="13"/>
  <c r="T421" i="13" s="1"/>
  <c r="S421" i="13"/>
  <c r="J422" i="13"/>
  <c r="K422" i="13"/>
  <c r="L422" i="13"/>
  <c r="M422" i="13"/>
  <c r="N422" i="13"/>
  <c r="O422" i="13"/>
  <c r="P422" i="13" s="1"/>
  <c r="R422" i="13" s="1"/>
  <c r="T422" i="13" s="1"/>
  <c r="Q422" i="13"/>
  <c r="S422" i="13"/>
  <c r="J423" i="13"/>
  <c r="K423" i="13"/>
  <c r="L423" i="13"/>
  <c r="M423" i="13"/>
  <c r="N423" i="13"/>
  <c r="O423" i="13"/>
  <c r="P423" i="13"/>
  <c r="Q423" i="13"/>
  <c r="R423" i="13"/>
  <c r="T423" i="13" s="1"/>
  <c r="S423" i="13"/>
  <c r="J424" i="13"/>
  <c r="K424" i="13"/>
  <c r="L424" i="13"/>
  <c r="M424" i="13"/>
  <c r="N424" i="13"/>
  <c r="O424" i="13"/>
  <c r="P424" i="13" s="1"/>
  <c r="R424" i="13" s="1"/>
  <c r="T424" i="13" s="1"/>
  <c r="Q424" i="13"/>
  <c r="S424" i="13"/>
  <c r="J425" i="13"/>
  <c r="K425" i="13"/>
  <c r="L425" i="13"/>
  <c r="M425" i="13"/>
  <c r="N425" i="13"/>
  <c r="O425" i="13"/>
  <c r="P425" i="13"/>
  <c r="Q425" i="13"/>
  <c r="R425" i="13"/>
  <c r="T425" i="13" s="1"/>
  <c r="S425" i="13"/>
  <c r="J426" i="13"/>
  <c r="K426" i="13"/>
  <c r="L426" i="13"/>
  <c r="M426" i="13"/>
  <c r="N426" i="13"/>
  <c r="O426" i="13"/>
  <c r="P426" i="13"/>
  <c r="Q426" i="13"/>
  <c r="R426" i="13"/>
  <c r="T426" i="13" s="1"/>
  <c r="S426" i="13"/>
  <c r="J427" i="13"/>
  <c r="K427" i="13"/>
  <c r="L427" i="13"/>
  <c r="M427" i="13"/>
  <c r="N427" i="13"/>
  <c r="O427" i="13"/>
  <c r="P427" i="13" s="1"/>
  <c r="R427" i="13" s="1"/>
  <c r="T427" i="13" s="1"/>
  <c r="Q427" i="13"/>
  <c r="S427" i="13"/>
  <c r="J428" i="13"/>
  <c r="K428" i="13"/>
  <c r="L428" i="13"/>
  <c r="M428" i="13"/>
  <c r="N428" i="13"/>
  <c r="O428" i="13"/>
  <c r="P428" i="13"/>
  <c r="Q428" i="13"/>
  <c r="R428" i="13"/>
  <c r="T428" i="13" s="1"/>
  <c r="S428" i="13"/>
  <c r="J429" i="13"/>
  <c r="K429" i="13"/>
  <c r="L429" i="13"/>
  <c r="M429" i="13"/>
  <c r="N429" i="13"/>
  <c r="O429" i="13"/>
  <c r="J430" i="13"/>
  <c r="K430" i="13"/>
  <c r="L430" i="13"/>
  <c r="M430" i="13"/>
  <c r="N430" i="13"/>
  <c r="O430" i="13"/>
  <c r="P430" i="13"/>
  <c r="Q430" i="13"/>
  <c r="R430" i="13"/>
  <c r="T430" i="13" s="1"/>
  <c r="S430" i="13"/>
  <c r="J431" i="13"/>
  <c r="K431" i="13"/>
  <c r="L431" i="13"/>
  <c r="M431" i="13"/>
  <c r="N431" i="13"/>
  <c r="O431" i="13"/>
  <c r="P431" i="13"/>
  <c r="Q431" i="13"/>
  <c r="R431" i="13"/>
  <c r="T431" i="13" s="1"/>
  <c r="S431" i="13"/>
  <c r="J432" i="13"/>
  <c r="K432" i="13"/>
  <c r="L432" i="13"/>
  <c r="M432" i="13"/>
  <c r="N432" i="13"/>
  <c r="O432" i="13"/>
  <c r="P432" i="13"/>
  <c r="R432" i="13" s="1"/>
  <c r="T432" i="13" s="1"/>
  <c r="Q432" i="13"/>
  <c r="S432" i="13"/>
  <c r="J433" i="13"/>
  <c r="K433" i="13"/>
  <c r="L433" i="13"/>
  <c r="M433" i="13"/>
  <c r="N433" i="13"/>
  <c r="O433" i="13"/>
  <c r="P433" i="13"/>
  <c r="Q433" i="13"/>
  <c r="R433" i="13"/>
  <c r="T433" i="13" s="1"/>
  <c r="S433" i="13"/>
  <c r="J434" i="13"/>
  <c r="K434" i="13"/>
  <c r="L434" i="13"/>
  <c r="M434" i="13"/>
  <c r="N434" i="13"/>
  <c r="O434" i="13"/>
  <c r="P434" i="13"/>
  <c r="Q434" i="13"/>
  <c r="R434" i="13"/>
  <c r="T434" i="13" s="1"/>
  <c r="S434" i="13"/>
  <c r="J435" i="13"/>
  <c r="K435" i="13"/>
  <c r="L435" i="13"/>
  <c r="M435" i="13"/>
  <c r="N435" i="13"/>
  <c r="O435" i="13"/>
  <c r="P435" i="13"/>
  <c r="Q435" i="13"/>
  <c r="R435" i="13"/>
  <c r="T435" i="13" s="1"/>
  <c r="S435" i="13"/>
  <c r="J436" i="13"/>
  <c r="K436" i="13"/>
  <c r="L436" i="13"/>
  <c r="M436" i="13"/>
  <c r="N436" i="13"/>
  <c r="O436" i="13"/>
  <c r="P436" i="13" s="1"/>
  <c r="R436" i="13" s="1"/>
  <c r="T436" i="13" s="1"/>
  <c r="Q436" i="13"/>
  <c r="S436" i="13"/>
  <c r="J437" i="13"/>
  <c r="K437" i="13"/>
  <c r="L437" i="13"/>
  <c r="M437" i="13"/>
  <c r="N437" i="13"/>
  <c r="O437" i="13"/>
  <c r="P437" i="13"/>
  <c r="R437" i="13" s="1"/>
  <c r="T437" i="13" s="1"/>
  <c r="Q437" i="13"/>
  <c r="S437" i="13"/>
  <c r="J438" i="13"/>
  <c r="K438" i="13"/>
  <c r="L438" i="13"/>
  <c r="M438" i="13"/>
  <c r="N438" i="13"/>
  <c r="O438" i="13"/>
  <c r="P438" i="13"/>
  <c r="Q438" i="13"/>
  <c r="R438" i="13"/>
  <c r="S438" i="13"/>
  <c r="T438" i="13" s="1"/>
  <c r="J439" i="13"/>
  <c r="K439" i="13"/>
  <c r="L439" i="13"/>
  <c r="M439" i="13"/>
  <c r="N439" i="13"/>
  <c r="O439" i="13"/>
  <c r="P439" i="13"/>
  <c r="Q439" i="13"/>
  <c r="R439" i="13"/>
  <c r="S439" i="13"/>
  <c r="T439" i="13"/>
  <c r="J440" i="13"/>
  <c r="K440" i="13"/>
  <c r="L440" i="13"/>
  <c r="M440" i="13"/>
  <c r="N440" i="13"/>
  <c r="O440" i="13"/>
  <c r="P440" i="13"/>
  <c r="Q440" i="13"/>
  <c r="R440" i="13"/>
  <c r="S440" i="13"/>
  <c r="T440" i="13" s="1"/>
  <c r="J441" i="13"/>
  <c r="K441" i="13"/>
  <c r="L441" i="13"/>
  <c r="M441" i="13"/>
  <c r="N441" i="13"/>
  <c r="O441" i="13"/>
  <c r="P441" i="13"/>
  <c r="Q441" i="13"/>
  <c r="R441" i="13"/>
  <c r="S441" i="13"/>
  <c r="T441" i="13" s="1"/>
  <c r="J442" i="13"/>
  <c r="K442" i="13"/>
  <c r="L442" i="13"/>
  <c r="M442" i="13"/>
  <c r="N442" i="13"/>
  <c r="O442" i="13"/>
  <c r="P442" i="13"/>
  <c r="Q442" i="13"/>
  <c r="R442" i="13"/>
  <c r="S442" i="13"/>
  <c r="T442" i="13" s="1"/>
  <c r="J443" i="13"/>
  <c r="K443" i="13"/>
  <c r="L443" i="13"/>
  <c r="M443" i="13"/>
  <c r="N443" i="13"/>
  <c r="O443" i="13"/>
  <c r="P443" i="13"/>
  <c r="Q443" i="13"/>
  <c r="R443" i="13"/>
  <c r="T443" i="13" s="1"/>
  <c r="S443" i="13"/>
  <c r="J444" i="13"/>
  <c r="K444" i="13"/>
  <c r="L444" i="13"/>
  <c r="M444" i="13"/>
  <c r="N444" i="13"/>
  <c r="O444" i="13"/>
  <c r="P444" i="13"/>
  <c r="Q444" i="13"/>
  <c r="R444" i="13"/>
  <c r="T444" i="13" s="1"/>
  <c r="S444" i="13"/>
  <c r="J445" i="13"/>
  <c r="K445" i="13"/>
  <c r="L445" i="13"/>
  <c r="M445" i="13"/>
  <c r="N445" i="13"/>
  <c r="O445" i="13"/>
  <c r="P445" i="13" s="1"/>
  <c r="R445" i="13" s="1"/>
  <c r="T445" i="13" s="1"/>
  <c r="Q445" i="13"/>
  <c r="S445" i="13"/>
  <c r="J446" i="13"/>
  <c r="K446" i="13"/>
  <c r="L446" i="13"/>
  <c r="M446" i="13"/>
  <c r="N446" i="13"/>
  <c r="O446" i="13"/>
  <c r="P446" i="13"/>
  <c r="Q446" i="13"/>
  <c r="R446" i="13"/>
  <c r="T446" i="13" s="1"/>
  <c r="S446" i="13"/>
  <c r="J447" i="13"/>
  <c r="K447" i="13"/>
  <c r="L447" i="13"/>
  <c r="M447" i="13"/>
  <c r="N447" i="13"/>
  <c r="O447" i="13"/>
  <c r="P447" i="13"/>
  <c r="Q447" i="13"/>
  <c r="R447" i="13"/>
  <c r="S447" i="13"/>
  <c r="T447" i="13"/>
  <c r="J448" i="13"/>
  <c r="K448" i="13"/>
  <c r="L448" i="13"/>
  <c r="M448" i="13"/>
  <c r="N448" i="13"/>
  <c r="O448" i="13"/>
  <c r="P448" i="13"/>
  <c r="Q448" i="13"/>
  <c r="R448" i="13"/>
  <c r="S448" i="13"/>
  <c r="T448" i="13"/>
  <c r="J449" i="13"/>
  <c r="K449" i="13"/>
  <c r="L449" i="13"/>
  <c r="M449" i="13"/>
  <c r="N449" i="13"/>
  <c r="O449" i="13"/>
  <c r="P449" i="13"/>
  <c r="Q449" i="13"/>
  <c r="R449" i="13"/>
  <c r="S449" i="13"/>
  <c r="T449" i="13"/>
  <c r="J450" i="13"/>
  <c r="K450" i="13"/>
  <c r="L450" i="13"/>
  <c r="M450" i="13"/>
  <c r="N450" i="13"/>
  <c r="O450" i="13"/>
  <c r="P450" i="13"/>
  <c r="Q450" i="13"/>
  <c r="R450" i="13"/>
  <c r="S450" i="13"/>
  <c r="T450" i="13"/>
  <c r="J451" i="13"/>
  <c r="K451" i="13"/>
  <c r="L451" i="13"/>
  <c r="M451" i="13"/>
  <c r="N451" i="13"/>
  <c r="O451" i="13"/>
  <c r="P451" i="13"/>
  <c r="Q451" i="13"/>
  <c r="R451" i="13"/>
  <c r="S451" i="13"/>
  <c r="T451" i="13"/>
  <c r="J452" i="13"/>
  <c r="K452" i="13"/>
  <c r="L452" i="13"/>
  <c r="M452" i="13"/>
  <c r="N452" i="13"/>
  <c r="O452" i="13"/>
  <c r="P452" i="13"/>
  <c r="Q452" i="13"/>
  <c r="R452" i="13"/>
  <c r="S452" i="13"/>
  <c r="T452" i="13"/>
  <c r="J453" i="13"/>
  <c r="K453" i="13"/>
  <c r="L453" i="13"/>
  <c r="M453" i="13"/>
  <c r="N453" i="13"/>
  <c r="O453" i="13"/>
  <c r="P453" i="13"/>
  <c r="Q453" i="13"/>
  <c r="R453" i="13"/>
  <c r="S453" i="13"/>
  <c r="T453" i="13"/>
  <c r="J454" i="13"/>
  <c r="K454" i="13"/>
  <c r="L454" i="13"/>
  <c r="M454" i="13"/>
  <c r="N454" i="13"/>
  <c r="O454" i="13"/>
  <c r="P454" i="13"/>
  <c r="Q454" i="13"/>
  <c r="R454" i="13"/>
  <c r="S454" i="13"/>
  <c r="T454" i="13"/>
  <c r="J455" i="13"/>
  <c r="K455" i="13"/>
  <c r="L455" i="13"/>
  <c r="M455" i="13"/>
  <c r="N455" i="13"/>
  <c r="O455" i="13"/>
  <c r="P455" i="13"/>
  <c r="Q455" i="13"/>
  <c r="R455" i="13"/>
  <c r="S455" i="13"/>
  <c r="T455" i="13"/>
  <c r="J456" i="13"/>
  <c r="K456" i="13"/>
  <c r="L456" i="13"/>
  <c r="M456" i="13"/>
  <c r="N456" i="13"/>
  <c r="O456" i="13"/>
  <c r="P456" i="13"/>
  <c r="Q456" i="13"/>
  <c r="R456" i="13"/>
  <c r="S456" i="13"/>
  <c r="T456" i="13"/>
  <c r="J457" i="13"/>
  <c r="K457" i="13"/>
  <c r="L457" i="13"/>
  <c r="M457" i="13"/>
  <c r="N457" i="13"/>
  <c r="O457" i="13"/>
  <c r="P457" i="13"/>
  <c r="Q457" i="13"/>
  <c r="R457" i="13"/>
  <c r="S457" i="13"/>
  <c r="T457" i="13"/>
  <c r="J458" i="13"/>
  <c r="K458" i="13"/>
  <c r="L458" i="13"/>
  <c r="M458" i="13"/>
  <c r="N458" i="13"/>
  <c r="O458" i="13"/>
  <c r="P458" i="13"/>
  <c r="Q458" i="13"/>
  <c r="R458" i="13"/>
  <c r="S458" i="13"/>
  <c r="T458" i="13"/>
  <c r="J459" i="13"/>
  <c r="K459" i="13"/>
  <c r="L459" i="13"/>
  <c r="M459" i="13"/>
  <c r="N459" i="13"/>
  <c r="O459" i="13"/>
  <c r="P459" i="13"/>
  <c r="Q459" i="13"/>
  <c r="R459" i="13"/>
  <c r="S459" i="13"/>
  <c r="T459" i="13"/>
  <c r="J460" i="13"/>
  <c r="K460" i="13"/>
  <c r="L460" i="13"/>
  <c r="M460" i="13"/>
  <c r="N460" i="13"/>
  <c r="O460" i="13"/>
  <c r="P460" i="13"/>
  <c r="Q460" i="13"/>
  <c r="R460" i="13"/>
  <c r="S460" i="13"/>
  <c r="T460" i="13"/>
  <c r="J461" i="13"/>
  <c r="K461" i="13"/>
  <c r="L461" i="13"/>
  <c r="M461" i="13"/>
  <c r="N461" i="13"/>
  <c r="O461" i="13"/>
  <c r="P461" i="13"/>
  <c r="Q461" i="13"/>
  <c r="R461" i="13"/>
  <c r="S461" i="13"/>
  <c r="T461" i="13"/>
  <c r="J462" i="13"/>
  <c r="K462" i="13"/>
  <c r="L462" i="13"/>
  <c r="M462" i="13"/>
  <c r="N462" i="13"/>
  <c r="O462" i="13"/>
  <c r="P462" i="13"/>
  <c r="Q462" i="13"/>
  <c r="R462" i="13"/>
  <c r="S462" i="13"/>
  <c r="T462" i="13"/>
  <c r="J463" i="13"/>
  <c r="K463" i="13"/>
  <c r="L463" i="13"/>
  <c r="M463" i="13"/>
  <c r="N463" i="13"/>
  <c r="O463" i="13"/>
  <c r="P463" i="13"/>
  <c r="Q463" i="13"/>
  <c r="R463" i="13"/>
  <c r="S463" i="13"/>
  <c r="T463" i="13"/>
  <c r="J464" i="13"/>
  <c r="K464" i="13"/>
  <c r="L464" i="13"/>
  <c r="M464" i="13"/>
  <c r="N464" i="13"/>
  <c r="O464" i="13"/>
  <c r="P464" i="13"/>
  <c r="Q464" i="13"/>
  <c r="R464" i="13"/>
  <c r="S464" i="13"/>
  <c r="T464" i="13"/>
  <c r="J465" i="13"/>
  <c r="K465" i="13"/>
  <c r="L465" i="13"/>
  <c r="M465" i="13"/>
  <c r="N465" i="13"/>
  <c r="O465" i="13"/>
  <c r="P465" i="13"/>
  <c r="Q465" i="13"/>
  <c r="R465" i="13"/>
  <c r="S465" i="13"/>
  <c r="T465" i="13"/>
  <c r="J466" i="13"/>
  <c r="K466" i="13"/>
  <c r="L466" i="13"/>
  <c r="M466" i="13"/>
  <c r="N466" i="13"/>
  <c r="O466" i="13"/>
  <c r="P466" i="13"/>
  <c r="Q466" i="13"/>
  <c r="R466" i="13"/>
  <c r="S466" i="13"/>
  <c r="T466" i="13"/>
  <c r="J467" i="13"/>
  <c r="K467" i="13"/>
  <c r="L467" i="13"/>
  <c r="M467" i="13"/>
  <c r="N467" i="13"/>
  <c r="O467" i="13"/>
  <c r="P467" i="13"/>
  <c r="Q467" i="13"/>
  <c r="R467" i="13"/>
  <c r="S467" i="13"/>
  <c r="T467" i="13"/>
  <c r="J468" i="13"/>
  <c r="K468" i="13"/>
  <c r="L468" i="13"/>
  <c r="M468" i="13"/>
  <c r="N468" i="13"/>
  <c r="O468" i="13"/>
  <c r="P468" i="13"/>
  <c r="Q468" i="13"/>
  <c r="R468" i="13"/>
  <c r="S468" i="13"/>
  <c r="T468" i="13"/>
  <c r="J469" i="13"/>
  <c r="K469" i="13"/>
  <c r="L469" i="13"/>
  <c r="M469" i="13"/>
  <c r="N469" i="13"/>
  <c r="O469" i="13"/>
  <c r="P469" i="13"/>
  <c r="Q469" i="13"/>
  <c r="R469" i="13"/>
  <c r="S469" i="13"/>
  <c r="T469" i="13"/>
  <c r="J470" i="13"/>
  <c r="K470" i="13"/>
  <c r="L470" i="13"/>
  <c r="M470" i="13"/>
  <c r="N470" i="13"/>
  <c r="O470" i="13"/>
  <c r="P470" i="13"/>
  <c r="Q470" i="13"/>
  <c r="R470" i="13"/>
  <c r="S470" i="13"/>
  <c r="T470" i="13"/>
  <c r="J471" i="13"/>
  <c r="K471" i="13"/>
  <c r="L471" i="13"/>
  <c r="M471" i="13"/>
  <c r="N471" i="13"/>
  <c r="O471" i="13"/>
  <c r="P471" i="13"/>
  <c r="Q471" i="13"/>
  <c r="R471" i="13"/>
  <c r="S471" i="13"/>
  <c r="T471" i="13"/>
  <c r="J472" i="13"/>
  <c r="K472" i="13"/>
  <c r="L472" i="13"/>
  <c r="M472" i="13"/>
  <c r="N472" i="13"/>
  <c r="O472" i="13"/>
  <c r="P472" i="13"/>
  <c r="Q472" i="13"/>
  <c r="R472" i="13"/>
  <c r="S472" i="13"/>
  <c r="T472" i="13"/>
  <c r="J473" i="13"/>
  <c r="K473" i="13"/>
  <c r="L473" i="13"/>
  <c r="M473" i="13"/>
  <c r="N473" i="13"/>
  <c r="O473" i="13"/>
  <c r="P473" i="13"/>
  <c r="Q473" i="13"/>
  <c r="R473" i="13"/>
  <c r="S473" i="13"/>
  <c r="T473" i="13"/>
  <c r="J474" i="13"/>
  <c r="K474" i="13"/>
  <c r="L474" i="13"/>
  <c r="M474" i="13"/>
  <c r="N474" i="13"/>
  <c r="O474" i="13"/>
  <c r="P474" i="13"/>
  <c r="Q474" i="13"/>
  <c r="R474" i="13"/>
  <c r="S474" i="13"/>
  <c r="T474" i="13"/>
  <c r="J475" i="13"/>
  <c r="K475" i="13"/>
  <c r="L475" i="13"/>
  <c r="M475" i="13"/>
  <c r="N475" i="13"/>
  <c r="O475" i="13"/>
  <c r="P475" i="13"/>
  <c r="Q475" i="13"/>
  <c r="R475" i="13"/>
  <c r="S475" i="13"/>
  <c r="T475" i="13"/>
  <c r="J476" i="13"/>
  <c r="K476" i="13"/>
  <c r="L476" i="13"/>
  <c r="M476" i="13"/>
  <c r="N476" i="13"/>
  <c r="O476" i="13"/>
  <c r="P476" i="13"/>
  <c r="Q476" i="13"/>
  <c r="R476" i="13"/>
  <c r="S476" i="13"/>
  <c r="T476" i="13"/>
  <c r="J477" i="13"/>
  <c r="K477" i="13"/>
  <c r="L477" i="13"/>
  <c r="M477" i="13"/>
  <c r="N477" i="13"/>
  <c r="O477" i="13"/>
  <c r="P477" i="13"/>
  <c r="Q477" i="13"/>
  <c r="R477" i="13"/>
  <c r="S477" i="13"/>
  <c r="T477" i="13"/>
  <c r="J478" i="13"/>
  <c r="K478" i="13"/>
  <c r="L478" i="13"/>
  <c r="M478" i="13"/>
  <c r="N478" i="13"/>
  <c r="O478" i="13"/>
  <c r="P478" i="13"/>
  <c r="Q478" i="13"/>
  <c r="R478" i="13"/>
  <c r="S478" i="13"/>
  <c r="T478" i="13"/>
  <c r="J479" i="13"/>
  <c r="K479" i="13"/>
  <c r="L479" i="13"/>
  <c r="M479" i="13"/>
  <c r="N479" i="13"/>
  <c r="O479" i="13"/>
  <c r="P479" i="13"/>
  <c r="Q479" i="13"/>
  <c r="R479" i="13"/>
  <c r="S479" i="13"/>
  <c r="T479" i="13"/>
  <c r="J480" i="13"/>
  <c r="K480" i="13"/>
  <c r="L480" i="13"/>
  <c r="M480" i="13"/>
  <c r="N480" i="13"/>
  <c r="O480" i="13"/>
  <c r="P480" i="13"/>
  <c r="Q480" i="13"/>
  <c r="R480" i="13"/>
  <c r="S480" i="13"/>
  <c r="T480" i="13"/>
  <c r="J481" i="13"/>
  <c r="K481" i="13"/>
  <c r="L481" i="13"/>
  <c r="M481" i="13"/>
  <c r="N481" i="13"/>
  <c r="O481" i="13"/>
  <c r="P481" i="13"/>
  <c r="Q481" i="13"/>
  <c r="R481" i="13"/>
  <c r="S481" i="13"/>
  <c r="T481" i="13"/>
  <c r="J482" i="13"/>
  <c r="K482" i="13"/>
  <c r="L482" i="13"/>
  <c r="M482" i="13"/>
  <c r="N482" i="13"/>
  <c r="O482" i="13"/>
  <c r="P482" i="13"/>
  <c r="Q482" i="13"/>
  <c r="R482" i="13"/>
  <c r="S482" i="13"/>
  <c r="T482" i="13"/>
  <c r="J483" i="13"/>
  <c r="K483" i="13"/>
  <c r="L483" i="13"/>
  <c r="M483" i="13"/>
  <c r="N483" i="13"/>
  <c r="O483" i="13"/>
  <c r="P483" i="13"/>
  <c r="Q483" i="13"/>
  <c r="R483" i="13"/>
  <c r="S483" i="13"/>
  <c r="T483" i="13"/>
  <c r="J484" i="13"/>
  <c r="K484" i="13"/>
  <c r="L484" i="13"/>
  <c r="M484" i="13"/>
  <c r="N484" i="13"/>
  <c r="O484" i="13"/>
  <c r="P484" i="13"/>
  <c r="Q484" i="13"/>
  <c r="R484" i="13"/>
  <c r="S484" i="13"/>
  <c r="T484" i="13"/>
  <c r="J485" i="13"/>
  <c r="K485" i="13"/>
  <c r="L485" i="13"/>
  <c r="M485" i="13"/>
  <c r="N485" i="13"/>
  <c r="O485" i="13"/>
  <c r="P485" i="13"/>
  <c r="Q485" i="13"/>
  <c r="R485" i="13"/>
  <c r="S485" i="13"/>
  <c r="T485" i="13"/>
  <c r="J486" i="13"/>
  <c r="K486" i="13"/>
  <c r="L486" i="13"/>
  <c r="M486" i="13"/>
  <c r="N486" i="13"/>
  <c r="O486" i="13"/>
  <c r="P486" i="13"/>
  <c r="Q486" i="13"/>
  <c r="R486" i="13"/>
  <c r="S486" i="13"/>
  <c r="T486" i="13"/>
  <c r="J487" i="13"/>
  <c r="K487" i="13"/>
  <c r="L487" i="13"/>
  <c r="M487" i="13"/>
  <c r="N487" i="13"/>
  <c r="O487" i="13"/>
  <c r="P487" i="13"/>
  <c r="Q487" i="13"/>
  <c r="R487" i="13"/>
  <c r="S487" i="13"/>
  <c r="T487" i="13"/>
  <c r="J488" i="13"/>
  <c r="K488" i="13"/>
  <c r="L488" i="13"/>
  <c r="M488" i="13"/>
  <c r="N488" i="13"/>
  <c r="O488" i="13"/>
  <c r="P488" i="13"/>
  <c r="Q488" i="13"/>
  <c r="R488" i="13"/>
  <c r="S488" i="13"/>
  <c r="T488" i="13"/>
  <c r="J489" i="13"/>
  <c r="K489" i="13"/>
  <c r="L489" i="13"/>
  <c r="M489" i="13"/>
  <c r="N489" i="13"/>
  <c r="O489" i="13"/>
  <c r="P489" i="13"/>
  <c r="Q489" i="13"/>
  <c r="R489" i="13"/>
  <c r="S489" i="13"/>
  <c r="T489" i="13"/>
  <c r="J490" i="13"/>
  <c r="K490" i="13"/>
  <c r="L490" i="13"/>
  <c r="M490" i="13"/>
  <c r="N490" i="13"/>
  <c r="O490" i="13"/>
  <c r="P490" i="13"/>
  <c r="Q490" i="13"/>
  <c r="R490" i="13"/>
  <c r="S490" i="13"/>
  <c r="T490" i="13"/>
  <c r="J491" i="13"/>
  <c r="K491" i="13"/>
  <c r="L491" i="13"/>
  <c r="M491" i="13"/>
  <c r="N491" i="13"/>
  <c r="O491" i="13"/>
  <c r="P491" i="13"/>
  <c r="Q491" i="13"/>
  <c r="R491" i="13"/>
  <c r="S491" i="13"/>
  <c r="T491" i="13"/>
  <c r="J492" i="13"/>
  <c r="K492" i="13"/>
  <c r="L492" i="13"/>
  <c r="M492" i="13"/>
  <c r="N492" i="13"/>
  <c r="O492" i="13"/>
  <c r="P492" i="13"/>
  <c r="Q492" i="13"/>
  <c r="R492" i="13"/>
  <c r="S492" i="13"/>
  <c r="T492" i="13"/>
  <c r="J493" i="13"/>
  <c r="K493" i="13"/>
  <c r="L493" i="13"/>
  <c r="M493" i="13"/>
  <c r="N493" i="13"/>
  <c r="O493" i="13"/>
  <c r="P493" i="13"/>
  <c r="Q493" i="13"/>
  <c r="R493" i="13"/>
  <c r="S493" i="13"/>
  <c r="T493" i="13"/>
  <c r="J494" i="13"/>
  <c r="K494" i="13"/>
  <c r="L494" i="13"/>
  <c r="M494" i="13"/>
  <c r="N494" i="13"/>
  <c r="O494" i="13"/>
  <c r="P494" i="13"/>
  <c r="Q494" i="13"/>
  <c r="R494" i="13"/>
  <c r="S494" i="13"/>
  <c r="T494" i="13"/>
  <c r="J495" i="13"/>
  <c r="K495" i="13"/>
  <c r="L495" i="13"/>
  <c r="M495" i="13"/>
  <c r="N495" i="13"/>
  <c r="O495" i="13"/>
  <c r="P495" i="13"/>
  <c r="Q495" i="13"/>
  <c r="R495" i="13"/>
  <c r="S495" i="13"/>
  <c r="T495" i="13"/>
  <c r="J496" i="13"/>
  <c r="K496" i="13"/>
  <c r="L496" i="13"/>
  <c r="M496" i="13"/>
  <c r="N496" i="13"/>
  <c r="O496" i="13"/>
  <c r="P496" i="13"/>
  <c r="Q496" i="13"/>
  <c r="R496" i="13"/>
  <c r="S496" i="13"/>
  <c r="T496" i="13"/>
  <c r="J497" i="13"/>
  <c r="K497" i="13"/>
  <c r="L497" i="13"/>
  <c r="M497" i="13"/>
  <c r="N497" i="13"/>
  <c r="O497" i="13"/>
  <c r="P497" i="13"/>
  <c r="Q497" i="13"/>
  <c r="R497" i="13"/>
  <c r="S497" i="13"/>
  <c r="T497" i="13"/>
  <c r="J498" i="13"/>
  <c r="K498" i="13"/>
  <c r="L498" i="13"/>
  <c r="M498" i="13"/>
  <c r="N498" i="13"/>
  <c r="O498" i="13"/>
  <c r="P498" i="13"/>
  <c r="Q498" i="13"/>
  <c r="R498" i="13"/>
  <c r="S498" i="13"/>
  <c r="T498" i="13"/>
  <c r="J499" i="13"/>
  <c r="K499" i="13"/>
  <c r="L499" i="13"/>
  <c r="M499" i="13"/>
  <c r="N499" i="13"/>
  <c r="O499" i="13"/>
  <c r="P499" i="13"/>
  <c r="Q499" i="13"/>
  <c r="R499" i="13"/>
  <c r="S499" i="13"/>
  <c r="T499" i="13"/>
  <c r="J500" i="13"/>
  <c r="K500" i="13"/>
  <c r="L500" i="13"/>
  <c r="M500" i="13"/>
  <c r="N500" i="13"/>
  <c r="O500" i="13"/>
  <c r="P500" i="13"/>
  <c r="Q500" i="13"/>
  <c r="R500" i="13"/>
  <c r="S500" i="13"/>
  <c r="T500" i="13"/>
  <c r="J501" i="13"/>
  <c r="K501" i="13"/>
  <c r="L501" i="13"/>
  <c r="M501" i="13"/>
  <c r="N501" i="13"/>
  <c r="O501" i="13"/>
  <c r="P501" i="13"/>
  <c r="Q501" i="13"/>
  <c r="R501" i="13"/>
  <c r="S501" i="13"/>
  <c r="T501" i="13"/>
  <c r="J502" i="13"/>
  <c r="K502" i="13"/>
  <c r="L502" i="13"/>
  <c r="M502" i="13"/>
  <c r="N502" i="13"/>
  <c r="O502" i="13"/>
  <c r="P502" i="13"/>
  <c r="Q502" i="13"/>
  <c r="R502" i="13"/>
  <c r="S502" i="13"/>
  <c r="T502" i="13"/>
  <c r="J503" i="13"/>
  <c r="K503" i="13"/>
  <c r="L503" i="13"/>
  <c r="M503" i="13"/>
  <c r="N503" i="13"/>
  <c r="O503" i="13"/>
  <c r="P503" i="13"/>
  <c r="Q503" i="13"/>
  <c r="R503" i="13"/>
  <c r="S503" i="13"/>
  <c r="T503" i="13"/>
  <c r="J504" i="13"/>
  <c r="K504" i="13"/>
  <c r="L504" i="13"/>
  <c r="M504" i="13"/>
  <c r="N504" i="13"/>
  <c r="O504" i="13"/>
  <c r="P504" i="13"/>
  <c r="Q504" i="13"/>
  <c r="R504" i="13"/>
  <c r="S504" i="13"/>
  <c r="T504" i="13"/>
  <c r="J505" i="13"/>
  <c r="K505" i="13"/>
  <c r="L505" i="13"/>
  <c r="M505" i="13"/>
  <c r="N505" i="13"/>
  <c r="O505" i="13"/>
  <c r="P505" i="13"/>
  <c r="Q505" i="13"/>
  <c r="R505" i="13"/>
  <c r="S505" i="13"/>
  <c r="T505" i="13"/>
  <c r="J506" i="13"/>
  <c r="K506" i="13"/>
  <c r="L506" i="13"/>
  <c r="M506" i="13"/>
  <c r="N506" i="13"/>
  <c r="O506" i="13"/>
  <c r="P506" i="13"/>
  <c r="Q506" i="13"/>
  <c r="R506" i="13"/>
  <c r="S506" i="13"/>
  <c r="T506" i="13"/>
  <c r="J507" i="13"/>
  <c r="K507" i="13"/>
  <c r="L507" i="13"/>
  <c r="M507" i="13"/>
  <c r="N507" i="13"/>
  <c r="O507" i="13"/>
  <c r="P507" i="13"/>
  <c r="Q507" i="13"/>
  <c r="R507" i="13"/>
  <c r="S507" i="13"/>
  <c r="T507" i="13"/>
  <c r="J508" i="13"/>
  <c r="K508" i="13"/>
  <c r="L508" i="13"/>
  <c r="M508" i="13"/>
  <c r="N508" i="13"/>
  <c r="O508" i="13"/>
  <c r="P508" i="13"/>
  <c r="Q508" i="13"/>
  <c r="R508" i="13"/>
  <c r="S508" i="13"/>
  <c r="T508" i="13"/>
  <c r="J509" i="13"/>
  <c r="K509" i="13"/>
  <c r="L509" i="13"/>
  <c r="M509" i="13"/>
  <c r="N509" i="13"/>
  <c r="O509" i="13"/>
  <c r="P509" i="13"/>
  <c r="Q509" i="13"/>
  <c r="R509" i="13"/>
  <c r="S509" i="13"/>
  <c r="T509" i="13"/>
  <c r="J510" i="13"/>
  <c r="K510" i="13"/>
  <c r="L510" i="13"/>
  <c r="M510" i="13"/>
  <c r="N510" i="13"/>
  <c r="O510" i="13"/>
  <c r="P510" i="13"/>
  <c r="Q510" i="13"/>
  <c r="R510" i="13"/>
  <c r="S510" i="13"/>
  <c r="T510" i="13"/>
  <c r="J511" i="13"/>
  <c r="K511" i="13"/>
  <c r="L511" i="13"/>
  <c r="M511" i="13"/>
  <c r="N511" i="13"/>
  <c r="O511" i="13"/>
  <c r="P511" i="13"/>
  <c r="Q511" i="13"/>
  <c r="R511" i="13"/>
  <c r="S511" i="13"/>
  <c r="T511" i="13"/>
  <c r="J512" i="13"/>
  <c r="K512" i="13"/>
  <c r="L512" i="13"/>
  <c r="M512" i="13"/>
  <c r="N512" i="13"/>
  <c r="O512" i="13"/>
  <c r="P512" i="13"/>
  <c r="Q512" i="13"/>
  <c r="R512" i="13"/>
  <c r="S512" i="13"/>
  <c r="T512" i="13"/>
  <c r="J513" i="13"/>
  <c r="K513" i="13"/>
  <c r="L513" i="13"/>
  <c r="M513" i="13"/>
  <c r="N513" i="13"/>
  <c r="O513" i="13"/>
  <c r="P513" i="13"/>
  <c r="Q513" i="13"/>
  <c r="R513" i="13"/>
  <c r="S513" i="13"/>
  <c r="T513" i="13"/>
  <c r="J514" i="13"/>
  <c r="K514" i="13"/>
  <c r="L514" i="13"/>
  <c r="M514" i="13"/>
  <c r="N514" i="13"/>
  <c r="O514" i="13"/>
  <c r="P514" i="13"/>
  <c r="Q514" i="13"/>
  <c r="R514" i="13"/>
  <c r="S514" i="13"/>
  <c r="T514" i="13"/>
  <c r="J515" i="13"/>
  <c r="K515" i="13"/>
  <c r="L515" i="13"/>
  <c r="M515" i="13"/>
  <c r="N515" i="13"/>
  <c r="O515" i="13"/>
  <c r="P515" i="13"/>
  <c r="Q515" i="13"/>
  <c r="R515" i="13"/>
  <c r="S515" i="13"/>
  <c r="T515" i="13"/>
  <c r="J516" i="13"/>
  <c r="K516" i="13"/>
  <c r="L516" i="13"/>
  <c r="M516" i="13"/>
  <c r="N516" i="13"/>
  <c r="O516" i="13"/>
  <c r="P516" i="13"/>
  <c r="Q516" i="13"/>
  <c r="R516" i="13"/>
  <c r="S516" i="13"/>
  <c r="T516" i="13"/>
  <c r="J517" i="13"/>
  <c r="K517" i="13"/>
  <c r="L517" i="13"/>
  <c r="M517" i="13"/>
  <c r="N517" i="13"/>
  <c r="O517" i="13"/>
  <c r="P517" i="13"/>
  <c r="Q517" i="13"/>
  <c r="R517" i="13"/>
  <c r="S517" i="13"/>
  <c r="T517" i="13"/>
  <c r="J518" i="13"/>
  <c r="K518" i="13"/>
  <c r="L518" i="13"/>
  <c r="M518" i="13"/>
  <c r="N518" i="13"/>
  <c r="O518" i="13"/>
  <c r="P518" i="13"/>
  <c r="Q518" i="13"/>
  <c r="R518" i="13"/>
  <c r="S518" i="13"/>
  <c r="T518" i="13"/>
  <c r="J519" i="13"/>
  <c r="K519" i="13"/>
  <c r="L519" i="13"/>
  <c r="M519" i="13"/>
  <c r="N519" i="13"/>
  <c r="O519" i="13"/>
  <c r="P519" i="13"/>
  <c r="Q519" i="13"/>
  <c r="R519" i="13"/>
  <c r="S519" i="13"/>
  <c r="T519" i="13"/>
  <c r="J520" i="13"/>
  <c r="K520" i="13"/>
  <c r="L520" i="13"/>
  <c r="M520" i="13"/>
  <c r="N520" i="13"/>
  <c r="O520" i="13"/>
  <c r="P520" i="13"/>
  <c r="Q520" i="13"/>
  <c r="R520" i="13"/>
  <c r="S520" i="13"/>
  <c r="T520" i="13"/>
  <c r="J521" i="13"/>
  <c r="K521" i="13"/>
  <c r="L521" i="13"/>
  <c r="M521" i="13"/>
  <c r="N521" i="13"/>
  <c r="O521" i="13"/>
  <c r="P521" i="13"/>
  <c r="Q521" i="13"/>
  <c r="R521" i="13"/>
  <c r="S521" i="13"/>
  <c r="T521" i="13"/>
  <c r="J522" i="13"/>
  <c r="K522" i="13"/>
  <c r="L522" i="13"/>
  <c r="M522" i="13"/>
  <c r="N522" i="13"/>
  <c r="O522" i="13"/>
  <c r="P522" i="13"/>
  <c r="Q522" i="13"/>
  <c r="R522" i="13"/>
  <c r="S522" i="13"/>
  <c r="T522" i="13"/>
  <c r="J523" i="13"/>
  <c r="K523" i="13"/>
  <c r="L523" i="13"/>
  <c r="M523" i="13"/>
  <c r="N523" i="13"/>
  <c r="O523" i="13"/>
  <c r="P523" i="13"/>
  <c r="Q523" i="13"/>
  <c r="R523" i="13"/>
  <c r="S523" i="13"/>
  <c r="T523" i="13"/>
  <c r="J524" i="13"/>
  <c r="K524" i="13"/>
  <c r="L524" i="13"/>
  <c r="M524" i="13"/>
  <c r="N524" i="13"/>
  <c r="O524" i="13"/>
  <c r="P524" i="13"/>
  <c r="Q524" i="13"/>
  <c r="R524" i="13"/>
  <c r="S524" i="13"/>
  <c r="T524" i="13"/>
  <c r="J525" i="13"/>
  <c r="K525" i="13"/>
  <c r="L525" i="13"/>
  <c r="M525" i="13"/>
  <c r="N525" i="13"/>
  <c r="O525" i="13"/>
  <c r="P525" i="13"/>
  <c r="Q525" i="13"/>
  <c r="R525" i="13"/>
  <c r="S525" i="13"/>
  <c r="T525" i="13"/>
  <c r="J526" i="13"/>
  <c r="K526" i="13"/>
  <c r="L526" i="13"/>
  <c r="M526" i="13"/>
  <c r="N526" i="13"/>
  <c r="O526" i="13"/>
  <c r="P526" i="13"/>
  <c r="Q526" i="13"/>
  <c r="R526" i="13"/>
  <c r="S526" i="13"/>
  <c r="T526" i="13"/>
  <c r="J527" i="13"/>
  <c r="K527" i="13"/>
  <c r="L527" i="13"/>
  <c r="M527" i="13"/>
  <c r="N527" i="13"/>
  <c r="O527" i="13"/>
  <c r="P527" i="13"/>
  <c r="Q527" i="13"/>
  <c r="R527" i="13"/>
  <c r="S527" i="13"/>
  <c r="T527" i="13"/>
  <c r="J528" i="13"/>
  <c r="K528" i="13"/>
  <c r="L528" i="13"/>
  <c r="M528" i="13"/>
  <c r="N528" i="13"/>
  <c r="O528" i="13"/>
  <c r="P528" i="13"/>
  <c r="Q528" i="13"/>
  <c r="R528" i="13"/>
  <c r="S528" i="13"/>
  <c r="T528" i="13"/>
  <c r="J529" i="13"/>
  <c r="K529" i="13"/>
  <c r="L529" i="13"/>
  <c r="M529" i="13"/>
  <c r="N529" i="13"/>
  <c r="O529" i="13"/>
  <c r="P529" i="13"/>
  <c r="Q529" i="13"/>
  <c r="R529" i="13"/>
  <c r="S529" i="13"/>
  <c r="T529" i="13"/>
  <c r="J530" i="13"/>
  <c r="K530" i="13"/>
  <c r="L530" i="13"/>
  <c r="M530" i="13"/>
  <c r="N530" i="13"/>
  <c r="O530" i="13"/>
  <c r="P530" i="13"/>
  <c r="Q530" i="13"/>
  <c r="R530" i="13"/>
  <c r="S530" i="13"/>
  <c r="T530" i="13"/>
  <c r="J531" i="13"/>
  <c r="K531" i="13"/>
  <c r="L531" i="13"/>
  <c r="M531" i="13"/>
  <c r="N531" i="13"/>
  <c r="O531" i="13"/>
  <c r="P531" i="13"/>
  <c r="Q531" i="13"/>
  <c r="R531" i="13"/>
  <c r="S531" i="13"/>
  <c r="T531" i="13"/>
  <c r="J532" i="13"/>
  <c r="K532" i="13"/>
  <c r="L532" i="13"/>
  <c r="M532" i="13"/>
  <c r="N532" i="13"/>
  <c r="O532" i="13"/>
  <c r="P532" i="13"/>
  <c r="Q532" i="13"/>
  <c r="R532" i="13"/>
  <c r="S532" i="13"/>
  <c r="T532" i="13"/>
  <c r="J533" i="13"/>
  <c r="K533" i="13"/>
  <c r="L533" i="13"/>
  <c r="M533" i="13"/>
  <c r="N533" i="13"/>
  <c r="O533" i="13"/>
  <c r="P533" i="13"/>
  <c r="Q533" i="13"/>
  <c r="R533" i="13"/>
  <c r="S533" i="13"/>
  <c r="T533" i="13"/>
  <c r="J534" i="13"/>
  <c r="K534" i="13"/>
  <c r="L534" i="13"/>
  <c r="M534" i="13"/>
  <c r="N534" i="13"/>
  <c r="O534" i="13"/>
  <c r="P534" i="13"/>
  <c r="Q534" i="13"/>
  <c r="R534" i="13"/>
  <c r="S534" i="13"/>
  <c r="T534" i="13"/>
  <c r="J535" i="13"/>
  <c r="K535" i="13"/>
  <c r="L535" i="13"/>
  <c r="M535" i="13"/>
  <c r="N535" i="13"/>
  <c r="O535" i="13"/>
  <c r="P535" i="13"/>
  <c r="Q535" i="13"/>
  <c r="R535" i="13"/>
  <c r="S535" i="13"/>
  <c r="T535" i="13"/>
  <c r="J536" i="13"/>
  <c r="K536" i="13"/>
  <c r="L536" i="13"/>
  <c r="M536" i="13"/>
  <c r="N536" i="13"/>
  <c r="O536" i="13"/>
  <c r="P536" i="13"/>
  <c r="Q536" i="13"/>
  <c r="R536" i="13"/>
  <c r="S536" i="13"/>
  <c r="T536" i="13"/>
  <c r="J537" i="13"/>
  <c r="K537" i="13"/>
  <c r="L537" i="13"/>
  <c r="M537" i="13"/>
  <c r="N537" i="13"/>
  <c r="O537" i="13"/>
  <c r="P537" i="13"/>
  <c r="Q537" i="13"/>
  <c r="R537" i="13"/>
  <c r="S537" i="13"/>
  <c r="T537" i="13"/>
  <c r="J538" i="13"/>
  <c r="K538" i="13"/>
  <c r="L538" i="13"/>
  <c r="M538" i="13"/>
  <c r="N538" i="13"/>
  <c r="O538" i="13"/>
  <c r="P538" i="13"/>
  <c r="Q538" i="13"/>
  <c r="R538" i="13"/>
  <c r="S538" i="13"/>
  <c r="T538" i="13"/>
  <c r="J539" i="13"/>
  <c r="K539" i="13"/>
  <c r="L539" i="13"/>
  <c r="M539" i="13"/>
  <c r="N539" i="13"/>
  <c r="O539" i="13"/>
  <c r="P539" i="13"/>
  <c r="Q539" i="13"/>
  <c r="R539" i="13"/>
  <c r="S539" i="13"/>
  <c r="T539" i="13"/>
  <c r="J540" i="13"/>
  <c r="K540" i="13"/>
  <c r="L540" i="13"/>
  <c r="M540" i="13"/>
  <c r="N540" i="13"/>
  <c r="O540" i="13"/>
  <c r="P540" i="13"/>
  <c r="Q540" i="13"/>
  <c r="R540" i="13"/>
  <c r="S540" i="13"/>
  <c r="T540" i="13"/>
  <c r="J541" i="13"/>
  <c r="K541" i="13"/>
  <c r="L541" i="13"/>
  <c r="M541" i="13"/>
  <c r="N541" i="13"/>
  <c r="O541" i="13"/>
  <c r="P541" i="13"/>
  <c r="Q541" i="13"/>
  <c r="R541" i="13"/>
  <c r="S541" i="13"/>
  <c r="T541" i="13"/>
  <c r="J542" i="13"/>
  <c r="K542" i="13"/>
  <c r="L542" i="13"/>
  <c r="M542" i="13"/>
  <c r="N542" i="13"/>
  <c r="O542" i="13"/>
  <c r="P542" i="13"/>
  <c r="Q542" i="13"/>
  <c r="R542" i="13"/>
  <c r="S542" i="13"/>
  <c r="T542" i="13"/>
  <c r="J543" i="13"/>
  <c r="K543" i="13"/>
  <c r="L543" i="13"/>
  <c r="M543" i="13"/>
  <c r="N543" i="13"/>
  <c r="O543" i="13"/>
  <c r="P543" i="13"/>
  <c r="Q543" i="13"/>
  <c r="R543" i="13"/>
  <c r="S543" i="13"/>
  <c r="T543" i="13"/>
  <c r="J544" i="13"/>
  <c r="K544" i="13"/>
  <c r="L544" i="13"/>
  <c r="M544" i="13"/>
  <c r="N544" i="13"/>
  <c r="O544" i="13"/>
  <c r="P544" i="13"/>
  <c r="Q544" i="13"/>
  <c r="R544" i="13"/>
  <c r="S544" i="13"/>
  <c r="T544" i="13"/>
  <c r="J545" i="13"/>
  <c r="K545" i="13"/>
  <c r="L545" i="13"/>
  <c r="M545" i="13"/>
  <c r="N545" i="13"/>
  <c r="O545" i="13"/>
  <c r="P545" i="13"/>
  <c r="Q545" i="13"/>
  <c r="R545" i="13"/>
  <c r="S545" i="13"/>
  <c r="T545" i="13"/>
  <c r="J546" i="13"/>
  <c r="K546" i="13"/>
  <c r="L546" i="13"/>
  <c r="M546" i="13"/>
  <c r="N546" i="13"/>
  <c r="O546" i="13"/>
  <c r="P546" i="13"/>
  <c r="Q546" i="13"/>
  <c r="R546" i="13"/>
  <c r="S546" i="13"/>
  <c r="T546" i="13"/>
  <c r="J547" i="13"/>
  <c r="K547" i="13"/>
  <c r="L547" i="13"/>
  <c r="M547" i="13"/>
  <c r="N547" i="13"/>
  <c r="O547" i="13"/>
  <c r="P547" i="13"/>
  <c r="Q547" i="13"/>
  <c r="R547" i="13"/>
  <c r="S547" i="13"/>
  <c r="T547" i="13"/>
  <c r="J548" i="13"/>
  <c r="K548" i="13"/>
  <c r="L548" i="13"/>
  <c r="M548" i="13"/>
  <c r="N548" i="13"/>
  <c r="O548" i="13"/>
  <c r="P548" i="13"/>
  <c r="Q548" i="13"/>
  <c r="R548" i="13"/>
  <c r="S548" i="13"/>
  <c r="T548" i="13"/>
  <c r="J549" i="13"/>
  <c r="K549" i="13"/>
  <c r="L549" i="13"/>
  <c r="M549" i="13"/>
  <c r="N549" i="13"/>
  <c r="O549" i="13"/>
  <c r="P549" i="13"/>
  <c r="Q549" i="13"/>
  <c r="R549" i="13"/>
  <c r="S549" i="13"/>
  <c r="T549" i="13"/>
  <c r="J550" i="13"/>
  <c r="K550" i="13"/>
  <c r="L550" i="13"/>
  <c r="M550" i="13"/>
  <c r="N550" i="13"/>
  <c r="O550" i="13"/>
  <c r="P550" i="13"/>
  <c r="Q550" i="13"/>
  <c r="R550" i="13"/>
  <c r="S550" i="13"/>
  <c r="T550" i="13"/>
  <c r="J551" i="13"/>
  <c r="K551" i="13"/>
  <c r="L551" i="13"/>
  <c r="M551" i="13"/>
  <c r="N551" i="13"/>
  <c r="O551" i="13"/>
  <c r="P551" i="13"/>
  <c r="Q551" i="13"/>
  <c r="R551" i="13"/>
  <c r="S551" i="13"/>
  <c r="T551" i="13"/>
  <c r="J552" i="13"/>
  <c r="K552" i="13"/>
  <c r="L552" i="13"/>
  <c r="M552" i="13"/>
  <c r="N552" i="13"/>
  <c r="O552" i="13"/>
  <c r="P552" i="13"/>
  <c r="Q552" i="13"/>
  <c r="R552" i="13"/>
  <c r="S552" i="13"/>
  <c r="T552" i="13"/>
  <c r="J553" i="13"/>
  <c r="K553" i="13"/>
  <c r="L553" i="13"/>
  <c r="M553" i="13"/>
  <c r="N553" i="13"/>
  <c r="O553" i="13"/>
  <c r="P553" i="13"/>
  <c r="Q553" i="13"/>
  <c r="R553" i="13"/>
  <c r="S553" i="13"/>
  <c r="T553" i="13"/>
  <c r="J554" i="13"/>
  <c r="K554" i="13"/>
  <c r="L554" i="13"/>
  <c r="M554" i="13"/>
  <c r="N554" i="13"/>
  <c r="O554" i="13"/>
  <c r="P554" i="13"/>
  <c r="Q554" i="13"/>
  <c r="R554" i="13"/>
  <c r="S554" i="13"/>
  <c r="T554" i="13"/>
  <c r="J555" i="13"/>
  <c r="K555" i="13"/>
  <c r="L555" i="13"/>
  <c r="M555" i="13"/>
  <c r="N555" i="13"/>
  <c r="O555" i="13"/>
  <c r="P555" i="13"/>
  <c r="Q555" i="13"/>
  <c r="R555" i="13"/>
  <c r="S555" i="13"/>
  <c r="T555" i="13"/>
  <c r="J556" i="13"/>
  <c r="K556" i="13"/>
  <c r="L556" i="13"/>
  <c r="M556" i="13"/>
  <c r="N556" i="13"/>
  <c r="O556" i="13"/>
  <c r="P556" i="13"/>
  <c r="Q556" i="13"/>
  <c r="R556" i="13"/>
  <c r="S556" i="13"/>
  <c r="T556" i="13"/>
  <c r="J557" i="13"/>
  <c r="K557" i="13"/>
  <c r="L557" i="13"/>
  <c r="M557" i="13"/>
  <c r="N557" i="13"/>
  <c r="O557" i="13"/>
  <c r="P557" i="13"/>
  <c r="Q557" i="13"/>
  <c r="R557" i="13"/>
  <c r="S557" i="13"/>
  <c r="T557" i="13"/>
  <c r="J558" i="13"/>
  <c r="K558" i="13"/>
  <c r="L558" i="13"/>
  <c r="M558" i="13"/>
  <c r="N558" i="13"/>
  <c r="O558" i="13"/>
  <c r="P558" i="13"/>
  <c r="Q558" i="13"/>
  <c r="R558" i="13"/>
  <c r="S558" i="13"/>
  <c r="T558" i="13"/>
  <c r="J559" i="13"/>
  <c r="K559" i="13"/>
  <c r="L559" i="13"/>
  <c r="M559" i="13"/>
  <c r="N559" i="13"/>
  <c r="O559" i="13"/>
  <c r="P559" i="13"/>
  <c r="Q559" i="13"/>
  <c r="R559" i="13"/>
  <c r="S559" i="13"/>
  <c r="T559" i="13"/>
  <c r="J560" i="13"/>
  <c r="K560" i="13"/>
  <c r="L560" i="13"/>
  <c r="M560" i="13"/>
  <c r="N560" i="13"/>
  <c r="O560" i="13"/>
  <c r="P560" i="13"/>
  <c r="Q560" i="13"/>
  <c r="R560" i="13"/>
  <c r="S560" i="13"/>
  <c r="T560" i="13"/>
  <c r="J561" i="13"/>
  <c r="K561" i="13"/>
  <c r="L561" i="13"/>
  <c r="M561" i="13"/>
  <c r="N561" i="13"/>
  <c r="O561" i="13"/>
  <c r="P561" i="13"/>
  <c r="Q561" i="13"/>
  <c r="R561" i="13"/>
  <c r="S561" i="13"/>
  <c r="T561" i="13"/>
  <c r="J562" i="13"/>
  <c r="K562" i="13"/>
  <c r="L562" i="13"/>
  <c r="M562" i="13"/>
  <c r="N562" i="13"/>
  <c r="O562" i="13"/>
  <c r="P562" i="13"/>
  <c r="Q562" i="13"/>
  <c r="R562" i="13"/>
  <c r="S562" i="13"/>
  <c r="T562" i="13"/>
  <c r="J563" i="13"/>
  <c r="K563" i="13"/>
  <c r="L563" i="13"/>
  <c r="M563" i="13"/>
  <c r="N563" i="13"/>
  <c r="O563" i="13"/>
  <c r="P563" i="13"/>
  <c r="Q563" i="13"/>
  <c r="R563" i="13"/>
  <c r="S563" i="13"/>
  <c r="T563" i="13"/>
  <c r="J564" i="13"/>
  <c r="K564" i="13"/>
  <c r="L564" i="13"/>
  <c r="M564" i="13"/>
  <c r="N564" i="13"/>
  <c r="O564" i="13"/>
  <c r="P564" i="13"/>
  <c r="Q564" i="13"/>
  <c r="R564" i="13"/>
  <c r="S564" i="13"/>
  <c r="T564" i="13"/>
  <c r="J565" i="13"/>
  <c r="K565" i="13"/>
  <c r="L565" i="13"/>
  <c r="M565" i="13"/>
  <c r="N565" i="13"/>
  <c r="O565" i="13"/>
  <c r="P565" i="13"/>
  <c r="Q565" i="13"/>
  <c r="R565" i="13"/>
  <c r="S565" i="13"/>
  <c r="T565" i="13"/>
  <c r="J566" i="13"/>
  <c r="K566" i="13"/>
  <c r="L566" i="13"/>
  <c r="M566" i="13"/>
  <c r="N566" i="13"/>
  <c r="O566" i="13"/>
  <c r="P566" i="13"/>
  <c r="Q566" i="13"/>
  <c r="R566" i="13"/>
  <c r="S566" i="13"/>
  <c r="T566" i="13"/>
  <c r="J567" i="13"/>
  <c r="K567" i="13"/>
  <c r="L567" i="13"/>
  <c r="M567" i="13"/>
  <c r="N567" i="13"/>
  <c r="O567" i="13"/>
  <c r="P567" i="13"/>
  <c r="Q567" i="13"/>
  <c r="R567" i="13"/>
  <c r="S567" i="13"/>
  <c r="T567" i="13"/>
  <c r="J568" i="13"/>
  <c r="K568" i="13"/>
  <c r="L568" i="13"/>
  <c r="M568" i="13"/>
  <c r="N568" i="13"/>
  <c r="O568" i="13"/>
  <c r="P568" i="13"/>
  <c r="Q568" i="13"/>
  <c r="R568" i="13"/>
  <c r="S568" i="13"/>
  <c r="T568" i="13"/>
  <c r="J569" i="13"/>
  <c r="K569" i="13"/>
  <c r="L569" i="13"/>
  <c r="M569" i="13"/>
  <c r="N569" i="13"/>
  <c r="O569" i="13"/>
  <c r="P569" i="13"/>
  <c r="Q569" i="13"/>
  <c r="R569" i="13"/>
  <c r="S569" i="13"/>
  <c r="T569" i="13"/>
  <c r="J570" i="13"/>
  <c r="K570" i="13"/>
  <c r="L570" i="13"/>
  <c r="M570" i="13"/>
  <c r="N570" i="13"/>
  <c r="O570" i="13"/>
  <c r="P570" i="13"/>
  <c r="Q570" i="13"/>
  <c r="R570" i="13"/>
  <c r="S570" i="13"/>
  <c r="T570" i="13"/>
  <c r="J571" i="13"/>
  <c r="K571" i="13"/>
  <c r="L571" i="13"/>
  <c r="M571" i="13"/>
  <c r="N571" i="13"/>
  <c r="O571" i="13"/>
  <c r="P571" i="13"/>
  <c r="Q571" i="13"/>
  <c r="R571" i="13"/>
  <c r="S571" i="13"/>
  <c r="T571" i="13"/>
  <c r="J572" i="13"/>
  <c r="K572" i="13"/>
  <c r="L572" i="13"/>
  <c r="M572" i="13"/>
  <c r="N572" i="13"/>
  <c r="O572" i="13"/>
  <c r="P572" i="13"/>
  <c r="Q572" i="13"/>
  <c r="R572" i="13"/>
  <c r="S572" i="13"/>
  <c r="T572" i="13"/>
  <c r="J573" i="13"/>
  <c r="K573" i="13"/>
  <c r="L573" i="13"/>
  <c r="M573" i="13"/>
  <c r="N573" i="13"/>
  <c r="O573" i="13"/>
  <c r="P573" i="13"/>
  <c r="Q573" i="13"/>
  <c r="R573" i="13"/>
  <c r="S573" i="13"/>
  <c r="T573" i="13"/>
  <c r="J574" i="13"/>
  <c r="K574" i="13"/>
  <c r="L574" i="13"/>
  <c r="M574" i="13"/>
  <c r="N574" i="13"/>
  <c r="O574" i="13"/>
  <c r="P574" i="13"/>
  <c r="Q574" i="13"/>
  <c r="R574" i="13"/>
  <c r="S574" i="13"/>
  <c r="T574" i="13"/>
  <c r="J575" i="13"/>
  <c r="K575" i="13"/>
  <c r="L575" i="13"/>
  <c r="M575" i="13"/>
  <c r="N575" i="13"/>
  <c r="O575" i="13"/>
  <c r="P575" i="13"/>
  <c r="Q575" i="13"/>
  <c r="R575" i="13"/>
  <c r="S575" i="13"/>
  <c r="T575" i="13"/>
  <c r="J576" i="13"/>
  <c r="K576" i="13"/>
  <c r="L576" i="13"/>
  <c r="M576" i="13"/>
  <c r="N576" i="13"/>
  <c r="O576" i="13"/>
  <c r="P576" i="13"/>
  <c r="Q576" i="13"/>
  <c r="R576" i="13"/>
  <c r="S576" i="13"/>
  <c r="T576" i="13"/>
  <c r="J577" i="13"/>
  <c r="K577" i="13"/>
  <c r="L577" i="13"/>
  <c r="M577" i="13"/>
  <c r="N577" i="13"/>
  <c r="O577" i="13"/>
  <c r="P577" i="13"/>
  <c r="Q577" i="13"/>
  <c r="R577" i="13"/>
  <c r="S577" i="13"/>
  <c r="T577" i="13"/>
  <c r="J578" i="13"/>
  <c r="K578" i="13"/>
  <c r="L578" i="13"/>
  <c r="M578" i="13"/>
  <c r="N578" i="13"/>
  <c r="O578" i="13"/>
  <c r="P578" i="13"/>
  <c r="Q578" i="13"/>
  <c r="R578" i="13"/>
  <c r="S578" i="13"/>
  <c r="T578" i="13"/>
  <c r="J579" i="13"/>
  <c r="K579" i="13"/>
  <c r="L579" i="13"/>
  <c r="M579" i="13"/>
  <c r="N579" i="13"/>
  <c r="O579" i="13"/>
  <c r="P579" i="13"/>
  <c r="Q579" i="13"/>
  <c r="R579" i="13"/>
  <c r="S579" i="13"/>
  <c r="T579" i="13"/>
  <c r="J580" i="13"/>
  <c r="K580" i="13"/>
  <c r="L580" i="13"/>
  <c r="M580" i="13"/>
  <c r="N580" i="13"/>
  <c r="O580" i="13"/>
  <c r="P580" i="13"/>
  <c r="Q580" i="13"/>
  <c r="R580" i="13"/>
  <c r="S580" i="13"/>
  <c r="T580" i="13"/>
  <c r="J581" i="13"/>
  <c r="K581" i="13"/>
  <c r="L581" i="13"/>
  <c r="M581" i="13"/>
  <c r="N581" i="13"/>
  <c r="O581" i="13"/>
  <c r="P581" i="13"/>
  <c r="Q581" i="13"/>
  <c r="R581" i="13"/>
  <c r="S581" i="13"/>
  <c r="T581" i="13"/>
  <c r="J582" i="13"/>
  <c r="K582" i="13"/>
  <c r="L582" i="13"/>
  <c r="M582" i="13"/>
  <c r="N582" i="13"/>
  <c r="O582" i="13"/>
  <c r="P582" i="13"/>
  <c r="Q582" i="13"/>
  <c r="R582" i="13"/>
  <c r="S582" i="13"/>
  <c r="T582" i="13"/>
  <c r="J583" i="13"/>
  <c r="K583" i="13"/>
  <c r="L583" i="13"/>
  <c r="M583" i="13"/>
  <c r="N583" i="13"/>
  <c r="O583" i="13"/>
  <c r="J584" i="13"/>
  <c r="K584" i="13"/>
  <c r="L584" i="13"/>
  <c r="M584" i="13"/>
  <c r="N584" i="13"/>
  <c r="O584" i="13"/>
  <c r="P584" i="13"/>
  <c r="Q584" i="13"/>
  <c r="R584" i="13"/>
  <c r="T584" i="13" s="1"/>
  <c r="S584" i="13"/>
  <c r="J585" i="13"/>
  <c r="K585" i="13"/>
  <c r="L585" i="13"/>
  <c r="M585" i="13"/>
  <c r="N585" i="13"/>
  <c r="O585" i="13"/>
  <c r="P585" i="13" s="1"/>
  <c r="R585" i="13" s="1"/>
  <c r="T585" i="13" s="1"/>
  <c r="Q585" i="13"/>
  <c r="S585" i="13"/>
  <c r="J586" i="13"/>
  <c r="K586" i="13"/>
  <c r="L586" i="13"/>
  <c r="M586" i="13"/>
  <c r="N586" i="13"/>
  <c r="O586" i="13"/>
  <c r="P586" i="13" s="1"/>
  <c r="R586" i="13" s="1"/>
  <c r="T586" i="13" s="1"/>
  <c r="Q586" i="13"/>
  <c r="S586" i="13"/>
  <c r="J587" i="13"/>
  <c r="K587" i="13"/>
  <c r="L587" i="13"/>
  <c r="M587" i="13"/>
  <c r="N587" i="13"/>
  <c r="O587" i="13"/>
  <c r="P587" i="13"/>
  <c r="Q587" i="13"/>
  <c r="R587" i="13"/>
  <c r="T587" i="13" s="1"/>
  <c r="S587" i="13"/>
  <c r="J588" i="13"/>
  <c r="K588" i="13"/>
  <c r="L588" i="13"/>
  <c r="M588" i="13"/>
  <c r="N588" i="13"/>
  <c r="O588" i="13"/>
  <c r="P588" i="13"/>
  <c r="Q588" i="13"/>
  <c r="R588" i="13"/>
  <c r="T588" i="13" s="1"/>
  <c r="S588" i="13"/>
  <c r="J589" i="13"/>
  <c r="K589" i="13"/>
  <c r="L589" i="13"/>
  <c r="M589" i="13"/>
  <c r="N589" i="13"/>
  <c r="O589" i="13"/>
  <c r="P589" i="13" s="1"/>
  <c r="R589" i="13" s="1"/>
  <c r="T589" i="13" s="1"/>
  <c r="Q589" i="13"/>
  <c r="S589" i="13"/>
  <c r="J590" i="13"/>
  <c r="K590" i="13"/>
  <c r="L590" i="13"/>
  <c r="M590" i="13"/>
  <c r="N590" i="13"/>
  <c r="O590" i="13"/>
  <c r="P590" i="13" s="1"/>
  <c r="R590" i="13" s="1"/>
  <c r="T590" i="13" s="1"/>
  <c r="Q590" i="13"/>
  <c r="S590" i="13"/>
  <c r="J591" i="13"/>
  <c r="K591" i="13"/>
  <c r="L591" i="13"/>
  <c r="M591" i="13"/>
  <c r="N591" i="13"/>
  <c r="O591" i="13"/>
  <c r="P591" i="13" s="1"/>
  <c r="R591" i="13" s="1"/>
  <c r="T591" i="13" s="1"/>
  <c r="Q591" i="13"/>
  <c r="S591" i="13"/>
  <c r="J592" i="13"/>
  <c r="K592" i="13"/>
  <c r="L592" i="13"/>
  <c r="M592" i="13"/>
  <c r="N592" i="13"/>
  <c r="O592" i="13"/>
  <c r="J593" i="13"/>
  <c r="K593" i="13"/>
  <c r="L593" i="13"/>
  <c r="M593" i="13"/>
  <c r="N593" i="13"/>
  <c r="O593" i="13"/>
  <c r="J594" i="13"/>
  <c r="K594" i="13"/>
  <c r="L594" i="13"/>
  <c r="M594" i="13"/>
  <c r="N594" i="13"/>
  <c r="O594" i="13"/>
  <c r="P594" i="13" s="1"/>
  <c r="R594" i="13" s="1"/>
  <c r="T594" i="13" s="1"/>
  <c r="Q594" i="13"/>
  <c r="S594" i="13"/>
  <c r="J595" i="13"/>
  <c r="K595" i="13"/>
  <c r="L595" i="13"/>
  <c r="M595" i="13"/>
  <c r="N595" i="13"/>
  <c r="O595" i="13"/>
  <c r="P595" i="13" s="1"/>
  <c r="R595" i="13" s="1"/>
  <c r="T595" i="13" s="1"/>
  <c r="Q595" i="13"/>
  <c r="S595" i="13"/>
  <c r="J596" i="13"/>
  <c r="K596" i="13"/>
  <c r="L596" i="13"/>
  <c r="M596" i="13"/>
  <c r="N596" i="13"/>
  <c r="O596" i="13"/>
  <c r="P596" i="13" s="1"/>
  <c r="R596" i="13" s="1"/>
  <c r="T596" i="13" s="1"/>
  <c r="Q596" i="13"/>
  <c r="S596" i="13"/>
  <c r="J597" i="13"/>
  <c r="K597" i="13"/>
  <c r="L597" i="13"/>
  <c r="M597" i="13"/>
  <c r="N597" i="13"/>
  <c r="O597" i="13"/>
  <c r="P597" i="13" s="1"/>
  <c r="R597" i="13" s="1"/>
  <c r="T597" i="13" s="1"/>
  <c r="Q597" i="13"/>
  <c r="S597" i="13"/>
  <c r="J598" i="13"/>
  <c r="K598" i="13"/>
  <c r="L598" i="13"/>
  <c r="M598" i="13"/>
  <c r="N598" i="13"/>
  <c r="O598" i="13"/>
  <c r="P598" i="13" s="1"/>
  <c r="R598" i="13" s="1"/>
  <c r="T598" i="13" s="1"/>
  <c r="Q598" i="13"/>
  <c r="S598" i="13"/>
  <c r="J599" i="13"/>
  <c r="K599" i="13"/>
  <c r="L599" i="13"/>
  <c r="M599" i="13"/>
  <c r="N599" i="13"/>
  <c r="O599" i="13"/>
  <c r="P599" i="13"/>
  <c r="Q599" i="13"/>
  <c r="R599" i="13"/>
  <c r="S599" i="13"/>
  <c r="T599" i="13" s="1"/>
  <c r="J600" i="13"/>
  <c r="K600" i="13"/>
  <c r="L600" i="13"/>
  <c r="M600" i="13"/>
  <c r="N600" i="13"/>
  <c r="O600" i="13"/>
  <c r="P600" i="13" s="1"/>
  <c r="R600" i="13" s="1"/>
  <c r="T600" i="13" s="1"/>
  <c r="Q600" i="13"/>
  <c r="S600" i="13"/>
  <c r="J601" i="13"/>
  <c r="K601" i="13"/>
  <c r="L601" i="13"/>
  <c r="M601" i="13"/>
  <c r="N601" i="13"/>
  <c r="O601" i="13"/>
  <c r="Q601" i="13" s="1"/>
  <c r="S601" i="13" s="1"/>
  <c r="P601" i="13"/>
  <c r="R601" i="13"/>
  <c r="T601" i="13" s="1"/>
  <c r="J602" i="13"/>
  <c r="K602" i="13"/>
  <c r="L602" i="13"/>
  <c r="M602" i="13"/>
  <c r="N602" i="13"/>
  <c r="O602" i="13"/>
  <c r="P602" i="13" s="1"/>
  <c r="R602" i="13" s="1"/>
  <c r="T602" i="13" s="1"/>
  <c r="Q602" i="13"/>
  <c r="S602" i="13"/>
  <c r="J603" i="13"/>
  <c r="K603" i="13"/>
  <c r="L603" i="13"/>
  <c r="M603" i="13"/>
  <c r="N603" i="13"/>
  <c r="O603" i="13"/>
  <c r="J604" i="13"/>
  <c r="K604" i="13"/>
  <c r="L604" i="13"/>
  <c r="M604" i="13"/>
  <c r="N604" i="13"/>
  <c r="O604" i="13"/>
  <c r="J605" i="13"/>
  <c r="K605" i="13"/>
  <c r="L605" i="13"/>
  <c r="M605" i="13"/>
  <c r="N605" i="13"/>
  <c r="O605" i="13"/>
  <c r="P605" i="13" s="1"/>
  <c r="R605" i="13" s="1"/>
  <c r="T605" i="13" s="1"/>
  <c r="Q605" i="13"/>
  <c r="S605" i="13"/>
  <c r="J606" i="13"/>
  <c r="K606" i="13"/>
  <c r="L606" i="13"/>
  <c r="M606" i="13"/>
  <c r="N606" i="13"/>
  <c r="O606" i="13"/>
  <c r="P606" i="13" s="1"/>
  <c r="R606" i="13" s="1"/>
  <c r="T606" i="13" s="1"/>
  <c r="Q606" i="13"/>
  <c r="S606" i="13"/>
  <c r="J607" i="13"/>
  <c r="K607" i="13"/>
  <c r="L607" i="13"/>
  <c r="M607" i="13"/>
  <c r="N607" i="13"/>
  <c r="O607" i="13"/>
  <c r="J608" i="13"/>
  <c r="K608" i="13"/>
  <c r="L608" i="13"/>
  <c r="M608" i="13"/>
  <c r="N608" i="13"/>
  <c r="O608" i="13"/>
  <c r="P608" i="13" s="1"/>
  <c r="R608" i="13" s="1"/>
  <c r="T608" i="13" s="1"/>
  <c r="Q608" i="13"/>
  <c r="S608" i="13"/>
  <c r="J609" i="13"/>
  <c r="K609" i="13"/>
  <c r="L609" i="13"/>
  <c r="M609" i="13"/>
  <c r="N609" i="13"/>
  <c r="O609" i="13"/>
  <c r="P609" i="13"/>
  <c r="Q609" i="13"/>
  <c r="R609" i="13"/>
  <c r="T609" i="13" s="1"/>
  <c r="S609" i="13"/>
  <c r="J610" i="13"/>
  <c r="K610" i="13"/>
  <c r="L610" i="13"/>
  <c r="M610" i="13"/>
  <c r="N610" i="13"/>
  <c r="O610" i="13"/>
  <c r="P610" i="13"/>
  <c r="Q610" i="13"/>
  <c r="R610" i="13"/>
  <c r="T610" i="13" s="1"/>
  <c r="S610" i="13"/>
  <c r="J611" i="13"/>
  <c r="K611" i="13"/>
  <c r="L611" i="13"/>
  <c r="M611" i="13"/>
  <c r="N611" i="13"/>
  <c r="O611" i="13"/>
  <c r="J612" i="13"/>
  <c r="K612" i="13"/>
  <c r="L612" i="13"/>
  <c r="M612" i="13"/>
  <c r="N612" i="13"/>
  <c r="O612" i="13"/>
  <c r="P612" i="13" s="1"/>
  <c r="R612" i="13" s="1"/>
  <c r="T612" i="13" s="1"/>
  <c r="Q612" i="13"/>
  <c r="S612" i="13"/>
  <c r="J613" i="13"/>
  <c r="K613" i="13"/>
  <c r="L613" i="13"/>
  <c r="M613" i="13"/>
  <c r="N613" i="13"/>
  <c r="O613" i="13"/>
  <c r="P613" i="13"/>
  <c r="Q613" i="13"/>
  <c r="R613" i="13"/>
  <c r="S613" i="13"/>
  <c r="T613" i="13" s="1"/>
  <c r="J614" i="13"/>
  <c r="K614" i="13"/>
  <c r="L614" i="13"/>
  <c r="M614" i="13"/>
  <c r="N614" i="13"/>
  <c r="O614" i="13"/>
  <c r="J615" i="13"/>
  <c r="K615" i="13"/>
  <c r="L615" i="13"/>
  <c r="M615" i="13"/>
  <c r="N615" i="13"/>
  <c r="O615" i="13"/>
  <c r="P615" i="13"/>
  <c r="Q615" i="13"/>
  <c r="R615" i="13"/>
  <c r="T615" i="13" s="1"/>
  <c r="S615" i="13"/>
  <c r="J616" i="13"/>
  <c r="K616" i="13"/>
  <c r="L616" i="13"/>
  <c r="M616" i="13"/>
  <c r="N616" i="13"/>
  <c r="O616" i="13"/>
  <c r="P616" i="13"/>
  <c r="Q616" i="13"/>
  <c r="R616" i="13"/>
  <c r="T616" i="13" s="1"/>
  <c r="S616" i="13"/>
  <c r="J617" i="13"/>
  <c r="K617" i="13"/>
  <c r="L617" i="13"/>
  <c r="M617" i="13"/>
  <c r="N617" i="13"/>
  <c r="O617" i="13"/>
  <c r="P617" i="13"/>
  <c r="Q617" i="13"/>
  <c r="R617" i="13"/>
  <c r="T617" i="13" s="1"/>
  <c r="S617" i="13"/>
  <c r="J618" i="13"/>
  <c r="K618" i="13"/>
  <c r="L618" i="13"/>
  <c r="M618" i="13"/>
  <c r="N618" i="13"/>
  <c r="O618" i="13"/>
  <c r="P618" i="13"/>
  <c r="Q618" i="13"/>
  <c r="R618" i="13"/>
  <c r="T618" i="13" s="1"/>
  <c r="S618" i="13"/>
  <c r="J619" i="13"/>
  <c r="K619" i="13"/>
  <c r="L619" i="13"/>
  <c r="M619" i="13"/>
  <c r="N619" i="13"/>
  <c r="O619" i="13"/>
  <c r="P619" i="13" s="1"/>
  <c r="R619" i="13" s="1"/>
  <c r="T619" i="13" s="1"/>
  <c r="Q619" i="13"/>
  <c r="S619" i="13"/>
  <c r="J620" i="13"/>
  <c r="K620" i="13"/>
  <c r="L620" i="13"/>
  <c r="M620" i="13"/>
  <c r="N620" i="13"/>
  <c r="O620" i="13"/>
  <c r="P620" i="13"/>
  <c r="Q620" i="13"/>
  <c r="R620" i="13"/>
  <c r="T620" i="13" s="1"/>
  <c r="S620" i="13"/>
  <c r="J621" i="13"/>
  <c r="K621" i="13"/>
  <c r="L621" i="13"/>
  <c r="M621" i="13"/>
  <c r="N621" i="13"/>
  <c r="O621" i="13"/>
  <c r="P621" i="13" s="1"/>
  <c r="R621" i="13" s="1"/>
  <c r="T621" i="13" s="1"/>
  <c r="Q621" i="13"/>
  <c r="S621" i="13"/>
  <c r="J622" i="13"/>
  <c r="K622" i="13"/>
  <c r="L622" i="13"/>
  <c r="M622" i="13"/>
  <c r="N622" i="13"/>
  <c r="O622" i="13"/>
  <c r="P622" i="13" s="1"/>
  <c r="R622" i="13" s="1"/>
  <c r="T622" i="13" s="1"/>
  <c r="Q622" i="13"/>
  <c r="S622" i="13"/>
  <c r="J623" i="13"/>
  <c r="K623" i="13"/>
  <c r="L623" i="13"/>
  <c r="M623" i="13"/>
  <c r="N623" i="13"/>
  <c r="O623" i="13"/>
  <c r="P623" i="13"/>
  <c r="Q623" i="13"/>
  <c r="R623" i="13"/>
  <c r="T623" i="13" s="1"/>
  <c r="S623" i="13"/>
  <c r="J624" i="13"/>
  <c r="K624" i="13"/>
  <c r="L624" i="13"/>
  <c r="M624" i="13"/>
  <c r="N624" i="13"/>
  <c r="O624" i="13"/>
  <c r="P624" i="13" s="1"/>
  <c r="R624" i="13" s="1"/>
  <c r="T624" i="13" s="1"/>
  <c r="Q624" i="13"/>
  <c r="S624" i="13"/>
  <c r="J625" i="13"/>
  <c r="K625" i="13"/>
  <c r="L625" i="13"/>
  <c r="M625" i="13"/>
  <c r="N625" i="13"/>
  <c r="O625" i="13"/>
  <c r="J626" i="13"/>
  <c r="K626" i="13"/>
  <c r="L626" i="13"/>
  <c r="M626" i="13"/>
  <c r="N626" i="13"/>
  <c r="O626" i="13"/>
  <c r="P626" i="13"/>
  <c r="Q626" i="13"/>
  <c r="R626" i="13"/>
  <c r="T626" i="13" s="1"/>
  <c r="S626" i="13"/>
  <c r="J627" i="13"/>
  <c r="K627" i="13"/>
  <c r="L627" i="13"/>
  <c r="M627" i="13"/>
  <c r="N627" i="13"/>
  <c r="O627" i="13"/>
  <c r="P627" i="13" s="1"/>
  <c r="R627" i="13" s="1"/>
  <c r="T627" i="13" s="1"/>
  <c r="Q627" i="13"/>
  <c r="S627" i="13"/>
  <c r="J628" i="13"/>
  <c r="K628" i="13"/>
  <c r="L628" i="13"/>
  <c r="M628" i="13"/>
  <c r="N628" i="13"/>
  <c r="O628" i="13"/>
  <c r="P628" i="13" s="1"/>
  <c r="R628" i="13" s="1"/>
  <c r="T628" i="13" s="1"/>
  <c r="Q628" i="13"/>
  <c r="S628" i="13"/>
  <c r="J629" i="13"/>
  <c r="K629" i="13"/>
  <c r="L629" i="13"/>
  <c r="M629" i="13"/>
  <c r="N629" i="13"/>
  <c r="O629" i="13"/>
  <c r="P629" i="13" s="1"/>
  <c r="R629" i="13" s="1"/>
  <c r="T629" i="13" s="1"/>
  <c r="Q629" i="13"/>
  <c r="S629" i="13"/>
  <c r="J630" i="13"/>
  <c r="K630" i="13"/>
  <c r="L630" i="13"/>
  <c r="M630" i="13"/>
  <c r="N630" i="13"/>
  <c r="O630" i="13"/>
  <c r="P630" i="13"/>
  <c r="Q630" i="13"/>
  <c r="R630" i="13"/>
  <c r="T630" i="13" s="1"/>
  <c r="S630" i="13"/>
  <c r="J631" i="13"/>
  <c r="K631" i="13"/>
  <c r="L631" i="13"/>
  <c r="M631" i="13"/>
  <c r="N631" i="13"/>
  <c r="O631" i="13"/>
  <c r="P631" i="13"/>
  <c r="Q631" i="13"/>
  <c r="R631" i="13"/>
  <c r="T631" i="13" s="1"/>
  <c r="S631" i="13"/>
  <c r="J632" i="13"/>
  <c r="K632" i="13"/>
  <c r="L632" i="13"/>
  <c r="M632" i="13"/>
  <c r="N632" i="13"/>
  <c r="O632" i="13"/>
  <c r="P632" i="13"/>
  <c r="Q632" i="13"/>
  <c r="R632" i="13"/>
  <c r="T632" i="13" s="1"/>
  <c r="S632" i="13"/>
  <c r="J633" i="13"/>
  <c r="K633" i="13"/>
  <c r="L633" i="13"/>
  <c r="M633" i="13"/>
  <c r="N633" i="13"/>
  <c r="O633" i="13"/>
  <c r="P633" i="13"/>
  <c r="Q633" i="13"/>
  <c r="R633" i="13"/>
  <c r="T633" i="13" s="1"/>
  <c r="S633" i="13"/>
  <c r="J634" i="13"/>
  <c r="K634" i="13"/>
  <c r="L634" i="13"/>
  <c r="M634" i="13"/>
  <c r="N634" i="13"/>
  <c r="O634" i="13"/>
  <c r="P634" i="13" s="1"/>
  <c r="R634" i="13" s="1"/>
  <c r="T634" i="13" s="1"/>
  <c r="Q634" i="13"/>
  <c r="S634" i="13"/>
  <c r="J635" i="13"/>
  <c r="K635" i="13"/>
  <c r="L635" i="13"/>
  <c r="M635" i="13"/>
  <c r="N635" i="13"/>
  <c r="O635" i="13"/>
  <c r="P635" i="13" s="1"/>
  <c r="R635" i="13" s="1"/>
  <c r="T635" i="13" s="1"/>
  <c r="Q635" i="13"/>
  <c r="S635" i="13"/>
  <c r="J636" i="13"/>
  <c r="K636" i="13"/>
  <c r="L636" i="13"/>
  <c r="M636" i="13"/>
  <c r="N636" i="13"/>
  <c r="O636" i="13"/>
  <c r="J637" i="13"/>
  <c r="K637" i="13"/>
  <c r="L637" i="13"/>
  <c r="M637" i="13"/>
  <c r="N637" i="13"/>
  <c r="O637" i="13"/>
  <c r="P637" i="13" s="1"/>
  <c r="R637" i="13" s="1"/>
  <c r="T637" i="13" s="1"/>
  <c r="Q637" i="13"/>
  <c r="S637" i="13"/>
  <c r="J638" i="13"/>
  <c r="K638" i="13"/>
  <c r="L638" i="13"/>
  <c r="M638" i="13"/>
  <c r="N638" i="13"/>
  <c r="O638" i="13"/>
  <c r="P638" i="13" s="1"/>
  <c r="R638" i="13" s="1"/>
  <c r="T638" i="13" s="1"/>
  <c r="Q638" i="13"/>
  <c r="S638" i="13"/>
  <c r="J639" i="13"/>
  <c r="K639" i="13"/>
  <c r="L639" i="13"/>
  <c r="M639" i="13"/>
  <c r="N639" i="13"/>
  <c r="O639" i="13"/>
  <c r="P639" i="13" s="1"/>
  <c r="R639" i="13" s="1"/>
  <c r="T639" i="13" s="1"/>
  <c r="Q639" i="13"/>
  <c r="S639" i="13"/>
  <c r="J640" i="13"/>
  <c r="K640" i="13"/>
  <c r="L640" i="13"/>
  <c r="M640" i="13"/>
  <c r="N640" i="13"/>
  <c r="O640" i="13"/>
  <c r="P640" i="13" s="1"/>
  <c r="R640" i="13" s="1"/>
  <c r="T640" i="13" s="1"/>
  <c r="Q640" i="13"/>
  <c r="S640" i="13"/>
  <c r="J641" i="13"/>
  <c r="K641" i="13"/>
  <c r="L641" i="13"/>
  <c r="M641" i="13"/>
  <c r="N641" i="13"/>
  <c r="O641" i="13"/>
  <c r="P641" i="13" s="1"/>
  <c r="R641" i="13" s="1"/>
  <c r="T641" i="13" s="1"/>
  <c r="Q641" i="13"/>
  <c r="S641" i="13"/>
  <c r="J642" i="13"/>
  <c r="K642" i="13"/>
  <c r="L642" i="13"/>
  <c r="M642" i="13"/>
  <c r="N642" i="13"/>
  <c r="O642" i="13"/>
  <c r="P642" i="13" s="1"/>
  <c r="R642" i="13" s="1"/>
  <c r="T642" i="13" s="1"/>
  <c r="Q642" i="13"/>
  <c r="S642" i="13"/>
  <c r="J643" i="13"/>
  <c r="K643" i="13"/>
  <c r="L643" i="13"/>
  <c r="M643" i="13"/>
  <c r="N643" i="13"/>
  <c r="O643" i="13"/>
  <c r="P643" i="13" s="1"/>
  <c r="R643" i="13" s="1"/>
  <c r="T643" i="13" s="1"/>
  <c r="Q643" i="13"/>
  <c r="S643" i="13"/>
  <c r="J644" i="13"/>
  <c r="K644" i="13"/>
  <c r="L644" i="13"/>
  <c r="M644" i="13"/>
  <c r="N644" i="13"/>
  <c r="O644" i="13"/>
  <c r="P644" i="13" s="1"/>
  <c r="R644" i="13" s="1"/>
  <c r="T644" i="13" s="1"/>
  <c r="Q644" i="13"/>
  <c r="S644" i="13"/>
  <c r="J645" i="13"/>
  <c r="K645" i="13"/>
  <c r="L645" i="13"/>
  <c r="M645" i="13"/>
  <c r="N645" i="13"/>
  <c r="O645" i="13"/>
  <c r="J646" i="13"/>
  <c r="K646" i="13"/>
  <c r="L646" i="13"/>
  <c r="M646" i="13"/>
  <c r="N646" i="13"/>
  <c r="O646" i="13"/>
  <c r="P646" i="13" s="1"/>
  <c r="R646" i="13" s="1"/>
  <c r="T646" i="13" s="1"/>
  <c r="Q646" i="13"/>
  <c r="S646" i="13"/>
  <c r="J647" i="13"/>
  <c r="K647" i="13"/>
  <c r="L647" i="13"/>
  <c r="M647" i="13"/>
  <c r="N647" i="13"/>
  <c r="O647" i="13"/>
  <c r="J648" i="13"/>
  <c r="K648" i="13"/>
  <c r="L648" i="13"/>
  <c r="M648" i="13"/>
  <c r="N648" i="13"/>
  <c r="O648" i="13"/>
  <c r="P648" i="13" s="1"/>
  <c r="R648" i="13" s="1"/>
  <c r="T648" i="13" s="1"/>
  <c r="Q648" i="13"/>
  <c r="S648" i="13"/>
  <c r="J649" i="13"/>
  <c r="K649" i="13"/>
  <c r="L649" i="13"/>
  <c r="M649" i="13"/>
  <c r="N649" i="13"/>
  <c r="O649" i="13"/>
  <c r="J650" i="13"/>
  <c r="K650" i="13"/>
  <c r="L650" i="13"/>
  <c r="M650" i="13"/>
  <c r="N650" i="13"/>
  <c r="O650" i="13"/>
  <c r="P650" i="13" s="1"/>
  <c r="R650" i="13" s="1"/>
  <c r="T650" i="13" s="1"/>
  <c r="Q650" i="13"/>
  <c r="S650" i="13"/>
  <c r="J651" i="13"/>
  <c r="K651" i="13"/>
  <c r="L651" i="13"/>
  <c r="M651" i="13"/>
  <c r="N651" i="13"/>
  <c r="O651" i="13"/>
  <c r="P651" i="13" s="1"/>
  <c r="R651" i="13" s="1"/>
  <c r="T651" i="13" s="1"/>
  <c r="Q651" i="13"/>
  <c r="S651" i="13"/>
  <c r="J652" i="13"/>
  <c r="K652" i="13"/>
  <c r="L652" i="13"/>
  <c r="M652" i="13"/>
  <c r="N652" i="13"/>
  <c r="O652" i="13"/>
  <c r="P652" i="13" s="1"/>
  <c r="R652" i="13" s="1"/>
  <c r="T652" i="13" s="1"/>
  <c r="Q652" i="13"/>
  <c r="S652" i="13"/>
  <c r="J653" i="13"/>
  <c r="K653" i="13"/>
  <c r="L653" i="13"/>
  <c r="M653" i="13"/>
  <c r="N653" i="13"/>
  <c r="O653" i="13"/>
  <c r="P653" i="13" s="1"/>
  <c r="R653" i="13" s="1"/>
  <c r="T653" i="13" s="1"/>
  <c r="Q653" i="13"/>
  <c r="S653" i="13"/>
  <c r="J654" i="13"/>
  <c r="K654" i="13"/>
  <c r="L654" i="13"/>
  <c r="M654" i="13"/>
  <c r="N654" i="13"/>
  <c r="O654" i="13"/>
  <c r="P654" i="13" s="1"/>
  <c r="R654" i="13" s="1"/>
  <c r="T654" i="13" s="1"/>
  <c r="Q654" i="13"/>
  <c r="S654" i="13"/>
  <c r="J655" i="13"/>
  <c r="K655" i="13"/>
  <c r="L655" i="13"/>
  <c r="M655" i="13"/>
  <c r="N655" i="13"/>
  <c r="O655" i="13"/>
  <c r="P655" i="13" s="1"/>
  <c r="R655" i="13" s="1"/>
  <c r="T655" i="13" s="1"/>
  <c r="Q655" i="13"/>
  <c r="S655" i="13"/>
  <c r="J656" i="13"/>
  <c r="K656" i="13"/>
  <c r="L656" i="13"/>
  <c r="M656" i="13"/>
  <c r="N656" i="13"/>
  <c r="O656" i="13"/>
  <c r="P656" i="13" s="1"/>
  <c r="R656" i="13" s="1"/>
  <c r="T656" i="13" s="1"/>
  <c r="Q656" i="13"/>
  <c r="S656" i="13"/>
  <c r="J657" i="13"/>
  <c r="K657" i="13"/>
  <c r="L657" i="13"/>
  <c r="M657" i="13"/>
  <c r="N657" i="13"/>
  <c r="O657" i="13"/>
  <c r="P657" i="13"/>
  <c r="R657" i="13" s="1"/>
  <c r="T657" i="13" s="1"/>
  <c r="Q657" i="13"/>
  <c r="S657" i="13"/>
  <c r="J658" i="13"/>
  <c r="K658" i="13"/>
  <c r="L658" i="13"/>
  <c r="M658" i="13"/>
  <c r="N658" i="13"/>
  <c r="O658" i="13"/>
  <c r="P658" i="13" s="1"/>
  <c r="R658" i="13" s="1"/>
  <c r="T658" i="13" s="1"/>
  <c r="Q658" i="13"/>
  <c r="S658" i="13"/>
  <c r="J659" i="13"/>
  <c r="K659" i="13"/>
  <c r="L659" i="13"/>
  <c r="M659" i="13"/>
  <c r="N659" i="13"/>
  <c r="O659" i="13"/>
  <c r="P659" i="13" s="1"/>
  <c r="R659" i="13" s="1"/>
  <c r="T659" i="13" s="1"/>
  <c r="Q659" i="13"/>
  <c r="S659" i="13"/>
  <c r="J660" i="13"/>
  <c r="K660" i="13"/>
  <c r="L660" i="13"/>
  <c r="M660" i="13"/>
  <c r="N660" i="13"/>
  <c r="O660" i="13"/>
  <c r="P660" i="13" s="1"/>
  <c r="R660" i="13" s="1"/>
  <c r="T660" i="13" s="1"/>
  <c r="Q660" i="13"/>
  <c r="S660" i="13"/>
  <c r="J661" i="13"/>
  <c r="K661" i="13"/>
  <c r="L661" i="13"/>
  <c r="M661" i="13"/>
  <c r="N661" i="13"/>
  <c r="O661" i="13"/>
  <c r="P661" i="13" s="1"/>
  <c r="R661" i="13" s="1"/>
  <c r="T661" i="13" s="1"/>
  <c r="Q661" i="13"/>
  <c r="S661" i="13"/>
  <c r="J662" i="13"/>
  <c r="K662" i="13"/>
  <c r="L662" i="13"/>
  <c r="M662" i="13"/>
  <c r="N662" i="13"/>
  <c r="O662" i="13"/>
  <c r="J663" i="13"/>
  <c r="K663" i="13"/>
  <c r="L663" i="13"/>
  <c r="M663" i="13"/>
  <c r="N663" i="13"/>
  <c r="O663" i="13"/>
  <c r="P663" i="13" s="1"/>
  <c r="R663" i="13" s="1"/>
  <c r="T663" i="13" s="1"/>
  <c r="Q663" i="13"/>
  <c r="S663" i="13"/>
  <c r="J664" i="13"/>
  <c r="K664" i="13"/>
  <c r="L664" i="13"/>
  <c r="M664" i="13"/>
  <c r="N664" i="13"/>
  <c r="O664" i="13"/>
  <c r="P664" i="13" s="1"/>
  <c r="R664" i="13" s="1"/>
  <c r="T664" i="13" s="1"/>
  <c r="Q664" i="13"/>
  <c r="S664" i="13"/>
  <c r="J665" i="13"/>
  <c r="K665" i="13"/>
  <c r="L665" i="13"/>
  <c r="M665" i="13"/>
  <c r="N665" i="13"/>
  <c r="O665" i="13"/>
  <c r="P665" i="13" s="1"/>
  <c r="R665" i="13" s="1"/>
  <c r="T665" i="13" s="1"/>
  <c r="Q665" i="13"/>
  <c r="S665" i="13"/>
  <c r="J666" i="13"/>
  <c r="K666" i="13"/>
  <c r="L666" i="13"/>
  <c r="M666" i="13"/>
  <c r="N666" i="13"/>
  <c r="O666" i="13"/>
  <c r="J667" i="13"/>
  <c r="K667" i="13"/>
  <c r="L667" i="13"/>
  <c r="M667" i="13"/>
  <c r="N667" i="13"/>
  <c r="O667" i="13"/>
  <c r="P667" i="13" s="1"/>
  <c r="R667" i="13" s="1"/>
  <c r="T667" i="13" s="1"/>
  <c r="Q667" i="13"/>
  <c r="S667" i="13"/>
  <c r="J668" i="13"/>
  <c r="K668" i="13"/>
  <c r="L668" i="13"/>
  <c r="M668" i="13"/>
  <c r="O668" i="13"/>
  <c r="Q668" i="13"/>
  <c r="J669" i="13"/>
  <c r="K669" i="13"/>
  <c r="L669" i="13"/>
  <c r="M669" i="13"/>
  <c r="N669" i="13"/>
  <c r="O669" i="13"/>
  <c r="P669" i="13"/>
  <c r="Q669" i="13"/>
  <c r="R669" i="13"/>
  <c r="S669" i="13"/>
  <c r="T669" i="13"/>
  <c r="J670" i="13"/>
  <c r="K670" i="13"/>
  <c r="L670" i="13"/>
  <c r="M670" i="13"/>
  <c r="N670" i="13"/>
  <c r="O670" i="13"/>
  <c r="P670" i="13"/>
  <c r="Q670" i="13"/>
  <c r="R670" i="13"/>
  <c r="S670" i="13"/>
  <c r="T670" i="13"/>
  <c r="J671" i="13"/>
  <c r="K671" i="13"/>
  <c r="L671" i="13"/>
  <c r="M671" i="13"/>
  <c r="N671" i="13"/>
  <c r="O671" i="13"/>
  <c r="P671" i="13"/>
  <c r="Q671" i="13"/>
  <c r="R671" i="13"/>
  <c r="S671" i="13"/>
  <c r="T671" i="13"/>
  <c r="J672" i="13"/>
  <c r="K672" i="13"/>
  <c r="L672" i="13"/>
  <c r="M672" i="13"/>
  <c r="N672" i="13"/>
  <c r="O672" i="13"/>
  <c r="P672" i="13"/>
  <c r="Q672" i="13"/>
  <c r="R672" i="13"/>
  <c r="S672" i="13"/>
  <c r="T672" i="13"/>
  <c r="J673" i="13"/>
  <c r="K673" i="13"/>
  <c r="L673" i="13"/>
  <c r="M673" i="13"/>
  <c r="N673" i="13"/>
  <c r="O673" i="13"/>
  <c r="P673" i="13"/>
  <c r="Q673" i="13"/>
  <c r="R673" i="13"/>
  <c r="S673" i="13"/>
  <c r="T673" i="13"/>
  <c r="J674" i="13"/>
  <c r="K674" i="13"/>
  <c r="L674" i="13"/>
  <c r="M674" i="13"/>
  <c r="N674" i="13"/>
  <c r="O674" i="13"/>
  <c r="P674" i="13"/>
  <c r="Q674" i="13"/>
  <c r="R674" i="13"/>
  <c r="S674" i="13"/>
  <c r="T674" i="13"/>
  <c r="J675" i="13"/>
  <c r="K675" i="13"/>
  <c r="L675" i="13"/>
  <c r="M675" i="13"/>
  <c r="N675" i="13"/>
  <c r="O675" i="13"/>
  <c r="P675" i="13"/>
  <c r="Q675" i="13"/>
  <c r="R675" i="13"/>
  <c r="S675" i="13"/>
  <c r="T675" i="13"/>
  <c r="J676" i="13"/>
  <c r="K676" i="13"/>
  <c r="L676" i="13"/>
  <c r="M676" i="13"/>
  <c r="N676" i="13"/>
  <c r="O676" i="13"/>
  <c r="P676" i="13"/>
  <c r="Q676" i="13"/>
  <c r="R676" i="13"/>
  <c r="S676" i="13"/>
  <c r="T676" i="13"/>
  <c r="J677" i="13"/>
  <c r="K677" i="13"/>
  <c r="L677" i="13"/>
  <c r="M677" i="13"/>
  <c r="N677" i="13"/>
  <c r="O677" i="13"/>
  <c r="P677" i="13"/>
  <c r="Q677" i="13"/>
  <c r="R677" i="13"/>
  <c r="S677" i="13"/>
  <c r="T677" i="13"/>
  <c r="J678" i="13"/>
  <c r="K678" i="13"/>
  <c r="L678" i="13"/>
  <c r="M678" i="13"/>
  <c r="N678" i="13"/>
  <c r="O678" i="13"/>
  <c r="P678" i="13"/>
  <c r="Q678" i="13"/>
  <c r="R678" i="13"/>
  <c r="S678" i="13"/>
  <c r="T678" i="13"/>
  <c r="J679" i="13"/>
  <c r="K679" i="13"/>
  <c r="L679" i="13"/>
  <c r="M679" i="13"/>
  <c r="N679" i="13"/>
  <c r="O679" i="13"/>
  <c r="P679" i="13"/>
  <c r="Q679" i="13"/>
  <c r="R679" i="13"/>
  <c r="S679" i="13"/>
  <c r="T679" i="13"/>
  <c r="J680" i="13"/>
  <c r="K680" i="13"/>
  <c r="L680" i="13"/>
  <c r="M680" i="13"/>
  <c r="N680" i="13"/>
  <c r="O680" i="13"/>
  <c r="P680" i="13"/>
  <c r="Q680" i="13"/>
  <c r="R680" i="13"/>
  <c r="S680" i="13"/>
  <c r="T680" i="13"/>
  <c r="J681" i="13"/>
  <c r="K681" i="13"/>
  <c r="L681" i="13"/>
  <c r="M681" i="13"/>
  <c r="N681" i="13"/>
  <c r="O681" i="13"/>
  <c r="P681" i="13"/>
  <c r="Q681" i="13"/>
  <c r="R681" i="13"/>
  <c r="S681" i="13"/>
  <c r="T681" i="13"/>
  <c r="J682" i="13"/>
  <c r="K682" i="13"/>
  <c r="L682" i="13"/>
  <c r="M682" i="13"/>
  <c r="N682" i="13"/>
  <c r="O682" i="13"/>
  <c r="P682" i="13"/>
  <c r="Q682" i="13"/>
  <c r="R682" i="13"/>
  <c r="S682" i="13"/>
  <c r="T682" i="13"/>
  <c r="J683" i="13"/>
  <c r="K683" i="13"/>
  <c r="L683" i="13"/>
  <c r="M683" i="13"/>
  <c r="N683" i="13"/>
  <c r="O683" i="13"/>
  <c r="P683" i="13"/>
  <c r="Q683" i="13"/>
  <c r="R683" i="13"/>
  <c r="S683" i="13"/>
  <c r="T683" i="13"/>
  <c r="J684" i="13"/>
  <c r="K684" i="13"/>
  <c r="L684" i="13"/>
  <c r="M684" i="13"/>
  <c r="N684" i="13"/>
  <c r="O684" i="13"/>
  <c r="P684" i="13"/>
  <c r="Q684" i="13"/>
  <c r="R684" i="13"/>
  <c r="S684" i="13"/>
  <c r="T684" i="13"/>
  <c r="J685" i="13"/>
  <c r="K685" i="13"/>
  <c r="L685" i="13"/>
  <c r="M685" i="13"/>
  <c r="N685" i="13"/>
  <c r="O685" i="13"/>
  <c r="P685" i="13"/>
  <c r="Q685" i="13"/>
  <c r="R685" i="13"/>
  <c r="S685" i="13"/>
  <c r="T685" i="13"/>
  <c r="J686" i="13"/>
  <c r="K686" i="13"/>
  <c r="L686" i="13"/>
  <c r="M686" i="13"/>
  <c r="N686" i="13"/>
  <c r="O686" i="13"/>
  <c r="P686" i="13"/>
  <c r="Q686" i="13"/>
  <c r="R686" i="13"/>
  <c r="S686" i="13"/>
  <c r="T686" i="13"/>
  <c r="J687" i="13"/>
  <c r="K687" i="13"/>
  <c r="L687" i="13"/>
  <c r="M687" i="13"/>
  <c r="N687" i="13"/>
  <c r="O687" i="13"/>
  <c r="P687" i="13"/>
  <c r="Q687" i="13"/>
  <c r="R687" i="13"/>
  <c r="S687" i="13"/>
  <c r="T687" i="13"/>
  <c r="J688" i="13"/>
  <c r="K688" i="13"/>
  <c r="L688" i="13"/>
  <c r="M688" i="13"/>
  <c r="N688" i="13"/>
  <c r="O688" i="13"/>
  <c r="P688" i="13"/>
  <c r="Q688" i="13"/>
  <c r="R688" i="13"/>
  <c r="S688" i="13"/>
  <c r="T688" i="13"/>
  <c r="J689" i="13"/>
  <c r="K689" i="13"/>
  <c r="L689" i="13"/>
  <c r="M689" i="13"/>
  <c r="N689" i="13"/>
  <c r="O689" i="13"/>
  <c r="P689" i="13"/>
  <c r="Q689" i="13"/>
  <c r="R689" i="13"/>
  <c r="S689" i="13"/>
  <c r="T689" i="13"/>
  <c r="J690" i="13"/>
  <c r="K690" i="13"/>
  <c r="L690" i="13"/>
  <c r="M690" i="13"/>
  <c r="N690" i="13"/>
  <c r="O690" i="13"/>
  <c r="P690" i="13"/>
  <c r="Q690" i="13"/>
  <c r="R690" i="13"/>
  <c r="S690" i="13"/>
  <c r="T690" i="13"/>
  <c r="J691" i="13"/>
  <c r="K691" i="13"/>
  <c r="L691" i="13"/>
  <c r="M691" i="13"/>
  <c r="N691" i="13"/>
  <c r="O691" i="13"/>
  <c r="P691" i="13"/>
  <c r="Q691" i="13"/>
  <c r="R691" i="13"/>
  <c r="S691" i="13"/>
  <c r="T691" i="13"/>
  <c r="J692" i="13"/>
  <c r="K692" i="13"/>
  <c r="L692" i="13"/>
  <c r="M692" i="13"/>
  <c r="N692" i="13"/>
  <c r="O692" i="13"/>
  <c r="P692" i="13"/>
  <c r="Q692" i="13"/>
  <c r="R692" i="13"/>
  <c r="S692" i="13"/>
  <c r="T692" i="13"/>
  <c r="J693" i="13"/>
  <c r="K693" i="13"/>
  <c r="L693" i="13"/>
  <c r="M693" i="13"/>
  <c r="N693" i="13"/>
  <c r="O693" i="13"/>
  <c r="P693" i="13"/>
  <c r="Q693" i="13"/>
  <c r="R693" i="13"/>
  <c r="S693" i="13"/>
  <c r="T693" i="13"/>
  <c r="J694" i="13"/>
  <c r="K694" i="13"/>
  <c r="L694" i="13"/>
  <c r="M694" i="13"/>
  <c r="N694" i="13"/>
  <c r="O694" i="13"/>
  <c r="P694" i="13"/>
  <c r="Q694" i="13"/>
  <c r="R694" i="13"/>
  <c r="S694" i="13"/>
  <c r="T694" i="13"/>
  <c r="J695" i="13"/>
  <c r="K695" i="13"/>
  <c r="L695" i="13"/>
  <c r="M695" i="13"/>
  <c r="N695" i="13"/>
  <c r="O695" i="13"/>
  <c r="P695" i="13"/>
  <c r="Q695" i="13"/>
  <c r="R695" i="13"/>
  <c r="S695" i="13"/>
  <c r="T695" i="13"/>
  <c r="J696" i="13"/>
  <c r="K696" i="13"/>
  <c r="L696" i="13"/>
  <c r="M696" i="13"/>
  <c r="N696" i="13"/>
  <c r="O696" i="13"/>
  <c r="P696" i="13"/>
  <c r="Q696" i="13"/>
  <c r="R696" i="13"/>
  <c r="S696" i="13"/>
  <c r="T696" i="13"/>
  <c r="J697" i="13"/>
  <c r="K697" i="13"/>
  <c r="L697" i="13"/>
  <c r="M697" i="13"/>
  <c r="N697" i="13"/>
  <c r="O697" i="13"/>
  <c r="P697" i="13"/>
  <c r="Q697" i="13"/>
  <c r="R697" i="13"/>
  <c r="S697" i="13"/>
  <c r="T697" i="13"/>
  <c r="J698" i="13"/>
  <c r="K698" i="13"/>
  <c r="L698" i="13"/>
  <c r="M698" i="13"/>
  <c r="N698" i="13"/>
  <c r="O698" i="13"/>
  <c r="P698" i="13"/>
  <c r="Q698" i="13"/>
  <c r="R698" i="13"/>
  <c r="S698" i="13"/>
  <c r="T698" i="13"/>
  <c r="J699" i="13"/>
  <c r="K699" i="13"/>
  <c r="L699" i="13"/>
  <c r="M699" i="13"/>
  <c r="N699" i="13"/>
  <c r="O699" i="13"/>
  <c r="P699" i="13"/>
  <c r="Q699" i="13"/>
  <c r="R699" i="13"/>
  <c r="S699" i="13"/>
  <c r="T699" i="13"/>
  <c r="J700" i="13"/>
  <c r="K700" i="13"/>
  <c r="L700" i="13"/>
  <c r="M700" i="13"/>
  <c r="N700" i="13"/>
  <c r="O700" i="13"/>
  <c r="P700" i="13"/>
  <c r="Q700" i="13"/>
  <c r="R700" i="13"/>
  <c r="S700" i="13"/>
  <c r="T700" i="13"/>
  <c r="J701" i="13"/>
  <c r="K701" i="13"/>
  <c r="L701" i="13"/>
  <c r="M701" i="13"/>
  <c r="N701" i="13"/>
  <c r="O701" i="13"/>
  <c r="P701" i="13"/>
  <c r="Q701" i="13"/>
  <c r="R701" i="13"/>
  <c r="S701" i="13"/>
  <c r="T701" i="13"/>
  <c r="J702" i="13"/>
  <c r="K702" i="13"/>
  <c r="L702" i="13"/>
  <c r="M702" i="13"/>
  <c r="N702" i="13"/>
  <c r="O702" i="13"/>
  <c r="P702" i="13"/>
  <c r="Q702" i="13"/>
  <c r="R702" i="13"/>
  <c r="S702" i="13"/>
  <c r="T702" i="13"/>
  <c r="J703" i="13"/>
  <c r="K703" i="13"/>
  <c r="L703" i="13"/>
  <c r="M703" i="13"/>
  <c r="N703" i="13"/>
  <c r="O703" i="13"/>
  <c r="P703" i="13"/>
  <c r="Q703" i="13"/>
  <c r="R703" i="13"/>
  <c r="S703" i="13"/>
  <c r="T703" i="13"/>
  <c r="J704" i="13"/>
  <c r="K704" i="13"/>
  <c r="L704" i="13"/>
  <c r="M704" i="13"/>
  <c r="N704" i="13"/>
  <c r="O704" i="13"/>
  <c r="P704" i="13"/>
  <c r="Q704" i="13"/>
  <c r="R704" i="13"/>
  <c r="S704" i="13"/>
  <c r="T704" i="13"/>
  <c r="J705" i="13"/>
  <c r="K705" i="13"/>
  <c r="L705" i="13"/>
  <c r="M705" i="13"/>
  <c r="N705" i="13"/>
  <c r="O705" i="13"/>
  <c r="P705" i="13"/>
  <c r="Q705" i="13"/>
  <c r="R705" i="13"/>
  <c r="S705" i="13"/>
  <c r="T705" i="13"/>
  <c r="J706" i="13"/>
  <c r="K706" i="13"/>
  <c r="L706" i="13"/>
  <c r="M706" i="13"/>
  <c r="N706" i="13"/>
  <c r="O706" i="13"/>
  <c r="P706" i="13"/>
  <c r="Q706" i="13"/>
  <c r="R706" i="13"/>
  <c r="S706" i="13"/>
  <c r="T706" i="13"/>
  <c r="J707" i="13"/>
  <c r="K707" i="13"/>
  <c r="L707" i="13"/>
  <c r="M707" i="13"/>
  <c r="N707" i="13"/>
  <c r="O707" i="13"/>
  <c r="P707" i="13"/>
  <c r="Q707" i="13"/>
  <c r="R707" i="13"/>
  <c r="S707" i="13"/>
  <c r="T707" i="13"/>
  <c r="J708" i="13"/>
  <c r="K708" i="13"/>
  <c r="L708" i="13"/>
  <c r="M708" i="13"/>
  <c r="N708" i="13"/>
  <c r="O708" i="13"/>
  <c r="P708" i="13"/>
  <c r="Q708" i="13"/>
  <c r="R708" i="13"/>
  <c r="S708" i="13"/>
  <c r="T708" i="13"/>
  <c r="J709" i="13"/>
  <c r="K709" i="13"/>
  <c r="L709" i="13"/>
  <c r="M709" i="13"/>
  <c r="N709" i="13"/>
  <c r="O709" i="13"/>
  <c r="P709" i="13"/>
  <c r="Q709" i="13"/>
  <c r="R709" i="13"/>
  <c r="S709" i="13"/>
  <c r="T709" i="13"/>
  <c r="J710" i="13"/>
  <c r="K710" i="13"/>
  <c r="L710" i="13"/>
  <c r="M710" i="13"/>
  <c r="N710" i="13"/>
  <c r="O710" i="13"/>
  <c r="P710" i="13"/>
  <c r="Q710" i="13"/>
  <c r="R710" i="13"/>
  <c r="S710" i="13"/>
  <c r="T710" i="13"/>
  <c r="J711" i="13"/>
  <c r="K711" i="13"/>
  <c r="L711" i="13"/>
  <c r="M711" i="13"/>
  <c r="N711" i="13"/>
  <c r="O711" i="13"/>
  <c r="P711" i="13"/>
  <c r="Q711" i="13"/>
  <c r="R711" i="13"/>
  <c r="S711" i="13"/>
  <c r="T711" i="13"/>
  <c r="J712" i="13"/>
  <c r="K712" i="13"/>
  <c r="L712" i="13"/>
  <c r="M712" i="13"/>
  <c r="N712" i="13"/>
  <c r="O712" i="13"/>
  <c r="P712" i="13"/>
  <c r="Q712" i="13"/>
  <c r="R712" i="13"/>
  <c r="S712" i="13"/>
  <c r="T712" i="13"/>
  <c r="J713" i="13"/>
  <c r="K713" i="13"/>
  <c r="L713" i="13"/>
  <c r="M713" i="13"/>
  <c r="N713" i="13"/>
  <c r="O713" i="13"/>
  <c r="P713" i="13"/>
  <c r="Q713" i="13"/>
  <c r="R713" i="13"/>
  <c r="S713" i="13"/>
  <c r="T713" i="13"/>
  <c r="J714" i="13"/>
  <c r="K714" i="13"/>
  <c r="L714" i="13"/>
  <c r="M714" i="13"/>
  <c r="N714" i="13"/>
  <c r="O714" i="13"/>
  <c r="P714" i="13"/>
  <c r="Q714" i="13"/>
  <c r="R714" i="13"/>
  <c r="S714" i="13"/>
  <c r="T714" i="13"/>
  <c r="J715" i="13"/>
  <c r="K715" i="13"/>
  <c r="L715" i="13"/>
  <c r="M715" i="13"/>
  <c r="N715" i="13"/>
  <c r="O715" i="13"/>
  <c r="P715" i="13"/>
  <c r="Q715" i="13"/>
  <c r="R715" i="13"/>
  <c r="S715" i="13"/>
  <c r="T715" i="13"/>
  <c r="J716" i="13"/>
  <c r="K716" i="13"/>
  <c r="L716" i="13"/>
  <c r="M716" i="13"/>
  <c r="N716" i="13"/>
  <c r="O716" i="13"/>
  <c r="P716" i="13"/>
  <c r="Q716" i="13"/>
  <c r="R716" i="13"/>
  <c r="S716" i="13"/>
  <c r="T716" i="13"/>
  <c r="J717" i="13"/>
  <c r="K717" i="13"/>
  <c r="L717" i="13"/>
  <c r="M717" i="13"/>
  <c r="N717" i="13"/>
  <c r="O717" i="13"/>
  <c r="P717" i="13"/>
  <c r="Q717" i="13"/>
  <c r="R717" i="13"/>
  <c r="S717" i="13"/>
  <c r="T717" i="13"/>
  <c r="J718" i="13"/>
  <c r="K718" i="13"/>
  <c r="L718" i="13"/>
  <c r="M718" i="13"/>
  <c r="N718" i="13"/>
  <c r="O718" i="13"/>
  <c r="P718" i="13"/>
  <c r="Q718" i="13"/>
  <c r="R718" i="13"/>
  <c r="S718" i="13"/>
  <c r="T718" i="13"/>
  <c r="J719" i="13"/>
  <c r="K719" i="13"/>
  <c r="L719" i="13"/>
  <c r="M719" i="13"/>
  <c r="N719" i="13"/>
  <c r="O719" i="13"/>
  <c r="P719" i="13"/>
  <c r="Q719" i="13"/>
  <c r="R719" i="13"/>
  <c r="S719" i="13"/>
  <c r="T719" i="13"/>
  <c r="J720" i="13"/>
  <c r="K720" i="13"/>
  <c r="L720" i="13"/>
  <c r="M720" i="13"/>
  <c r="N720" i="13"/>
  <c r="O720" i="13"/>
  <c r="P720" i="13"/>
  <c r="Q720" i="13"/>
  <c r="R720" i="13"/>
  <c r="S720" i="13"/>
  <c r="T720" i="13"/>
  <c r="J721" i="13"/>
  <c r="K721" i="13"/>
  <c r="L721" i="13"/>
  <c r="M721" i="13"/>
  <c r="N721" i="13"/>
  <c r="O721" i="13"/>
  <c r="P721" i="13"/>
  <c r="Q721" i="13"/>
  <c r="R721" i="13"/>
  <c r="S721" i="13"/>
  <c r="T721" i="13"/>
  <c r="J722" i="13"/>
  <c r="K722" i="13"/>
  <c r="L722" i="13"/>
  <c r="M722" i="13"/>
  <c r="N722" i="13"/>
  <c r="O722" i="13"/>
  <c r="P722" i="13"/>
  <c r="Q722" i="13"/>
  <c r="R722" i="13"/>
  <c r="S722" i="13"/>
  <c r="T722" i="13"/>
  <c r="J723" i="13"/>
  <c r="K723" i="13"/>
  <c r="L723" i="13"/>
  <c r="M723" i="13"/>
  <c r="N723" i="13"/>
  <c r="O723" i="13"/>
  <c r="P723" i="13"/>
  <c r="Q723" i="13"/>
  <c r="R723" i="13"/>
  <c r="S723" i="13"/>
  <c r="T723" i="13"/>
  <c r="J724" i="13"/>
  <c r="K724" i="13"/>
  <c r="L724" i="13"/>
  <c r="M724" i="13"/>
  <c r="N724" i="13"/>
  <c r="O724" i="13"/>
  <c r="P724" i="13"/>
  <c r="Q724" i="13"/>
  <c r="R724" i="13"/>
  <c r="S724" i="13"/>
  <c r="T724" i="13"/>
  <c r="J725" i="13"/>
  <c r="K725" i="13"/>
  <c r="L725" i="13"/>
  <c r="M725" i="13"/>
  <c r="N725" i="13"/>
  <c r="O725" i="13"/>
  <c r="P725" i="13"/>
  <c r="Q725" i="13"/>
  <c r="R725" i="13"/>
  <c r="S725" i="13"/>
  <c r="T725" i="13"/>
  <c r="J726" i="13"/>
  <c r="K726" i="13"/>
  <c r="L726" i="13"/>
  <c r="M726" i="13"/>
  <c r="N726" i="13"/>
  <c r="O726" i="13"/>
  <c r="P726" i="13"/>
  <c r="Q726" i="13"/>
  <c r="R726" i="13"/>
  <c r="S726" i="13"/>
  <c r="T726" i="13"/>
  <c r="J727" i="13"/>
  <c r="K727" i="13"/>
  <c r="L727" i="13"/>
  <c r="M727" i="13"/>
  <c r="N727" i="13"/>
  <c r="O727" i="13"/>
  <c r="P727" i="13"/>
  <c r="Q727" i="13"/>
  <c r="R727" i="13"/>
  <c r="S727" i="13"/>
  <c r="T727" i="13"/>
  <c r="J728" i="13"/>
  <c r="K728" i="13"/>
  <c r="L728" i="13"/>
  <c r="M728" i="13"/>
  <c r="N728" i="13"/>
  <c r="O728" i="13"/>
  <c r="P728" i="13"/>
  <c r="Q728" i="13"/>
  <c r="R728" i="13"/>
  <c r="S728" i="13"/>
  <c r="T728" i="13"/>
  <c r="J729" i="13"/>
  <c r="K729" i="13"/>
  <c r="L729" i="13"/>
  <c r="M729" i="13"/>
  <c r="N729" i="13"/>
  <c r="O729" i="13"/>
  <c r="P729" i="13"/>
  <c r="Q729" i="13"/>
  <c r="R729" i="13"/>
  <c r="S729" i="13"/>
  <c r="T729" i="13"/>
  <c r="J730" i="13"/>
  <c r="K730" i="13"/>
  <c r="L730" i="13"/>
  <c r="M730" i="13"/>
  <c r="N730" i="13"/>
  <c r="O730" i="13"/>
  <c r="P730" i="13"/>
  <c r="Q730" i="13"/>
  <c r="R730" i="13"/>
  <c r="S730" i="13"/>
  <c r="T730" i="13"/>
  <c r="J731" i="13"/>
  <c r="K731" i="13"/>
  <c r="L731" i="13"/>
  <c r="M731" i="13"/>
  <c r="N731" i="13"/>
  <c r="O731" i="13"/>
  <c r="P731" i="13"/>
  <c r="Q731" i="13"/>
  <c r="R731" i="13"/>
  <c r="S731" i="13"/>
  <c r="T731" i="13"/>
  <c r="J732" i="13"/>
  <c r="K732" i="13"/>
  <c r="L732" i="13"/>
  <c r="M732" i="13"/>
  <c r="N732" i="13"/>
  <c r="O732" i="13"/>
  <c r="P732" i="13"/>
  <c r="Q732" i="13"/>
  <c r="R732" i="13"/>
  <c r="S732" i="13"/>
  <c r="T732" i="13"/>
  <c r="J733" i="13"/>
  <c r="K733" i="13"/>
  <c r="L733" i="13"/>
  <c r="M733" i="13"/>
  <c r="N733" i="13"/>
  <c r="O733" i="13"/>
  <c r="P733" i="13"/>
  <c r="Q733" i="13"/>
  <c r="R733" i="13"/>
  <c r="S733" i="13"/>
  <c r="T733" i="13"/>
  <c r="J734" i="13"/>
  <c r="K734" i="13"/>
  <c r="L734" i="13"/>
  <c r="M734" i="13"/>
  <c r="N734" i="13"/>
  <c r="O734" i="13"/>
  <c r="P734" i="13"/>
  <c r="Q734" i="13"/>
  <c r="R734" i="13"/>
  <c r="S734" i="13"/>
  <c r="T734" i="13"/>
  <c r="J735" i="13"/>
  <c r="K735" i="13"/>
  <c r="L735" i="13"/>
  <c r="M735" i="13"/>
  <c r="N735" i="13"/>
  <c r="O735" i="13"/>
  <c r="P735" i="13"/>
  <c r="Q735" i="13"/>
  <c r="R735" i="13"/>
  <c r="S735" i="13"/>
  <c r="T735" i="13"/>
  <c r="J736" i="13"/>
  <c r="K736" i="13"/>
  <c r="L736" i="13"/>
  <c r="M736" i="13"/>
  <c r="N736" i="13"/>
  <c r="O736" i="13"/>
  <c r="P736" i="13"/>
  <c r="Q736" i="13"/>
  <c r="R736" i="13"/>
  <c r="S736" i="13"/>
  <c r="T736" i="13"/>
  <c r="J737" i="13"/>
  <c r="K737" i="13"/>
  <c r="L737" i="13"/>
  <c r="M737" i="13"/>
  <c r="N737" i="13"/>
  <c r="O737" i="13"/>
  <c r="P737" i="13"/>
  <c r="Q737" i="13"/>
  <c r="R737" i="13"/>
  <c r="S737" i="13"/>
  <c r="T737" i="13"/>
  <c r="J738" i="13"/>
  <c r="K738" i="13"/>
  <c r="L738" i="13"/>
  <c r="M738" i="13"/>
  <c r="N738" i="13"/>
  <c r="O738" i="13"/>
  <c r="P738" i="13"/>
  <c r="Q738" i="13"/>
  <c r="R738" i="13"/>
  <c r="S738" i="13"/>
  <c r="T738" i="13"/>
  <c r="J739" i="13"/>
  <c r="K739" i="13"/>
  <c r="L739" i="13"/>
  <c r="M739" i="13"/>
  <c r="N739" i="13"/>
  <c r="O739" i="13"/>
  <c r="P739" i="13"/>
  <c r="Q739" i="13"/>
  <c r="R739" i="13"/>
  <c r="S739" i="13"/>
  <c r="T739" i="13"/>
  <c r="J740" i="13"/>
  <c r="K740" i="13"/>
  <c r="L740" i="13"/>
  <c r="M740" i="13"/>
  <c r="N740" i="13"/>
  <c r="O740" i="13"/>
  <c r="P740" i="13"/>
  <c r="Q740" i="13"/>
  <c r="R740" i="13"/>
  <c r="S740" i="13"/>
  <c r="T740" i="13"/>
  <c r="J741" i="13"/>
  <c r="K741" i="13"/>
  <c r="L741" i="13"/>
  <c r="M741" i="13"/>
  <c r="N741" i="13"/>
  <c r="O741" i="13"/>
  <c r="P741" i="13"/>
  <c r="Q741" i="13"/>
  <c r="R741" i="13"/>
  <c r="S741" i="13"/>
  <c r="T741" i="13"/>
  <c r="J742" i="13"/>
  <c r="K742" i="13"/>
  <c r="L742" i="13"/>
  <c r="M742" i="13"/>
  <c r="N742" i="13"/>
  <c r="O742" i="13"/>
  <c r="P742" i="13"/>
  <c r="Q742" i="13"/>
  <c r="R742" i="13"/>
  <c r="S742" i="13"/>
  <c r="T742" i="13"/>
  <c r="J743" i="13"/>
  <c r="K743" i="13"/>
  <c r="L743" i="13"/>
  <c r="M743" i="13"/>
  <c r="N743" i="13"/>
  <c r="O743" i="13"/>
  <c r="P743" i="13"/>
  <c r="Q743" i="13"/>
  <c r="R743" i="13"/>
  <c r="S743" i="13"/>
  <c r="T743" i="13"/>
  <c r="J744" i="13"/>
  <c r="K744" i="13"/>
  <c r="L744" i="13"/>
  <c r="M744" i="13"/>
  <c r="N744" i="13"/>
  <c r="O744" i="13"/>
  <c r="P744" i="13"/>
  <c r="Q744" i="13"/>
  <c r="R744" i="13"/>
  <c r="S744" i="13"/>
  <c r="T744" i="13"/>
  <c r="J745" i="13"/>
  <c r="K745" i="13"/>
  <c r="L745" i="13"/>
  <c r="M745" i="13"/>
  <c r="N745" i="13"/>
  <c r="O745" i="13"/>
  <c r="P745" i="13"/>
  <c r="Q745" i="13"/>
  <c r="R745" i="13"/>
  <c r="S745" i="13"/>
  <c r="T745" i="13"/>
  <c r="J746" i="13"/>
  <c r="K746" i="13"/>
  <c r="L746" i="13"/>
  <c r="M746" i="13"/>
  <c r="N746" i="13"/>
  <c r="O746" i="13"/>
  <c r="P746" i="13"/>
  <c r="Q746" i="13"/>
  <c r="R746" i="13"/>
  <c r="S746" i="13"/>
  <c r="T746" i="13"/>
  <c r="J747" i="13"/>
  <c r="K747" i="13"/>
  <c r="L747" i="13"/>
  <c r="M747" i="13"/>
  <c r="N747" i="13"/>
  <c r="O747" i="13"/>
  <c r="P747" i="13"/>
  <c r="Q747" i="13"/>
  <c r="R747" i="13"/>
  <c r="S747" i="13"/>
  <c r="T747" i="13"/>
  <c r="J748" i="13"/>
  <c r="K748" i="13"/>
  <c r="L748" i="13"/>
  <c r="M748" i="13"/>
  <c r="N748" i="13"/>
  <c r="O748" i="13"/>
  <c r="P748" i="13"/>
  <c r="Q748" i="13"/>
  <c r="R748" i="13"/>
  <c r="S748" i="13"/>
  <c r="T748" i="13"/>
  <c r="J749" i="13"/>
  <c r="K749" i="13"/>
  <c r="L749" i="13"/>
  <c r="M749" i="13"/>
  <c r="N749" i="13"/>
  <c r="O749" i="13"/>
  <c r="P749" i="13"/>
  <c r="Q749" i="13"/>
  <c r="R749" i="13"/>
  <c r="S749" i="13"/>
  <c r="T749" i="13"/>
  <c r="J750" i="13"/>
  <c r="K750" i="13"/>
  <c r="L750" i="13"/>
  <c r="M750" i="13"/>
  <c r="N750" i="13"/>
  <c r="O750" i="13"/>
  <c r="P750" i="13"/>
  <c r="Q750" i="13"/>
  <c r="R750" i="13"/>
  <c r="S750" i="13"/>
  <c r="T750" i="13"/>
  <c r="J751" i="13"/>
  <c r="K751" i="13"/>
  <c r="L751" i="13"/>
  <c r="M751" i="13"/>
  <c r="N751" i="13"/>
  <c r="O751" i="13"/>
  <c r="P751" i="13"/>
  <c r="Q751" i="13"/>
  <c r="R751" i="13"/>
  <c r="S751" i="13"/>
  <c r="T751" i="13"/>
  <c r="J752" i="13"/>
  <c r="K752" i="13"/>
  <c r="L752" i="13"/>
  <c r="M752" i="13"/>
  <c r="N752" i="13"/>
  <c r="O752" i="13"/>
  <c r="P752" i="13"/>
  <c r="Q752" i="13"/>
  <c r="R752" i="13"/>
  <c r="S752" i="13"/>
  <c r="T752" i="13"/>
  <c r="J753" i="13"/>
  <c r="K753" i="13"/>
  <c r="L753" i="13"/>
  <c r="M753" i="13"/>
  <c r="N753" i="13"/>
  <c r="O753" i="13"/>
  <c r="P753" i="13"/>
  <c r="Q753" i="13"/>
  <c r="R753" i="13"/>
  <c r="S753" i="13"/>
  <c r="T753" i="13"/>
  <c r="J754" i="13"/>
  <c r="K754" i="13"/>
  <c r="L754" i="13"/>
  <c r="M754" i="13"/>
  <c r="N754" i="13"/>
  <c r="O754" i="13"/>
  <c r="P754" i="13"/>
  <c r="Q754" i="13"/>
  <c r="R754" i="13"/>
  <c r="S754" i="13"/>
  <c r="T754" i="13"/>
  <c r="J755" i="13"/>
  <c r="K755" i="13"/>
  <c r="L755" i="13"/>
  <c r="M755" i="13"/>
  <c r="N755" i="13"/>
  <c r="O755" i="13"/>
  <c r="P755" i="13"/>
  <c r="Q755" i="13"/>
  <c r="R755" i="13"/>
  <c r="S755" i="13"/>
  <c r="T755" i="13"/>
  <c r="J756" i="13"/>
  <c r="K756" i="13"/>
  <c r="L756" i="13"/>
  <c r="M756" i="13"/>
  <c r="N756" i="13"/>
  <c r="O756" i="13"/>
  <c r="P756" i="13"/>
  <c r="Q756" i="13"/>
  <c r="R756" i="13"/>
  <c r="S756" i="13"/>
  <c r="T756" i="13"/>
  <c r="J757" i="13"/>
  <c r="K757" i="13"/>
  <c r="L757" i="13"/>
  <c r="M757" i="13"/>
  <c r="N757" i="13"/>
  <c r="O757" i="13"/>
  <c r="P757" i="13"/>
  <c r="Q757" i="13"/>
  <c r="R757" i="13"/>
  <c r="S757" i="13"/>
  <c r="T757" i="13"/>
  <c r="J758" i="13"/>
  <c r="K758" i="13"/>
  <c r="L758" i="13"/>
  <c r="M758" i="13"/>
  <c r="N758" i="13"/>
  <c r="O758" i="13"/>
  <c r="P758" i="13"/>
  <c r="Q758" i="13"/>
  <c r="R758" i="13"/>
  <c r="S758" i="13"/>
  <c r="T758" i="13"/>
  <c r="J759" i="13"/>
  <c r="K759" i="13"/>
  <c r="L759" i="13"/>
  <c r="M759" i="13"/>
  <c r="N759" i="13"/>
  <c r="O759" i="13"/>
  <c r="P759" i="13"/>
  <c r="Q759" i="13"/>
  <c r="R759" i="13"/>
  <c r="S759" i="13"/>
  <c r="T759" i="13"/>
  <c r="J760" i="13"/>
  <c r="K760" i="13"/>
  <c r="L760" i="13"/>
  <c r="M760" i="13"/>
  <c r="N760" i="13"/>
  <c r="O760" i="13"/>
  <c r="P760" i="13"/>
  <c r="Q760" i="13"/>
  <c r="R760" i="13"/>
  <c r="S760" i="13"/>
  <c r="T760" i="13"/>
  <c r="J761" i="13"/>
  <c r="K761" i="13"/>
  <c r="L761" i="13"/>
  <c r="M761" i="13"/>
  <c r="N761" i="13"/>
  <c r="O761" i="13"/>
  <c r="P761" i="13"/>
  <c r="Q761" i="13"/>
  <c r="R761" i="13"/>
  <c r="S761" i="13"/>
  <c r="T761" i="13"/>
  <c r="J762" i="13"/>
  <c r="K762" i="13"/>
  <c r="L762" i="13"/>
  <c r="M762" i="13"/>
  <c r="N762" i="13"/>
  <c r="O762" i="13"/>
  <c r="P762" i="13"/>
  <c r="Q762" i="13"/>
  <c r="R762" i="13"/>
  <c r="S762" i="13"/>
  <c r="T762" i="13"/>
  <c r="J763" i="13"/>
  <c r="K763" i="13"/>
  <c r="L763" i="13"/>
  <c r="M763" i="13"/>
  <c r="N763" i="13"/>
  <c r="O763" i="13"/>
  <c r="P763" i="13"/>
  <c r="Q763" i="13"/>
  <c r="R763" i="13"/>
  <c r="S763" i="13"/>
  <c r="T763" i="13"/>
  <c r="J764" i="13"/>
  <c r="K764" i="13"/>
  <c r="L764" i="13"/>
  <c r="M764" i="13"/>
  <c r="N764" i="13"/>
  <c r="O764" i="13"/>
  <c r="P764" i="13"/>
  <c r="Q764" i="13"/>
  <c r="R764" i="13"/>
  <c r="S764" i="13"/>
  <c r="T764" i="13"/>
  <c r="J765" i="13"/>
  <c r="K765" i="13"/>
  <c r="L765" i="13"/>
  <c r="M765" i="13"/>
  <c r="N765" i="13"/>
  <c r="O765" i="13"/>
  <c r="P765" i="13"/>
  <c r="Q765" i="13"/>
  <c r="R765" i="13"/>
  <c r="S765" i="13"/>
  <c r="T765" i="13"/>
  <c r="J766" i="13"/>
  <c r="K766" i="13"/>
  <c r="L766" i="13"/>
  <c r="M766" i="13"/>
  <c r="N766" i="13"/>
  <c r="O766" i="13"/>
  <c r="P766" i="13"/>
  <c r="Q766" i="13"/>
  <c r="R766" i="13"/>
  <c r="S766" i="13"/>
  <c r="T766" i="13"/>
  <c r="J767" i="13"/>
  <c r="K767" i="13"/>
  <c r="L767" i="13"/>
  <c r="M767" i="13"/>
  <c r="N767" i="13"/>
  <c r="O767" i="13"/>
  <c r="P767" i="13"/>
  <c r="Q767" i="13"/>
  <c r="R767" i="13"/>
  <c r="S767" i="13"/>
  <c r="T767" i="13"/>
  <c r="J768" i="13"/>
  <c r="K768" i="13"/>
  <c r="L768" i="13"/>
  <c r="M768" i="13"/>
  <c r="N768" i="13"/>
  <c r="O768" i="13"/>
  <c r="P768" i="13"/>
  <c r="Q768" i="13"/>
  <c r="R768" i="13"/>
  <c r="S768" i="13"/>
  <c r="T768" i="13"/>
  <c r="J769" i="13"/>
  <c r="K769" i="13"/>
  <c r="L769" i="13"/>
  <c r="M769" i="13"/>
  <c r="N769" i="13"/>
  <c r="O769" i="13"/>
  <c r="P769" i="13"/>
  <c r="Q769" i="13"/>
  <c r="R769" i="13"/>
  <c r="S769" i="13"/>
  <c r="T769" i="13"/>
  <c r="J770" i="13"/>
  <c r="K770" i="13"/>
  <c r="L770" i="13"/>
  <c r="M770" i="13"/>
  <c r="N770" i="13"/>
  <c r="O770" i="13"/>
  <c r="P770" i="13"/>
  <c r="Q770" i="13"/>
  <c r="R770" i="13"/>
  <c r="S770" i="13"/>
  <c r="T770" i="13"/>
  <c r="J771" i="13"/>
  <c r="K771" i="13"/>
  <c r="L771" i="13"/>
  <c r="M771" i="13"/>
  <c r="N771" i="13"/>
  <c r="O771" i="13"/>
  <c r="P771" i="13"/>
  <c r="Q771" i="13"/>
  <c r="R771" i="13"/>
  <c r="S771" i="13"/>
  <c r="T771" i="13"/>
  <c r="J772" i="13"/>
  <c r="K772" i="13"/>
  <c r="L772" i="13"/>
  <c r="M772" i="13"/>
  <c r="N772" i="13"/>
  <c r="O772" i="13"/>
  <c r="P772" i="13"/>
  <c r="Q772" i="13"/>
  <c r="R772" i="13"/>
  <c r="S772" i="13"/>
  <c r="T772" i="13"/>
  <c r="J773" i="13"/>
  <c r="K773" i="13"/>
  <c r="L773" i="13"/>
  <c r="M773" i="13"/>
  <c r="N773" i="13"/>
  <c r="O773" i="13"/>
  <c r="P773" i="13"/>
  <c r="Q773" i="13"/>
  <c r="R773" i="13"/>
  <c r="S773" i="13"/>
  <c r="T773" i="13"/>
  <c r="J774" i="13"/>
  <c r="K774" i="13"/>
  <c r="L774" i="13"/>
  <c r="M774" i="13"/>
  <c r="N774" i="13"/>
  <c r="O774" i="13"/>
  <c r="P774" i="13"/>
  <c r="Q774" i="13"/>
  <c r="R774" i="13"/>
  <c r="S774" i="13"/>
  <c r="T774" i="13"/>
  <c r="J775" i="13"/>
  <c r="K775" i="13"/>
  <c r="L775" i="13"/>
  <c r="M775" i="13"/>
  <c r="N775" i="13"/>
  <c r="O775" i="13"/>
  <c r="P775" i="13"/>
  <c r="Q775" i="13"/>
  <c r="R775" i="13"/>
  <c r="S775" i="13"/>
  <c r="T775" i="13"/>
  <c r="J776" i="13"/>
  <c r="K776" i="13"/>
  <c r="L776" i="13"/>
  <c r="M776" i="13"/>
  <c r="N776" i="13"/>
  <c r="O776" i="13"/>
  <c r="P776" i="13"/>
  <c r="Q776" i="13"/>
  <c r="R776" i="13"/>
  <c r="S776" i="13"/>
  <c r="T776" i="13"/>
  <c r="J777" i="13"/>
  <c r="K777" i="13"/>
  <c r="L777" i="13"/>
  <c r="M777" i="13"/>
  <c r="N777" i="13"/>
  <c r="O777" i="13"/>
  <c r="P777" i="13"/>
  <c r="Q777" i="13"/>
  <c r="R777" i="13"/>
  <c r="S777" i="13"/>
  <c r="T777" i="13"/>
  <c r="J778" i="13"/>
  <c r="K778" i="13"/>
  <c r="L778" i="13"/>
  <c r="M778" i="13"/>
  <c r="N778" i="13"/>
  <c r="O778" i="13"/>
  <c r="P778" i="13"/>
  <c r="Q778" i="13"/>
  <c r="R778" i="13"/>
  <c r="S778" i="13"/>
  <c r="T778" i="13"/>
  <c r="J779" i="13"/>
  <c r="K779" i="13"/>
  <c r="L779" i="13"/>
  <c r="M779" i="13"/>
  <c r="N779" i="13"/>
  <c r="O779" i="13"/>
  <c r="P779" i="13"/>
  <c r="Q779" i="13"/>
  <c r="R779" i="13"/>
  <c r="S779" i="13"/>
  <c r="T779" i="13"/>
  <c r="J780" i="13"/>
  <c r="K780" i="13"/>
  <c r="L780" i="13"/>
  <c r="M780" i="13"/>
  <c r="N780" i="13"/>
  <c r="O780" i="13"/>
  <c r="P780" i="13"/>
  <c r="Q780" i="13"/>
  <c r="R780" i="13"/>
  <c r="S780" i="13"/>
  <c r="T780" i="13"/>
  <c r="J781" i="13"/>
  <c r="K781" i="13"/>
  <c r="L781" i="13"/>
  <c r="M781" i="13"/>
  <c r="N781" i="13"/>
  <c r="O781" i="13"/>
  <c r="P781" i="13"/>
  <c r="Q781" i="13"/>
  <c r="R781" i="13"/>
  <c r="S781" i="13"/>
  <c r="T781" i="13"/>
  <c r="J782" i="13"/>
  <c r="K782" i="13"/>
  <c r="L782" i="13"/>
  <c r="M782" i="13"/>
  <c r="N782" i="13"/>
  <c r="O782" i="13"/>
  <c r="P782" i="13"/>
  <c r="Q782" i="13"/>
  <c r="R782" i="13"/>
  <c r="S782" i="13"/>
  <c r="T782" i="13"/>
  <c r="J783" i="13"/>
  <c r="K783" i="13"/>
  <c r="L783" i="13"/>
  <c r="M783" i="13"/>
  <c r="N783" i="13"/>
  <c r="O783" i="13"/>
  <c r="P783" i="13"/>
  <c r="Q783" i="13"/>
  <c r="R783" i="13"/>
  <c r="S783" i="13"/>
  <c r="T783" i="13"/>
  <c r="J784" i="13"/>
  <c r="K784" i="13"/>
  <c r="L784" i="13"/>
  <c r="M784" i="13"/>
  <c r="N784" i="13"/>
  <c r="O784" i="13"/>
  <c r="P784" i="13" s="1"/>
  <c r="R784" i="13" s="1"/>
  <c r="T784" i="13" s="1"/>
  <c r="Q784" i="13"/>
  <c r="S784" i="13"/>
  <c r="J785" i="13"/>
  <c r="K785" i="13"/>
  <c r="L785" i="13"/>
  <c r="M785" i="13"/>
  <c r="N785" i="13"/>
  <c r="O785" i="13"/>
  <c r="P785" i="13"/>
  <c r="Q785" i="13"/>
  <c r="R785" i="13"/>
  <c r="T785" i="13" s="1"/>
  <c r="S785" i="13"/>
  <c r="J786" i="13"/>
  <c r="K786" i="13"/>
  <c r="L786" i="13"/>
  <c r="M786" i="13"/>
  <c r="N786" i="13"/>
  <c r="O786" i="13"/>
  <c r="P786" i="13" s="1"/>
  <c r="R786" i="13" s="1"/>
  <c r="T786" i="13" s="1"/>
  <c r="Q786" i="13"/>
  <c r="S786" i="13"/>
  <c r="J787" i="13"/>
  <c r="K787" i="13"/>
  <c r="L787" i="13"/>
  <c r="M787" i="13"/>
  <c r="N787" i="13"/>
  <c r="O787" i="13"/>
  <c r="P787" i="13" s="1"/>
  <c r="R787" i="13" s="1"/>
  <c r="T787" i="13" s="1"/>
  <c r="Q787" i="13"/>
  <c r="S787" i="13"/>
  <c r="J788" i="13"/>
  <c r="K788" i="13"/>
  <c r="L788" i="13"/>
  <c r="M788" i="13"/>
  <c r="N788" i="13"/>
  <c r="O788" i="13"/>
  <c r="J789" i="13"/>
  <c r="K789" i="13"/>
  <c r="L789" i="13"/>
  <c r="M789" i="13"/>
  <c r="N789" i="13"/>
  <c r="O789" i="13"/>
  <c r="J790" i="13"/>
  <c r="K790" i="13"/>
  <c r="L790" i="13"/>
  <c r="M790" i="13"/>
  <c r="N790" i="13"/>
  <c r="O790" i="13"/>
  <c r="J791" i="13"/>
  <c r="K791" i="13"/>
  <c r="L791" i="13"/>
  <c r="M791" i="13"/>
  <c r="N791" i="13"/>
  <c r="O791" i="13"/>
  <c r="J792" i="13"/>
  <c r="K792" i="13"/>
  <c r="L792" i="13"/>
  <c r="M792" i="13"/>
  <c r="N792" i="13"/>
  <c r="O792" i="13"/>
  <c r="P792" i="13" s="1"/>
  <c r="R792" i="13" s="1"/>
  <c r="T792" i="13" s="1"/>
  <c r="Q792" i="13"/>
  <c r="S792" i="13"/>
  <c r="J793" i="13"/>
  <c r="K793" i="13"/>
  <c r="L793" i="13"/>
  <c r="M793" i="13"/>
  <c r="N793" i="13"/>
  <c r="O793" i="13"/>
  <c r="J794" i="13"/>
  <c r="K794" i="13"/>
  <c r="L794" i="13"/>
  <c r="M794" i="13"/>
  <c r="N794" i="13"/>
  <c r="O794" i="13"/>
  <c r="J795" i="13"/>
  <c r="K795" i="13"/>
  <c r="L795" i="13"/>
  <c r="M795" i="13"/>
  <c r="N795" i="13"/>
  <c r="O795" i="13"/>
  <c r="P795" i="13" s="1"/>
  <c r="R795" i="13" s="1"/>
  <c r="T795" i="13" s="1"/>
  <c r="Q795" i="13"/>
  <c r="S795" i="13"/>
  <c r="J796" i="13"/>
  <c r="K796" i="13"/>
  <c r="L796" i="13"/>
  <c r="M796" i="13"/>
  <c r="N796" i="13"/>
  <c r="O796" i="13"/>
  <c r="P796" i="13"/>
  <c r="Q796" i="13"/>
  <c r="R796" i="13"/>
  <c r="S796" i="13"/>
  <c r="T796" i="13" s="1"/>
  <c r="J797" i="13"/>
  <c r="K797" i="13"/>
  <c r="L797" i="13"/>
  <c r="M797" i="13"/>
  <c r="N797" i="13"/>
  <c r="O797" i="13"/>
  <c r="J798" i="13"/>
  <c r="K798" i="13"/>
  <c r="L798" i="13"/>
  <c r="M798" i="13"/>
  <c r="N798" i="13"/>
  <c r="O798" i="13"/>
  <c r="P798" i="13" s="1"/>
  <c r="R798" i="13" s="1"/>
  <c r="T798" i="13" s="1"/>
  <c r="Q798" i="13"/>
  <c r="S798" i="13"/>
  <c r="J799" i="13"/>
  <c r="K799" i="13"/>
  <c r="L799" i="13"/>
  <c r="M799" i="13"/>
  <c r="N799" i="13"/>
  <c r="O799" i="13"/>
  <c r="J800" i="13"/>
  <c r="K800" i="13"/>
  <c r="L800" i="13"/>
  <c r="M800" i="13"/>
  <c r="N800" i="13"/>
  <c r="O800" i="13"/>
  <c r="P800" i="13"/>
  <c r="Q800" i="13"/>
  <c r="R800" i="13"/>
  <c r="T800" i="13" s="1"/>
  <c r="S800" i="13"/>
  <c r="J801" i="13"/>
  <c r="K801" i="13"/>
  <c r="L801" i="13"/>
  <c r="M801" i="13"/>
  <c r="N801" i="13"/>
  <c r="O801" i="13"/>
  <c r="J802" i="13"/>
  <c r="K802" i="13"/>
  <c r="L802" i="13"/>
  <c r="M802" i="13"/>
  <c r="N802" i="13"/>
  <c r="O802" i="13"/>
  <c r="P802" i="13" s="1"/>
  <c r="R802" i="13" s="1"/>
  <c r="T802" i="13" s="1"/>
  <c r="Q802" i="13"/>
  <c r="S802" i="13"/>
  <c r="J803" i="13"/>
  <c r="K803" i="13"/>
  <c r="L803" i="13"/>
  <c r="M803" i="13"/>
  <c r="N803" i="13"/>
  <c r="O803" i="13"/>
  <c r="P803" i="13"/>
  <c r="R803" i="13" s="1"/>
  <c r="T803" i="13" s="1"/>
  <c r="Q803" i="13"/>
  <c r="S803" i="13"/>
  <c r="J804" i="13"/>
  <c r="K804" i="13"/>
  <c r="L804" i="13"/>
  <c r="M804" i="13"/>
  <c r="N804" i="13"/>
  <c r="O804" i="13"/>
  <c r="J805" i="13"/>
  <c r="K805" i="13"/>
  <c r="L805" i="13"/>
  <c r="M805" i="13"/>
  <c r="N805" i="13"/>
  <c r="O805" i="13"/>
  <c r="P805" i="13"/>
  <c r="Q805" i="13"/>
  <c r="R805" i="13"/>
  <c r="T805" i="13" s="1"/>
  <c r="S805" i="13"/>
  <c r="J806" i="13"/>
  <c r="K806" i="13"/>
  <c r="L806" i="13"/>
  <c r="M806" i="13"/>
  <c r="N806" i="13"/>
  <c r="O806" i="13"/>
  <c r="P806" i="13" s="1"/>
  <c r="R806" i="13" s="1"/>
  <c r="T806" i="13" s="1"/>
  <c r="Q806" i="13"/>
  <c r="S806" i="13"/>
  <c r="J807" i="13"/>
  <c r="K807" i="13"/>
  <c r="L807" i="13"/>
  <c r="M807" i="13"/>
  <c r="N807" i="13"/>
  <c r="O807" i="13"/>
  <c r="P807" i="13" s="1"/>
  <c r="R807" i="13" s="1"/>
  <c r="Q807" i="13"/>
  <c r="S807" i="13" s="1"/>
  <c r="J808" i="13"/>
  <c r="K808" i="13"/>
  <c r="L808" i="13"/>
  <c r="M808" i="13"/>
  <c r="N808" i="13"/>
  <c r="O808" i="13"/>
  <c r="J809" i="13"/>
  <c r="K809" i="13"/>
  <c r="L809" i="13"/>
  <c r="M809" i="13"/>
  <c r="N809" i="13"/>
  <c r="O809" i="13"/>
  <c r="P809" i="13" s="1"/>
  <c r="R809" i="13" s="1"/>
  <c r="T809" i="13" s="1"/>
  <c r="Q809" i="13"/>
  <c r="S809" i="13"/>
  <c r="J810" i="13"/>
  <c r="K810" i="13"/>
  <c r="L810" i="13"/>
  <c r="M810" i="13"/>
  <c r="N810" i="13"/>
  <c r="O810" i="13"/>
  <c r="P810" i="13"/>
  <c r="Q810" i="13"/>
  <c r="R810" i="13"/>
  <c r="T810" i="13" s="1"/>
  <c r="S810" i="13"/>
  <c r="J811" i="13"/>
  <c r="N811" i="13" s="1"/>
  <c r="K811" i="13"/>
  <c r="L811" i="13"/>
  <c r="M811" i="13"/>
  <c r="O811" i="13"/>
  <c r="P811" i="13"/>
  <c r="Q811" i="13"/>
  <c r="R811" i="13"/>
  <c r="T811" i="13" s="1"/>
  <c r="S811" i="13"/>
  <c r="J812" i="13"/>
  <c r="K812" i="13"/>
  <c r="L812" i="13"/>
  <c r="M812" i="13"/>
  <c r="N812" i="13"/>
  <c r="O812" i="13"/>
  <c r="P812" i="13"/>
  <c r="Q812" i="13"/>
  <c r="R812" i="13"/>
  <c r="T812" i="13" s="1"/>
  <c r="S812" i="13"/>
  <c r="J813" i="13"/>
  <c r="K813" i="13"/>
  <c r="L813" i="13"/>
  <c r="M813" i="13"/>
  <c r="N813" i="13"/>
  <c r="O813" i="13"/>
  <c r="P813" i="13" s="1"/>
  <c r="R813" i="13" s="1"/>
  <c r="T813" i="13" s="1"/>
  <c r="Q813" i="13"/>
  <c r="S813" i="13"/>
  <c r="J814" i="13"/>
  <c r="K814" i="13"/>
  <c r="L814" i="13"/>
  <c r="M814" i="13"/>
  <c r="N814" i="13"/>
  <c r="O814" i="13"/>
  <c r="P814" i="13" s="1"/>
  <c r="R814" i="13" s="1"/>
  <c r="T814" i="13" s="1"/>
  <c r="Q814" i="13"/>
  <c r="S814" i="13"/>
  <c r="J815" i="13"/>
  <c r="K815" i="13"/>
  <c r="L815" i="13"/>
  <c r="M815" i="13"/>
  <c r="N815" i="13"/>
  <c r="O815" i="13"/>
  <c r="P815" i="13" s="1"/>
  <c r="R815" i="13" s="1"/>
  <c r="T815" i="13" s="1"/>
  <c r="Q815" i="13"/>
  <c r="S815" i="13"/>
  <c r="J816" i="13"/>
  <c r="K816" i="13"/>
  <c r="L816" i="13"/>
  <c r="M816" i="13"/>
  <c r="N816" i="13"/>
  <c r="O816" i="13"/>
  <c r="J817" i="13"/>
  <c r="K817" i="13"/>
  <c r="L817" i="13"/>
  <c r="M817" i="13"/>
  <c r="N817" i="13"/>
  <c r="O817" i="13"/>
  <c r="P817" i="13" s="1"/>
  <c r="R817" i="13" s="1"/>
  <c r="T817" i="13" s="1"/>
  <c r="Q817" i="13"/>
  <c r="S817" i="13"/>
  <c r="J818" i="13"/>
  <c r="K818" i="13"/>
  <c r="L818" i="13"/>
  <c r="M818" i="13"/>
  <c r="N818" i="13"/>
  <c r="O818" i="13"/>
  <c r="J819" i="13"/>
  <c r="K819" i="13"/>
  <c r="L819" i="13"/>
  <c r="M819" i="13"/>
  <c r="N819" i="13"/>
  <c r="O819" i="13"/>
  <c r="J820" i="13"/>
  <c r="K820" i="13"/>
  <c r="L820" i="13"/>
  <c r="M820" i="13"/>
  <c r="N820" i="13"/>
  <c r="O820" i="13"/>
  <c r="P820" i="13" s="1"/>
  <c r="R820" i="13" s="1"/>
  <c r="T820" i="13" s="1"/>
  <c r="Q820" i="13"/>
  <c r="S820" i="13"/>
  <c r="J821" i="13"/>
  <c r="K821" i="13"/>
  <c r="L821" i="13"/>
  <c r="M821" i="13"/>
  <c r="N821" i="13"/>
  <c r="O821" i="13"/>
  <c r="P821" i="13" s="1"/>
  <c r="R821" i="13" s="1"/>
  <c r="T821" i="13" s="1"/>
  <c r="Q821" i="13"/>
  <c r="S821" i="13"/>
  <c r="J822" i="13"/>
  <c r="K822" i="13"/>
  <c r="L822" i="13"/>
  <c r="M822" i="13"/>
  <c r="N822" i="13"/>
  <c r="O822" i="13"/>
  <c r="P822" i="13" s="1"/>
  <c r="R822" i="13" s="1"/>
  <c r="T822" i="13" s="1"/>
  <c r="Q822" i="13"/>
  <c r="S822" i="13"/>
  <c r="J823" i="13"/>
  <c r="K823" i="13"/>
  <c r="L823" i="13"/>
  <c r="M823" i="13"/>
  <c r="N823" i="13"/>
  <c r="O823" i="13"/>
  <c r="P823" i="13" s="1"/>
  <c r="R823" i="13" s="1"/>
  <c r="T823" i="13" s="1"/>
  <c r="Q823" i="13"/>
  <c r="S823" i="13"/>
  <c r="J824" i="13"/>
  <c r="K824" i="13"/>
  <c r="L824" i="13"/>
  <c r="M824" i="13"/>
  <c r="N824" i="13"/>
  <c r="O824" i="13"/>
  <c r="J825" i="13"/>
  <c r="K825" i="13"/>
  <c r="L825" i="13"/>
  <c r="M825" i="13"/>
  <c r="N825" i="13"/>
  <c r="O825" i="13"/>
  <c r="J826" i="13"/>
  <c r="K826" i="13"/>
  <c r="L826" i="13"/>
  <c r="M826" i="13"/>
  <c r="N826" i="13"/>
  <c r="O826" i="13"/>
  <c r="P826" i="13" s="1"/>
  <c r="R826" i="13" s="1"/>
  <c r="T826" i="13" s="1"/>
  <c r="Q826" i="13"/>
  <c r="S826" i="13"/>
  <c r="J827" i="13"/>
  <c r="K827" i="13"/>
  <c r="L827" i="13"/>
  <c r="M827" i="13"/>
  <c r="N827" i="13"/>
  <c r="O827" i="13"/>
  <c r="P827" i="13" s="1"/>
  <c r="R827" i="13" s="1"/>
  <c r="T827" i="13" s="1"/>
  <c r="Q827" i="13"/>
  <c r="S827" i="13"/>
  <c r="J828" i="13"/>
  <c r="K828" i="13"/>
  <c r="L828" i="13"/>
  <c r="M828" i="13"/>
  <c r="N828" i="13"/>
  <c r="O828" i="13"/>
  <c r="P828" i="13" s="1"/>
  <c r="R828" i="13" s="1"/>
  <c r="T828" i="13" s="1"/>
  <c r="Q828" i="13"/>
  <c r="S828" i="13"/>
  <c r="J829" i="13"/>
  <c r="K829" i="13"/>
  <c r="L829" i="13"/>
  <c r="M829" i="13"/>
  <c r="N829" i="13"/>
  <c r="O829" i="13"/>
  <c r="P829" i="13" s="1"/>
  <c r="R829" i="13" s="1"/>
  <c r="T829" i="13" s="1"/>
  <c r="Q829" i="13"/>
  <c r="S829" i="13"/>
  <c r="J830" i="13"/>
  <c r="K830" i="13"/>
  <c r="L830" i="13"/>
  <c r="M830" i="13"/>
  <c r="N830" i="13"/>
  <c r="O830" i="13"/>
  <c r="P830" i="13" s="1"/>
  <c r="R830" i="13" s="1"/>
  <c r="T830" i="13" s="1"/>
  <c r="Q830" i="13"/>
  <c r="S830" i="13"/>
  <c r="J831" i="13"/>
  <c r="N831" i="13" s="1"/>
  <c r="K831" i="13"/>
  <c r="L831" i="13"/>
  <c r="M831" i="13"/>
  <c r="O831" i="13"/>
  <c r="P831" i="13" s="1"/>
  <c r="R831" i="13" s="1"/>
  <c r="Q831" i="13"/>
  <c r="S831" i="13" s="1"/>
  <c r="J832" i="13"/>
  <c r="K832" i="13"/>
  <c r="L832" i="13"/>
  <c r="M832" i="13"/>
  <c r="N832" i="13"/>
  <c r="O832" i="13"/>
  <c r="J833" i="13"/>
  <c r="K833" i="13"/>
  <c r="L833" i="13"/>
  <c r="M833" i="13"/>
  <c r="N833" i="13"/>
  <c r="O833" i="13"/>
  <c r="P833" i="13"/>
  <c r="Q833" i="13"/>
  <c r="R833" i="13"/>
  <c r="S833" i="13"/>
  <c r="T833" i="13"/>
  <c r="J834" i="13"/>
  <c r="K834" i="13"/>
  <c r="L834" i="13"/>
  <c r="M834" i="13"/>
  <c r="N834" i="13"/>
  <c r="O834" i="13"/>
  <c r="P834" i="13" s="1"/>
  <c r="R834" i="13" s="1"/>
  <c r="Q834" i="13"/>
  <c r="S834" i="13" s="1"/>
  <c r="J835" i="13"/>
  <c r="K835" i="13"/>
  <c r="L835" i="13"/>
  <c r="M835" i="13"/>
  <c r="N835" i="13"/>
  <c r="O835" i="13"/>
  <c r="P835" i="13" s="1"/>
  <c r="R835" i="13" s="1"/>
  <c r="T835" i="13" s="1"/>
  <c r="Q835" i="13"/>
  <c r="S835" i="13"/>
  <c r="J836" i="13"/>
  <c r="K836" i="13"/>
  <c r="L836" i="13"/>
  <c r="M836" i="13"/>
  <c r="N836" i="13"/>
  <c r="O836" i="13"/>
  <c r="P836" i="13"/>
  <c r="Q836" i="13"/>
  <c r="R836" i="13"/>
  <c r="T836" i="13" s="1"/>
  <c r="S836" i="13"/>
  <c r="J837" i="13"/>
  <c r="K837" i="13"/>
  <c r="L837" i="13"/>
  <c r="M837" i="13"/>
  <c r="N837" i="13"/>
  <c r="O837" i="13"/>
  <c r="J838" i="13"/>
  <c r="K838" i="13"/>
  <c r="L838" i="13"/>
  <c r="M838" i="13"/>
  <c r="N838" i="13"/>
  <c r="O838" i="13"/>
  <c r="P838" i="13" s="1"/>
  <c r="R838" i="13" s="1"/>
  <c r="T838" i="13" s="1"/>
  <c r="Q838" i="13"/>
  <c r="S838" i="13"/>
  <c r="J839" i="13"/>
  <c r="K839" i="13"/>
  <c r="L839" i="13"/>
  <c r="M839" i="13"/>
  <c r="N839" i="13"/>
  <c r="O839" i="13"/>
  <c r="J840" i="13"/>
  <c r="K840" i="13"/>
  <c r="L840" i="13"/>
  <c r="M840" i="13"/>
  <c r="N840" i="13"/>
  <c r="O840" i="13"/>
  <c r="P840" i="13" s="1"/>
  <c r="R840" i="13" s="1"/>
  <c r="T840" i="13" s="1"/>
  <c r="Q840" i="13"/>
  <c r="S840" i="13"/>
  <c r="J841" i="13"/>
  <c r="K841" i="13"/>
  <c r="L841" i="13"/>
  <c r="M841" i="13"/>
  <c r="N841" i="13"/>
  <c r="O841" i="13"/>
  <c r="P841" i="13"/>
  <c r="Q841" i="13"/>
  <c r="R841" i="13"/>
  <c r="S841" i="13"/>
  <c r="T841" i="13" s="1"/>
  <c r="J842" i="13"/>
  <c r="K842" i="13"/>
  <c r="L842" i="13"/>
  <c r="M842" i="13"/>
  <c r="N842" i="13"/>
  <c r="O842" i="13"/>
  <c r="P842" i="13" s="1"/>
  <c r="R842" i="13" s="1"/>
  <c r="T842" i="13" s="1"/>
  <c r="Q842" i="13"/>
  <c r="S842" i="13"/>
  <c r="J843" i="13"/>
  <c r="K843" i="13"/>
  <c r="L843" i="13"/>
  <c r="M843" i="13"/>
  <c r="N843" i="13"/>
  <c r="O843" i="13"/>
  <c r="J844" i="13"/>
  <c r="K844" i="13"/>
  <c r="L844" i="13"/>
  <c r="M844" i="13"/>
  <c r="N844" i="13"/>
  <c r="O844" i="13"/>
  <c r="J845" i="13"/>
  <c r="K845" i="13"/>
  <c r="L845" i="13"/>
  <c r="M845" i="13"/>
  <c r="N845" i="13"/>
  <c r="O845" i="13"/>
  <c r="P845" i="13" s="1"/>
  <c r="R845" i="13" s="1"/>
  <c r="T845" i="13" s="1"/>
  <c r="Q845" i="13"/>
  <c r="S845" i="13"/>
  <c r="J846" i="13"/>
  <c r="K846" i="13"/>
  <c r="L846" i="13"/>
  <c r="M846" i="13"/>
  <c r="N846" i="13"/>
  <c r="O846" i="13"/>
  <c r="J847" i="13"/>
  <c r="K847" i="13"/>
  <c r="L847" i="13"/>
  <c r="M847" i="13"/>
  <c r="N847" i="13"/>
  <c r="O847" i="13"/>
  <c r="P847" i="13" s="1"/>
  <c r="R847" i="13" s="1"/>
  <c r="T847" i="13" s="1"/>
  <c r="Q847" i="13"/>
  <c r="S847" i="13"/>
  <c r="J848" i="13"/>
  <c r="K848" i="13"/>
  <c r="L848" i="13"/>
  <c r="M848" i="13"/>
  <c r="N848" i="13"/>
  <c r="O848" i="13"/>
  <c r="J849" i="13"/>
  <c r="K849" i="13"/>
  <c r="L849" i="13"/>
  <c r="M849" i="13"/>
  <c r="N849" i="13"/>
  <c r="O849" i="13"/>
  <c r="J850" i="13"/>
  <c r="K850" i="13"/>
  <c r="L850" i="13"/>
  <c r="M850" i="13"/>
  <c r="N850" i="13"/>
  <c r="O850" i="13"/>
  <c r="P850" i="13"/>
  <c r="Q850" i="13"/>
  <c r="R850" i="13"/>
  <c r="T850" i="13" s="1"/>
  <c r="S850" i="13"/>
  <c r="J851" i="13"/>
  <c r="K851" i="13"/>
  <c r="L851" i="13"/>
  <c r="M851" i="13"/>
  <c r="N851" i="13"/>
  <c r="O851" i="13"/>
  <c r="J852" i="13"/>
  <c r="K852" i="13"/>
  <c r="L852" i="13"/>
  <c r="M852" i="13"/>
  <c r="N852" i="13"/>
  <c r="O852" i="13"/>
  <c r="J853" i="13"/>
  <c r="K853" i="13"/>
  <c r="L853" i="13"/>
  <c r="M853" i="13"/>
  <c r="N853" i="13"/>
  <c r="O853" i="13"/>
  <c r="J854" i="13"/>
  <c r="K854" i="13"/>
  <c r="L854" i="13"/>
  <c r="M854" i="13"/>
  <c r="N854" i="13"/>
  <c r="O854" i="13"/>
  <c r="P854" i="13" s="1"/>
  <c r="R854" i="13" s="1"/>
  <c r="T854" i="13" s="1"/>
  <c r="Q854" i="13"/>
  <c r="S854" i="13"/>
  <c r="J855" i="13"/>
  <c r="K855" i="13"/>
  <c r="L855" i="13"/>
  <c r="M855" i="13"/>
  <c r="N855" i="13"/>
  <c r="O855" i="13"/>
  <c r="P855" i="13"/>
  <c r="Q855" i="13"/>
  <c r="R855" i="13"/>
  <c r="T855" i="13" s="1"/>
  <c r="S855" i="13"/>
  <c r="J856" i="13"/>
  <c r="K856" i="13"/>
  <c r="L856" i="13"/>
  <c r="M856" i="13"/>
  <c r="N856" i="13"/>
  <c r="O856" i="13"/>
  <c r="J857" i="13"/>
  <c r="K857" i="13"/>
  <c r="L857" i="13"/>
  <c r="M857" i="13"/>
  <c r="N857" i="13"/>
  <c r="O857" i="13"/>
  <c r="P857" i="13" s="1"/>
  <c r="R857" i="13" s="1"/>
  <c r="T857" i="13" s="1"/>
  <c r="Q857" i="13"/>
  <c r="S857" i="13"/>
  <c r="J858" i="13"/>
  <c r="K858" i="13"/>
  <c r="L858" i="13"/>
  <c r="M858" i="13"/>
  <c r="N858" i="13"/>
  <c r="O858" i="13"/>
  <c r="P858" i="13"/>
  <c r="Q858" i="13"/>
  <c r="R858" i="13"/>
  <c r="T858" i="13" s="1"/>
  <c r="S858" i="13"/>
  <c r="J859" i="13"/>
  <c r="K859" i="13"/>
  <c r="L859" i="13"/>
  <c r="M859" i="13"/>
  <c r="N859" i="13"/>
  <c r="O859" i="13"/>
  <c r="J860" i="13"/>
  <c r="K860" i="13"/>
  <c r="L860" i="13"/>
  <c r="M860" i="13"/>
  <c r="N860" i="13"/>
  <c r="O860" i="13"/>
  <c r="J861" i="13"/>
  <c r="K861" i="13"/>
  <c r="L861" i="13"/>
  <c r="M861" i="13"/>
  <c r="N861" i="13"/>
  <c r="O861" i="13"/>
  <c r="P861" i="13" s="1"/>
  <c r="R861" i="13" s="1"/>
  <c r="T861" i="13" s="1"/>
  <c r="Q861" i="13"/>
  <c r="S861" i="13"/>
  <c r="J862" i="13"/>
  <c r="K862" i="13"/>
  <c r="L862" i="13"/>
  <c r="M862" i="13"/>
  <c r="N862" i="13"/>
  <c r="O862" i="13"/>
  <c r="P862" i="13" s="1"/>
  <c r="R862" i="13" s="1"/>
  <c r="T862" i="13" s="1"/>
  <c r="Q862" i="13"/>
  <c r="S862" i="13"/>
  <c r="J863" i="13"/>
  <c r="K863" i="13"/>
  <c r="L863" i="13"/>
  <c r="M863" i="13"/>
  <c r="N863" i="13"/>
  <c r="O863" i="13"/>
  <c r="P863" i="13"/>
  <c r="R863" i="13" s="1"/>
  <c r="T863" i="13" s="1"/>
  <c r="Q863" i="13"/>
  <c r="S863" i="13"/>
  <c r="J864" i="13"/>
  <c r="K864" i="13"/>
  <c r="L864" i="13"/>
  <c r="M864" i="13"/>
  <c r="N864" i="13"/>
  <c r="O864" i="13"/>
  <c r="P864" i="13"/>
  <c r="Q864" i="13"/>
  <c r="R864" i="13"/>
  <c r="S864" i="13"/>
  <c r="T864" i="13" s="1"/>
  <c r="J865" i="13"/>
  <c r="K865" i="13"/>
  <c r="L865" i="13"/>
  <c r="M865" i="13"/>
  <c r="N865" i="13"/>
  <c r="O865" i="13"/>
  <c r="P865" i="13" s="1"/>
  <c r="R865" i="13" s="1"/>
  <c r="T865" i="13" s="1"/>
  <c r="Q865" i="13"/>
  <c r="S865" i="13"/>
  <c r="J866" i="13"/>
  <c r="K866" i="13"/>
  <c r="L866" i="13"/>
  <c r="M866" i="13"/>
  <c r="N866" i="13"/>
  <c r="O866" i="13"/>
  <c r="P866" i="13" s="1"/>
  <c r="R866" i="13" s="1"/>
  <c r="T866" i="13" s="1"/>
  <c r="Q866" i="13"/>
  <c r="S866" i="13"/>
  <c r="J867" i="13"/>
  <c r="K867" i="13"/>
  <c r="L867" i="13"/>
  <c r="M867" i="13"/>
  <c r="N867" i="13"/>
  <c r="O867" i="13"/>
  <c r="J868" i="13"/>
  <c r="K868" i="13"/>
  <c r="L868" i="13"/>
  <c r="M868" i="13"/>
  <c r="N868" i="13"/>
  <c r="O868" i="13"/>
  <c r="P868" i="13" s="1"/>
  <c r="R868" i="13" s="1"/>
  <c r="T868" i="13" s="1"/>
  <c r="Q868" i="13"/>
  <c r="S868" i="13"/>
  <c r="J869" i="13"/>
  <c r="K869" i="13"/>
  <c r="L869" i="13"/>
  <c r="M869" i="13"/>
  <c r="N869" i="13"/>
  <c r="O869" i="13"/>
  <c r="P869" i="13" s="1"/>
  <c r="R869" i="13" s="1"/>
  <c r="T869" i="13" s="1"/>
  <c r="Q869" i="13"/>
  <c r="S869" i="13"/>
  <c r="J870" i="13"/>
  <c r="K870" i="13"/>
  <c r="L870" i="13"/>
  <c r="M870" i="13"/>
  <c r="N870" i="13"/>
  <c r="O870" i="13"/>
  <c r="P870" i="13" s="1"/>
  <c r="R870" i="13" s="1"/>
  <c r="T870" i="13" s="1"/>
  <c r="Q870" i="13"/>
  <c r="S870" i="13"/>
  <c r="J871" i="13"/>
  <c r="K871" i="13"/>
  <c r="L871" i="13"/>
  <c r="M871" i="13"/>
  <c r="N871" i="13"/>
  <c r="O871" i="13"/>
  <c r="J872" i="13"/>
  <c r="K872" i="13"/>
  <c r="L872" i="13"/>
  <c r="M872" i="13"/>
  <c r="N872" i="13"/>
  <c r="O872" i="13"/>
  <c r="P872" i="13" s="1"/>
  <c r="R872" i="13" s="1"/>
  <c r="T872" i="13" s="1"/>
  <c r="Q872" i="13"/>
  <c r="S872" i="13"/>
  <c r="J873" i="13"/>
  <c r="K873" i="13"/>
  <c r="L873" i="13"/>
  <c r="M873" i="13"/>
  <c r="N873" i="13"/>
  <c r="O873" i="13"/>
  <c r="P873" i="13" s="1"/>
  <c r="R873" i="13" s="1"/>
  <c r="T873" i="13" s="1"/>
  <c r="Q873" i="13"/>
  <c r="S873" i="13"/>
  <c r="J874" i="13"/>
  <c r="K874" i="13"/>
  <c r="L874" i="13"/>
  <c r="M874" i="13"/>
  <c r="N874" i="13"/>
  <c r="O874" i="13"/>
  <c r="P874" i="13"/>
  <c r="Q874" i="13"/>
  <c r="R874" i="13"/>
  <c r="T874" i="13" s="1"/>
  <c r="S874" i="13"/>
  <c r="J875" i="13"/>
  <c r="K875" i="13"/>
  <c r="L875" i="13"/>
  <c r="M875" i="13"/>
  <c r="N875" i="13"/>
  <c r="O875" i="13"/>
  <c r="J876" i="13"/>
  <c r="K876" i="13"/>
  <c r="L876" i="13"/>
  <c r="M876" i="13"/>
  <c r="N876" i="13"/>
  <c r="O876" i="13"/>
  <c r="J877" i="13"/>
  <c r="K877" i="13"/>
  <c r="L877" i="13"/>
  <c r="M877" i="13"/>
  <c r="N877" i="13"/>
  <c r="O877" i="13"/>
  <c r="P877" i="13" s="1"/>
  <c r="R877" i="13" s="1"/>
  <c r="T877" i="13" s="1"/>
  <c r="Q877" i="13"/>
  <c r="S877" i="13"/>
  <c r="J878" i="13"/>
  <c r="K878" i="13"/>
  <c r="L878" i="13"/>
  <c r="M878" i="13"/>
  <c r="N878" i="13"/>
  <c r="O878" i="13"/>
  <c r="P878" i="13" s="1"/>
  <c r="R878" i="13" s="1"/>
  <c r="T878" i="13" s="1"/>
  <c r="Q878" i="13"/>
  <c r="S878" i="13"/>
  <c r="J879" i="13"/>
  <c r="K879" i="13"/>
  <c r="L879" i="13"/>
  <c r="M879" i="13"/>
  <c r="N879" i="13"/>
  <c r="O879" i="13"/>
  <c r="P879" i="13"/>
  <c r="Q879" i="13"/>
  <c r="S879" i="13" s="1"/>
  <c r="R879" i="13"/>
  <c r="T879" i="13" s="1"/>
  <c r="J880" i="13"/>
  <c r="K880" i="13"/>
  <c r="L880" i="13"/>
  <c r="M880" i="13"/>
  <c r="N880" i="13"/>
  <c r="O880" i="13"/>
  <c r="P880" i="13"/>
  <c r="Q880" i="13"/>
  <c r="R880" i="13"/>
  <c r="T880" i="13" s="1"/>
  <c r="S880" i="13"/>
  <c r="J881" i="13"/>
  <c r="K881" i="13"/>
  <c r="L881" i="13"/>
  <c r="M881" i="13"/>
  <c r="N881" i="13"/>
  <c r="O881" i="13"/>
  <c r="P881" i="13" s="1"/>
  <c r="R881" i="13" s="1"/>
  <c r="T881" i="13" s="1"/>
  <c r="Q881" i="13"/>
  <c r="S881" i="13"/>
  <c r="J882" i="13"/>
  <c r="K882" i="13"/>
  <c r="L882" i="13"/>
  <c r="M882" i="13"/>
  <c r="N882" i="13"/>
  <c r="O882" i="13"/>
  <c r="P882" i="13" s="1"/>
  <c r="R882" i="13" s="1"/>
  <c r="T882" i="13" s="1"/>
  <c r="Q882" i="13"/>
  <c r="S882" i="13"/>
  <c r="J883" i="13"/>
  <c r="K883" i="13"/>
  <c r="L883" i="13"/>
  <c r="M883" i="13"/>
  <c r="N883" i="13"/>
  <c r="O883" i="13"/>
  <c r="P883" i="13" s="1"/>
  <c r="R883" i="13" s="1"/>
  <c r="T883" i="13" s="1"/>
  <c r="Q883" i="13"/>
  <c r="S883" i="13"/>
  <c r="J884" i="13"/>
  <c r="K884" i="13"/>
  <c r="L884" i="13"/>
  <c r="M884" i="13"/>
  <c r="N884" i="13"/>
  <c r="O884" i="13"/>
  <c r="P884" i="13" s="1"/>
  <c r="R884" i="13" s="1"/>
  <c r="T884" i="13" s="1"/>
  <c r="Q884" i="13"/>
  <c r="S884" i="13"/>
  <c r="J885" i="13"/>
  <c r="K885" i="13"/>
  <c r="L885" i="13"/>
  <c r="M885" i="13"/>
  <c r="N885" i="13"/>
  <c r="O885" i="13"/>
  <c r="P885" i="13" s="1"/>
  <c r="R885" i="13" s="1"/>
  <c r="T885" i="13" s="1"/>
  <c r="Q885" i="13"/>
  <c r="S885" i="13"/>
  <c r="J886" i="13"/>
  <c r="K886" i="13"/>
  <c r="L886" i="13"/>
  <c r="M886" i="13"/>
  <c r="N886" i="13"/>
  <c r="O886" i="13"/>
  <c r="P886" i="13" s="1"/>
  <c r="R886" i="13" s="1"/>
  <c r="T886" i="13" s="1"/>
  <c r="Q886" i="13"/>
  <c r="S886" i="13"/>
  <c r="J887" i="13"/>
  <c r="K887" i="13"/>
  <c r="L887" i="13"/>
  <c r="M887" i="13"/>
  <c r="N887" i="13"/>
  <c r="O887" i="13"/>
  <c r="J888" i="13"/>
  <c r="K888" i="13"/>
  <c r="N888" i="13" s="1"/>
  <c r="L888" i="13"/>
  <c r="M888" i="13"/>
  <c r="O888" i="13"/>
  <c r="J889" i="13"/>
  <c r="N889" i="13" s="1"/>
  <c r="K889" i="13"/>
  <c r="L889" i="13"/>
  <c r="M889" i="13"/>
  <c r="O889" i="13"/>
  <c r="P889" i="13" s="1"/>
  <c r="R889" i="13" s="1"/>
  <c r="T889" i="13" s="1"/>
  <c r="Q889" i="13"/>
  <c r="S889" i="13"/>
  <c r="J890" i="13"/>
  <c r="K890" i="13"/>
  <c r="L890" i="13"/>
  <c r="M890" i="13"/>
  <c r="N890" i="13"/>
  <c r="O890" i="13"/>
  <c r="J891" i="13"/>
  <c r="K891" i="13"/>
  <c r="L891" i="13"/>
  <c r="M891" i="13"/>
  <c r="N891" i="13"/>
  <c r="O891" i="13"/>
  <c r="P891" i="13"/>
  <c r="Q891" i="13"/>
  <c r="R891" i="13"/>
  <c r="T891" i="13" s="1"/>
  <c r="S891" i="13"/>
  <c r="J892" i="13"/>
  <c r="K892" i="13"/>
  <c r="L892" i="13"/>
  <c r="M892" i="13"/>
  <c r="N892" i="13"/>
  <c r="O892" i="13"/>
  <c r="J893" i="13"/>
  <c r="K893" i="13"/>
  <c r="L893" i="13"/>
  <c r="M893" i="13"/>
  <c r="N893" i="13"/>
  <c r="O893" i="13"/>
  <c r="P893" i="13" s="1"/>
  <c r="R893" i="13" s="1"/>
  <c r="T893" i="13" s="1"/>
  <c r="Q893" i="13"/>
  <c r="S893" i="13"/>
  <c r="J894" i="13"/>
  <c r="K894" i="13"/>
  <c r="L894" i="13"/>
  <c r="M894" i="13"/>
  <c r="N894" i="13"/>
  <c r="O894" i="13"/>
  <c r="P894" i="13" s="1"/>
  <c r="R894" i="13" s="1"/>
  <c r="T894" i="13" s="1"/>
  <c r="Q894" i="13"/>
  <c r="S894" i="13"/>
  <c r="J895" i="13"/>
  <c r="K895" i="13"/>
  <c r="L895" i="13"/>
  <c r="M895" i="13"/>
  <c r="N895" i="13"/>
  <c r="O895" i="13"/>
  <c r="P895" i="13"/>
  <c r="Q895" i="13"/>
  <c r="R895" i="13"/>
  <c r="T895" i="13" s="1"/>
  <c r="S895" i="13"/>
  <c r="J896" i="13"/>
  <c r="K896" i="13"/>
  <c r="L896" i="13"/>
  <c r="M896" i="13"/>
  <c r="N896" i="13"/>
  <c r="O896" i="13"/>
  <c r="P896" i="13" s="1"/>
  <c r="R896" i="13" s="1"/>
  <c r="T896" i="13" s="1"/>
  <c r="Q896" i="13"/>
  <c r="S896" i="13"/>
  <c r="J897" i="13"/>
  <c r="K897" i="13"/>
  <c r="L897" i="13"/>
  <c r="M897" i="13"/>
  <c r="N897" i="13"/>
  <c r="O897" i="13"/>
  <c r="P897" i="13" s="1"/>
  <c r="R897" i="13" s="1"/>
  <c r="T897" i="13" s="1"/>
  <c r="Q897" i="13"/>
  <c r="S897" i="13"/>
  <c r="J898" i="13"/>
  <c r="K898" i="13"/>
  <c r="L898" i="13"/>
  <c r="M898" i="13"/>
  <c r="N898" i="13"/>
  <c r="O898" i="13"/>
  <c r="P898" i="13"/>
  <c r="Q898" i="13"/>
  <c r="R898" i="13"/>
  <c r="T898" i="13" s="1"/>
  <c r="S898" i="13"/>
  <c r="J899" i="13"/>
  <c r="K899" i="13"/>
  <c r="L899" i="13"/>
  <c r="M899" i="13"/>
  <c r="N899" i="13"/>
  <c r="O899" i="13"/>
  <c r="P899" i="13"/>
  <c r="Q899" i="13"/>
  <c r="R899" i="13"/>
  <c r="T899" i="13" s="1"/>
  <c r="S899" i="13"/>
  <c r="J900" i="13"/>
  <c r="K900" i="13"/>
  <c r="L900" i="13"/>
  <c r="M900" i="13"/>
  <c r="N900" i="13"/>
  <c r="O900" i="13"/>
  <c r="P900" i="13"/>
  <c r="R900" i="13" s="1"/>
  <c r="T900" i="13" s="1"/>
  <c r="Q900" i="13"/>
  <c r="S900" i="13"/>
  <c r="J901" i="13"/>
  <c r="K901" i="13"/>
  <c r="L901" i="13"/>
  <c r="M901" i="13"/>
  <c r="N901" i="13"/>
  <c r="O901" i="13"/>
  <c r="P901" i="13"/>
  <c r="Q901" i="13"/>
  <c r="R901" i="13"/>
  <c r="T901" i="13" s="1"/>
  <c r="S901" i="13"/>
  <c r="J902" i="13"/>
  <c r="K902" i="13"/>
  <c r="L902" i="13"/>
  <c r="M902" i="13"/>
  <c r="N902" i="13"/>
  <c r="O902" i="13"/>
  <c r="J903" i="13"/>
  <c r="K903" i="13"/>
  <c r="L903" i="13"/>
  <c r="M903" i="13"/>
  <c r="N903" i="13"/>
  <c r="O903" i="13"/>
  <c r="P903" i="13" s="1"/>
  <c r="R903" i="13" s="1"/>
  <c r="T903" i="13" s="1"/>
  <c r="Q903" i="13"/>
  <c r="S903" i="13"/>
  <c r="J904" i="13"/>
  <c r="K904" i="13"/>
  <c r="L904" i="13"/>
  <c r="M904" i="13"/>
  <c r="N904" i="13"/>
  <c r="O904" i="13"/>
  <c r="P904" i="13"/>
  <c r="Q904" i="13"/>
  <c r="R904" i="13"/>
  <c r="S904" i="13"/>
  <c r="T904" i="13" s="1"/>
  <c r="J905" i="13"/>
  <c r="K905" i="13"/>
  <c r="L905" i="13"/>
  <c r="M905" i="13"/>
  <c r="N905" i="13"/>
  <c r="O905" i="13"/>
  <c r="P905" i="13" s="1"/>
  <c r="R905" i="13" s="1"/>
  <c r="T905" i="13" s="1"/>
  <c r="Q905" i="13"/>
  <c r="S905" i="13"/>
  <c r="J906" i="13"/>
  <c r="K906" i="13"/>
  <c r="L906" i="13"/>
  <c r="M906" i="13"/>
  <c r="N906" i="13"/>
  <c r="O906" i="13"/>
  <c r="P906" i="13"/>
  <c r="R906" i="13" s="1"/>
  <c r="T906" i="13" s="1"/>
  <c r="Q906" i="13"/>
  <c r="S906" i="13"/>
  <c r="J907" i="13"/>
  <c r="K907" i="13"/>
  <c r="L907" i="13"/>
  <c r="M907" i="13"/>
  <c r="N907" i="13"/>
  <c r="O907" i="13"/>
  <c r="P907" i="13"/>
  <c r="Q907" i="13"/>
  <c r="R907" i="13"/>
  <c r="T907" i="13" s="1"/>
  <c r="S907" i="13"/>
  <c r="J908" i="13"/>
  <c r="K908" i="13"/>
  <c r="L908" i="13"/>
  <c r="M908" i="13"/>
  <c r="N908" i="13"/>
  <c r="O908" i="13"/>
  <c r="J909" i="13"/>
  <c r="K909" i="13"/>
  <c r="L909" i="13"/>
  <c r="M909" i="13"/>
  <c r="N909" i="13"/>
  <c r="O909" i="13"/>
  <c r="P909" i="13" s="1"/>
  <c r="R909" i="13" s="1"/>
  <c r="T909" i="13" s="1"/>
  <c r="Q909" i="13"/>
  <c r="S909" i="13"/>
  <c r="J910" i="13"/>
  <c r="K910" i="13"/>
  <c r="L910" i="13"/>
  <c r="M910" i="13"/>
  <c r="N910" i="13"/>
  <c r="O910" i="13"/>
  <c r="P910" i="13"/>
  <c r="Q910" i="13"/>
  <c r="R910" i="13"/>
  <c r="T910" i="13" s="1"/>
  <c r="S910" i="13"/>
  <c r="J911" i="13"/>
  <c r="K911" i="13"/>
  <c r="L911" i="13"/>
  <c r="M911" i="13"/>
  <c r="N911" i="13"/>
  <c r="O911" i="13"/>
  <c r="P911" i="13" s="1"/>
  <c r="R911" i="13" s="1"/>
  <c r="T911" i="13" s="1"/>
  <c r="Q911" i="13"/>
  <c r="S911" i="13"/>
  <c r="J912" i="13"/>
  <c r="K912" i="13"/>
  <c r="L912" i="13"/>
  <c r="M912" i="13"/>
  <c r="N912" i="13"/>
  <c r="O912" i="13"/>
  <c r="J913" i="13"/>
  <c r="K913" i="13"/>
  <c r="L913" i="13"/>
  <c r="M913" i="13"/>
  <c r="N913" i="13"/>
  <c r="O913" i="13"/>
  <c r="J914" i="13"/>
  <c r="K914" i="13"/>
  <c r="L914" i="13"/>
  <c r="M914" i="13"/>
  <c r="N914" i="13"/>
  <c r="O914" i="13"/>
  <c r="P914" i="13"/>
  <c r="Q914" i="13"/>
  <c r="R914" i="13"/>
  <c r="T914" i="13" s="1"/>
  <c r="S914" i="13"/>
  <c r="J915" i="13"/>
  <c r="K915" i="13"/>
  <c r="L915" i="13"/>
  <c r="M915" i="13"/>
  <c r="N915" i="13"/>
  <c r="O915" i="13"/>
  <c r="P915" i="13" s="1"/>
  <c r="R915" i="13" s="1"/>
  <c r="T915" i="13" s="1"/>
  <c r="Q915" i="13"/>
  <c r="S915" i="13"/>
  <c r="J916" i="13"/>
  <c r="K916" i="13"/>
  <c r="L916" i="13"/>
  <c r="M916" i="13"/>
  <c r="N916" i="13"/>
  <c r="O916" i="13"/>
  <c r="P916" i="13"/>
  <c r="Q916" i="13"/>
  <c r="R916" i="13"/>
  <c r="T916" i="13" s="1"/>
  <c r="S916" i="13"/>
  <c r="J917" i="13"/>
  <c r="K917" i="13"/>
  <c r="L917" i="13"/>
  <c r="M917" i="13"/>
  <c r="N917" i="13"/>
  <c r="O917" i="13"/>
  <c r="P917" i="13" s="1"/>
  <c r="R917" i="13" s="1"/>
  <c r="T917" i="13" s="1"/>
  <c r="Q917" i="13"/>
  <c r="S917" i="13"/>
  <c r="J918" i="13"/>
  <c r="K918" i="13"/>
  <c r="L918" i="13"/>
  <c r="M918" i="13"/>
  <c r="N918" i="13"/>
  <c r="O918" i="13"/>
  <c r="J919" i="13"/>
  <c r="K919" i="13"/>
  <c r="L919" i="13"/>
  <c r="M919" i="13"/>
  <c r="N919" i="13"/>
  <c r="O919" i="13"/>
  <c r="P919" i="13" s="1"/>
  <c r="R919" i="13" s="1"/>
  <c r="T919" i="13" s="1"/>
  <c r="Q919" i="13"/>
  <c r="S919" i="13"/>
  <c r="J920" i="13"/>
  <c r="K920" i="13"/>
  <c r="L920" i="13"/>
  <c r="M920" i="13"/>
  <c r="N920" i="13"/>
  <c r="O920" i="13"/>
  <c r="P920" i="13"/>
  <c r="Q920" i="13"/>
  <c r="R920" i="13"/>
  <c r="T920" i="13" s="1"/>
  <c r="S920" i="13"/>
  <c r="J921" i="13"/>
  <c r="K921" i="13"/>
  <c r="L921" i="13"/>
  <c r="M921" i="13"/>
  <c r="N921" i="13"/>
  <c r="O921" i="13"/>
  <c r="P921" i="13"/>
  <c r="Q921" i="13"/>
  <c r="R921" i="13"/>
  <c r="S921" i="13"/>
  <c r="T921" i="13"/>
  <c r="J922" i="13"/>
  <c r="K922" i="13"/>
  <c r="L922" i="13"/>
  <c r="M922" i="13"/>
  <c r="N922" i="13"/>
  <c r="O922" i="13"/>
  <c r="P922" i="13" s="1"/>
  <c r="R922" i="13" s="1"/>
  <c r="T922" i="13" s="1"/>
  <c r="Q922" i="13"/>
  <c r="S922" i="13"/>
  <c r="J923" i="13"/>
  <c r="K923" i="13"/>
  <c r="L923" i="13"/>
  <c r="M923" i="13"/>
  <c r="N923" i="13"/>
  <c r="O923" i="13"/>
  <c r="P923" i="13" s="1"/>
  <c r="R923" i="13" s="1"/>
  <c r="T923" i="13" s="1"/>
  <c r="Q923" i="13"/>
  <c r="S923" i="13"/>
  <c r="J924" i="13"/>
  <c r="K924" i="13"/>
  <c r="L924" i="13"/>
  <c r="M924" i="13"/>
  <c r="N924" i="13"/>
  <c r="O924" i="13"/>
  <c r="P924" i="13" s="1"/>
  <c r="R924" i="13" s="1"/>
  <c r="Q924" i="13"/>
  <c r="S924" i="13" s="1"/>
  <c r="J925" i="13"/>
  <c r="K925" i="13"/>
  <c r="L925" i="13"/>
  <c r="M925" i="13"/>
  <c r="N925" i="13"/>
  <c r="O925" i="13"/>
  <c r="P925" i="13" s="1"/>
  <c r="R925" i="13" s="1"/>
  <c r="T925" i="13" s="1"/>
  <c r="Q925" i="13"/>
  <c r="S925" i="13"/>
  <c r="J926" i="13"/>
  <c r="K926" i="13"/>
  <c r="L926" i="13"/>
  <c r="M926" i="13"/>
  <c r="N926" i="13"/>
  <c r="O926" i="13"/>
  <c r="P926" i="13"/>
  <c r="Q926" i="13"/>
  <c r="R926" i="13"/>
  <c r="T926" i="13" s="1"/>
  <c r="S926" i="13"/>
  <c r="J927" i="13"/>
  <c r="K927" i="13"/>
  <c r="L927" i="13"/>
  <c r="M927" i="13"/>
  <c r="N927" i="13"/>
  <c r="O927" i="13"/>
  <c r="P927" i="13" s="1"/>
  <c r="R927" i="13" s="1"/>
  <c r="T927" i="13" s="1"/>
  <c r="Q927" i="13"/>
  <c r="S927" i="13"/>
  <c r="J928" i="13"/>
  <c r="K928" i="13"/>
  <c r="L928" i="13"/>
  <c r="M928" i="13"/>
  <c r="N928" i="13"/>
  <c r="O928" i="13"/>
  <c r="P928" i="13"/>
  <c r="Q928" i="13"/>
  <c r="R928" i="13"/>
  <c r="T928" i="13" s="1"/>
  <c r="S928" i="13"/>
  <c r="J929" i="13"/>
  <c r="K929" i="13"/>
  <c r="L929" i="13"/>
  <c r="M929" i="13"/>
  <c r="N929" i="13"/>
  <c r="O929" i="13"/>
  <c r="P929" i="13"/>
  <c r="Q929" i="13"/>
  <c r="R929" i="13"/>
  <c r="T929" i="13" s="1"/>
  <c r="S929" i="13"/>
  <c r="J930" i="13"/>
  <c r="K930" i="13"/>
  <c r="L930" i="13"/>
  <c r="M930" i="13"/>
  <c r="N930" i="13"/>
  <c r="O930" i="13"/>
  <c r="J931" i="13"/>
  <c r="K931" i="13"/>
  <c r="L931" i="13"/>
  <c r="M931" i="13"/>
  <c r="N931" i="13"/>
  <c r="O931" i="13"/>
  <c r="P931" i="13"/>
  <c r="Q931" i="13"/>
  <c r="R931" i="13"/>
  <c r="T931" i="13" s="1"/>
  <c r="S931" i="13"/>
  <c r="J932" i="13"/>
  <c r="K932" i="13"/>
  <c r="L932" i="13"/>
  <c r="M932" i="13"/>
  <c r="N932" i="13"/>
  <c r="O932" i="13"/>
  <c r="P932" i="13"/>
  <c r="Q932" i="13"/>
  <c r="R932" i="13"/>
  <c r="T932" i="13" s="1"/>
  <c r="S932" i="13"/>
  <c r="J933" i="13"/>
  <c r="K933" i="13"/>
  <c r="L933" i="13"/>
  <c r="M933" i="13"/>
  <c r="N933" i="13"/>
  <c r="O933" i="13"/>
  <c r="P933" i="13" s="1"/>
  <c r="R933" i="13" s="1"/>
  <c r="T933" i="13" s="1"/>
  <c r="Q933" i="13"/>
  <c r="S933" i="13"/>
  <c r="J934" i="13"/>
  <c r="K934" i="13"/>
  <c r="L934" i="13"/>
  <c r="M934" i="13"/>
  <c r="N934" i="13"/>
  <c r="O934" i="13"/>
  <c r="P934" i="13" s="1"/>
  <c r="R934" i="13" s="1"/>
  <c r="T934" i="13" s="1"/>
  <c r="Q934" i="13"/>
  <c r="S934" i="13"/>
  <c r="J935" i="13"/>
  <c r="K935" i="13"/>
  <c r="L935" i="13"/>
  <c r="M935" i="13"/>
  <c r="N935" i="13"/>
  <c r="O935" i="13"/>
  <c r="P935" i="13" s="1"/>
  <c r="R935" i="13" s="1"/>
  <c r="T935" i="13" s="1"/>
  <c r="Q935" i="13"/>
  <c r="S935" i="13"/>
  <c r="J936" i="13"/>
  <c r="K936" i="13"/>
  <c r="L936" i="13"/>
  <c r="M936" i="13"/>
  <c r="N936" i="13"/>
  <c r="O936" i="13"/>
  <c r="P936" i="13" s="1"/>
  <c r="R936" i="13" s="1"/>
  <c r="T936" i="13" s="1"/>
  <c r="Q936" i="13"/>
  <c r="S936" i="13"/>
  <c r="J937" i="13"/>
  <c r="K937" i="13"/>
  <c r="L937" i="13"/>
  <c r="M937" i="13"/>
  <c r="N937" i="13"/>
  <c r="O937" i="13"/>
  <c r="P937" i="13" s="1"/>
  <c r="R937" i="13" s="1"/>
  <c r="T937" i="13" s="1"/>
  <c r="Q937" i="13"/>
  <c r="S937" i="13"/>
  <c r="J938" i="13"/>
  <c r="K938" i="13"/>
  <c r="L938" i="13"/>
  <c r="M938" i="13"/>
  <c r="N938" i="13"/>
  <c r="O938" i="13"/>
  <c r="P938" i="13"/>
  <c r="Q938" i="13"/>
  <c r="R938" i="13"/>
  <c r="T938" i="13" s="1"/>
  <c r="S938" i="13"/>
  <c r="J939" i="13"/>
  <c r="K939" i="13"/>
  <c r="L939" i="13"/>
  <c r="M939" i="13"/>
  <c r="N939" i="13"/>
  <c r="O939" i="13"/>
  <c r="P939" i="13" s="1"/>
  <c r="R939" i="13" s="1"/>
  <c r="T939" i="13" s="1"/>
  <c r="Q939" i="13"/>
  <c r="S939" i="13"/>
  <c r="J940" i="13"/>
  <c r="K940" i="13"/>
  <c r="L940" i="13"/>
  <c r="M940" i="13"/>
  <c r="N940" i="13"/>
  <c r="O940" i="13"/>
  <c r="P940" i="13" s="1"/>
  <c r="R940" i="13" s="1"/>
  <c r="T940" i="13" s="1"/>
  <c r="Q940" i="13"/>
  <c r="S940" i="13"/>
  <c r="J941" i="13"/>
  <c r="K941" i="13"/>
  <c r="L941" i="13"/>
  <c r="M941" i="13"/>
  <c r="N941" i="13"/>
  <c r="O941" i="13"/>
  <c r="P941" i="13"/>
  <c r="Q941" i="13"/>
  <c r="R941" i="13"/>
  <c r="T941" i="13" s="1"/>
  <c r="S941" i="13"/>
  <c r="J942" i="13"/>
  <c r="K942" i="13"/>
  <c r="L942" i="13"/>
  <c r="M942" i="13"/>
  <c r="N942" i="13"/>
  <c r="O942" i="13"/>
  <c r="P942" i="13"/>
  <c r="Q942" i="13"/>
  <c r="R942" i="13"/>
  <c r="S942" i="13"/>
  <c r="T942" i="13" s="1"/>
  <c r="J943" i="13"/>
  <c r="K943" i="13"/>
  <c r="L943" i="13"/>
  <c r="M943" i="13"/>
  <c r="N943" i="13"/>
  <c r="O943" i="13"/>
  <c r="P943" i="13" s="1"/>
  <c r="R943" i="13" s="1"/>
  <c r="T943" i="13" s="1"/>
  <c r="Q943" i="13"/>
  <c r="S943" i="13"/>
  <c r="J944" i="13"/>
  <c r="K944" i="13"/>
  <c r="L944" i="13"/>
  <c r="M944" i="13"/>
  <c r="N944" i="13"/>
  <c r="O944" i="13"/>
  <c r="P944" i="13"/>
  <c r="R944" i="13" s="1"/>
  <c r="T944" i="13" s="1"/>
  <c r="Q944" i="13"/>
  <c r="S944" i="13"/>
  <c r="J945" i="13"/>
  <c r="K945" i="13"/>
  <c r="L945" i="13"/>
  <c r="M945" i="13"/>
  <c r="N945" i="13"/>
  <c r="O945" i="13"/>
  <c r="J946" i="13"/>
  <c r="K946" i="13"/>
  <c r="L946" i="13"/>
  <c r="M946" i="13"/>
  <c r="N946" i="13"/>
  <c r="O946" i="13"/>
  <c r="P946" i="13" s="1"/>
  <c r="R946" i="13" s="1"/>
  <c r="T946" i="13" s="1"/>
  <c r="Q946" i="13"/>
  <c r="S946" i="13"/>
  <c r="J947" i="13"/>
  <c r="K947" i="13"/>
  <c r="L947" i="13"/>
  <c r="M947" i="13"/>
  <c r="N947" i="13"/>
  <c r="O947" i="13"/>
  <c r="P947" i="13" s="1"/>
  <c r="R947" i="13" s="1"/>
  <c r="T947" i="13" s="1"/>
  <c r="Q947" i="13"/>
  <c r="S947" i="13"/>
  <c r="J948" i="13"/>
  <c r="K948" i="13"/>
  <c r="L948" i="13"/>
  <c r="M948" i="13"/>
  <c r="N948" i="13"/>
  <c r="O948" i="13"/>
  <c r="P948" i="13"/>
  <c r="Q948" i="13"/>
  <c r="R948" i="13"/>
  <c r="S948" i="13"/>
  <c r="T948" i="13" s="1"/>
  <c r="J949" i="13"/>
  <c r="K949" i="13"/>
  <c r="L949" i="13"/>
  <c r="M949" i="13"/>
  <c r="N949" i="13"/>
  <c r="O949" i="13"/>
  <c r="P949" i="13"/>
  <c r="R949" i="13" s="1"/>
  <c r="T949" i="13" s="1"/>
  <c r="Q949" i="13"/>
  <c r="S949" i="13"/>
  <c r="J950" i="13"/>
  <c r="K950" i="13"/>
  <c r="L950" i="13"/>
  <c r="M950" i="13"/>
  <c r="N950" i="13"/>
  <c r="O950" i="13"/>
  <c r="J951" i="13"/>
  <c r="K951" i="13"/>
  <c r="L951" i="13"/>
  <c r="M951" i="13"/>
  <c r="N951" i="13"/>
  <c r="O951" i="13"/>
  <c r="P951" i="13"/>
  <c r="Q951" i="13"/>
  <c r="R951" i="13"/>
  <c r="T951" i="13" s="1"/>
  <c r="S951" i="13"/>
  <c r="J952" i="13"/>
  <c r="K952" i="13"/>
  <c r="L952" i="13"/>
  <c r="M952" i="13"/>
  <c r="N952" i="13"/>
  <c r="O952" i="13"/>
  <c r="P952" i="13" s="1"/>
  <c r="R952" i="13" s="1"/>
  <c r="T952" i="13" s="1"/>
  <c r="Q952" i="13"/>
  <c r="S952" i="13"/>
  <c r="J953" i="13"/>
  <c r="K953" i="13"/>
  <c r="L953" i="13"/>
  <c r="M953" i="13"/>
  <c r="N953" i="13"/>
  <c r="O953" i="13"/>
  <c r="P953" i="13"/>
  <c r="Q953" i="13"/>
  <c r="R953" i="13"/>
  <c r="T953" i="13" s="1"/>
  <c r="S953" i="13"/>
  <c r="J954" i="13"/>
  <c r="N954" i="13" s="1"/>
  <c r="K954" i="13"/>
  <c r="L954" i="13"/>
  <c r="M954" i="13"/>
  <c r="O954" i="13"/>
  <c r="P954" i="13"/>
  <c r="Q954" i="13"/>
  <c r="R954" i="13"/>
  <c r="T954" i="13" s="1"/>
  <c r="S954" i="13"/>
  <c r="J955" i="13"/>
  <c r="K955" i="13"/>
  <c r="L955" i="13"/>
  <c r="M955" i="13"/>
  <c r="N955" i="13"/>
  <c r="O955" i="13"/>
  <c r="P955" i="13"/>
  <c r="Q955" i="13"/>
  <c r="R955" i="13"/>
  <c r="S955" i="13"/>
  <c r="T955" i="13" s="1"/>
  <c r="J956" i="13"/>
  <c r="K956" i="13"/>
  <c r="L956" i="13"/>
  <c r="M956" i="13"/>
  <c r="N956" i="13"/>
  <c r="O956" i="13"/>
  <c r="J957" i="13"/>
  <c r="K957" i="13"/>
  <c r="L957" i="13"/>
  <c r="M957" i="13"/>
  <c r="N957" i="13"/>
  <c r="O957" i="13"/>
  <c r="P957" i="13"/>
  <c r="Q957" i="13"/>
  <c r="R957" i="13"/>
  <c r="S957" i="13"/>
  <c r="T957" i="13" s="1"/>
  <c r="J958" i="13"/>
  <c r="K958" i="13"/>
  <c r="L958" i="13"/>
  <c r="M958" i="13"/>
  <c r="N958" i="13"/>
  <c r="O958" i="13"/>
  <c r="P958" i="13"/>
  <c r="Q958" i="13"/>
  <c r="R958" i="13"/>
  <c r="T958" i="13" s="1"/>
  <c r="S958" i="13"/>
  <c r="J959" i="13"/>
  <c r="K959" i="13"/>
  <c r="L959" i="13"/>
  <c r="M959" i="13"/>
  <c r="N959" i="13"/>
  <c r="O959" i="13"/>
  <c r="P959" i="13"/>
  <c r="Q959" i="13"/>
  <c r="R959" i="13"/>
  <c r="T959" i="13" s="1"/>
  <c r="S959" i="13"/>
  <c r="J960" i="13"/>
  <c r="K960" i="13"/>
  <c r="L960" i="13"/>
  <c r="M960" i="13"/>
  <c r="N960" i="13"/>
  <c r="O960" i="13"/>
  <c r="P960" i="13" s="1"/>
  <c r="R960" i="13" s="1"/>
  <c r="T960" i="13" s="1"/>
  <c r="Q960" i="13"/>
  <c r="S960" i="13"/>
  <c r="J961" i="13"/>
  <c r="K961" i="13"/>
  <c r="L961" i="13"/>
  <c r="M961" i="13"/>
  <c r="N961" i="13"/>
  <c r="O961" i="13"/>
  <c r="P961" i="13" s="1"/>
  <c r="R961" i="13" s="1"/>
  <c r="T961" i="13" s="1"/>
  <c r="Q961" i="13"/>
  <c r="S961" i="13"/>
  <c r="J962" i="13"/>
  <c r="K962" i="13"/>
  <c r="L962" i="13"/>
  <c r="M962" i="13"/>
  <c r="N962" i="13"/>
  <c r="O962" i="13"/>
  <c r="P962" i="13" s="1"/>
  <c r="R962" i="13" s="1"/>
  <c r="T962" i="13" s="1"/>
  <c r="Q962" i="13"/>
  <c r="S962" i="13"/>
  <c r="J963" i="13"/>
  <c r="K963" i="13"/>
  <c r="L963" i="13"/>
  <c r="M963" i="13"/>
  <c r="N963" i="13"/>
  <c r="O963" i="13"/>
  <c r="P963" i="13"/>
  <c r="R963" i="13" s="1"/>
  <c r="T963" i="13" s="1"/>
  <c r="Q963" i="13"/>
  <c r="S963" i="13"/>
  <c r="J964" i="13"/>
  <c r="K964" i="13"/>
  <c r="L964" i="13"/>
  <c r="M964" i="13"/>
  <c r="N964" i="13"/>
  <c r="O964" i="13"/>
  <c r="P964" i="13" s="1"/>
  <c r="R964" i="13" s="1"/>
  <c r="T964" i="13" s="1"/>
  <c r="Q964" i="13"/>
  <c r="S964" i="13"/>
  <c r="J965" i="13"/>
  <c r="K965" i="13"/>
  <c r="L965" i="13"/>
  <c r="M965" i="13"/>
  <c r="N965" i="13"/>
  <c r="O965" i="13"/>
  <c r="P965" i="13" s="1"/>
  <c r="R965" i="13" s="1"/>
  <c r="T965" i="13" s="1"/>
  <c r="Q965" i="13"/>
  <c r="S965" i="13"/>
  <c r="J966" i="13"/>
  <c r="K966" i="13"/>
  <c r="L966" i="13"/>
  <c r="M966" i="13"/>
  <c r="N966" i="13"/>
  <c r="O966" i="13"/>
  <c r="P966" i="13" s="1"/>
  <c r="R966" i="13" s="1"/>
  <c r="T966" i="13" s="1"/>
  <c r="Q966" i="13"/>
  <c r="S966" i="13"/>
  <c r="J967" i="13"/>
  <c r="K967" i="13"/>
  <c r="L967" i="13"/>
  <c r="M967" i="13"/>
  <c r="N967" i="13"/>
  <c r="O967" i="13"/>
  <c r="J968" i="13"/>
  <c r="K968" i="13"/>
  <c r="L968" i="13"/>
  <c r="M968" i="13"/>
  <c r="N968" i="13"/>
  <c r="O968" i="13"/>
  <c r="P968" i="13" s="1"/>
  <c r="R968" i="13" s="1"/>
  <c r="T968" i="13" s="1"/>
  <c r="Q968" i="13"/>
  <c r="S968" i="13"/>
  <c r="J969" i="13"/>
  <c r="K969" i="13"/>
  <c r="L969" i="13"/>
  <c r="M969" i="13"/>
  <c r="N969" i="13"/>
  <c r="O969" i="13"/>
  <c r="P969" i="13" s="1"/>
  <c r="R969" i="13" s="1"/>
  <c r="T969" i="13" s="1"/>
  <c r="Q969" i="13"/>
  <c r="S969" i="13"/>
  <c r="J970" i="13"/>
  <c r="K970" i="13"/>
  <c r="L970" i="13"/>
  <c r="M970" i="13"/>
  <c r="N970" i="13"/>
  <c r="O970" i="13"/>
  <c r="Q970" i="13" s="1"/>
  <c r="S970" i="13" s="1"/>
  <c r="T970" i="13" s="1"/>
  <c r="P970" i="13"/>
  <c r="R970" i="13"/>
  <c r="J971" i="13"/>
  <c r="K971" i="13"/>
  <c r="L971" i="13"/>
  <c r="M971" i="13"/>
  <c r="N971" i="13"/>
  <c r="O971" i="13"/>
  <c r="P971" i="13" s="1"/>
  <c r="R971" i="13" s="1"/>
  <c r="T971" i="13" s="1"/>
  <c r="Q971" i="13"/>
  <c r="S971" i="13"/>
  <c r="J972" i="13"/>
  <c r="K972" i="13"/>
  <c r="L972" i="13"/>
  <c r="M972" i="13"/>
  <c r="N972" i="13"/>
  <c r="O972" i="13"/>
  <c r="P972" i="13" s="1"/>
  <c r="R972" i="13" s="1"/>
  <c r="T972" i="13" s="1"/>
  <c r="Q972" i="13"/>
  <c r="S972" i="13"/>
  <c r="J973" i="13"/>
  <c r="K973" i="13"/>
  <c r="L973" i="13"/>
  <c r="M973" i="13"/>
  <c r="N973" i="13"/>
  <c r="O973" i="13"/>
  <c r="P973" i="13" s="1"/>
  <c r="R973" i="13" s="1"/>
  <c r="T973" i="13" s="1"/>
  <c r="Q973" i="13"/>
  <c r="S973" i="13"/>
  <c r="J974" i="13"/>
  <c r="K974" i="13"/>
  <c r="L974" i="13"/>
  <c r="M974" i="13"/>
  <c r="N974" i="13"/>
  <c r="O974" i="13"/>
  <c r="J975" i="13"/>
  <c r="K975" i="13"/>
  <c r="L975" i="13"/>
  <c r="M975" i="13"/>
  <c r="N975" i="13"/>
  <c r="O975" i="13"/>
  <c r="J976" i="13"/>
  <c r="N976" i="13" s="1"/>
  <c r="K976" i="13"/>
  <c r="L976" i="13"/>
  <c r="M976" i="13"/>
  <c r="O976" i="13"/>
  <c r="P976" i="13"/>
  <c r="Q976" i="13"/>
  <c r="R976" i="13"/>
  <c r="T976" i="13" s="1"/>
  <c r="S976" i="13"/>
  <c r="J977" i="13"/>
  <c r="K977" i="13"/>
  <c r="L977" i="13"/>
  <c r="M977" i="13"/>
  <c r="N977" i="13"/>
  <c r="O977" i="13"/>
  <c r="P977" i="13"/>
  <c r="Q977" i="13"/>
  <c r="R977" i="13"/>
  <c r="T977" i="13" s="1"/>
  <c r="S977" i="13"/>
  <c r="J978" i="13"/>
  <c r="K978" i="13"/>
  <c r="L978" i="13"/>
  <c r="M978" i="13"/>
  <c r="N978" i="13"/>
  <c r="O978" i="13"/>
  <c r="P978" i="13" s="1"/>
  <c r="R978" i="13" s="1"/>
  <c r="T978" i="13" s="1"/>
  <c r="Q978" i="13"/>
  <c r="S978" i="13"/>
  <c r="J979" i="13"/>
  <c r="K979" i="13"/>
  <c r="L979" i="13"/>
  <c r="M979" i="13"/>
  <c r="N979" i="13"/>
  <c r="O979" i="13"/>
  <c r="P979" i="13" s="1"/>
  <c r="R979" i="13" s="1"/>
  <c r="T979" i="13" s="1"/>
  <c r="Q979" i="13"/>
  <c r="S979" i="13"/>
  <c r="J980" i="13"/>
  <c r="K980" i="13"/>
  <c r="L980" i="13"/>
  <c r="M980" i="13"/>
  <c r="N980" i="13"/>
  <c r="O980" i="13"/>
  <c r="P980" i="13"/>
  <c r="Q980" i="13"/>
  <c r="R980" i="13"/>
  <c r="T980" i="13" s="1"/>
  <c r="S980" i="13"/>
  <c r="J981" i="13"/>
  <c r="K981" i="13"/>
  <c r="L981" i="13"/>
  <c r="M981" i="13"/>
  <c r="N981" i="13"/>
  <c r="O981" i="13"/>
  <c r="P981" i="13" s="1"/>
  <c r="R981" i="13" s="1"/>
  <c r="T981" i="13" s="1"/>
  <c r="Q981" i="13"/>
  <c r="S981" i="13"/>
  <c r="J982" i="13"/>
  <c r="K982" i="13"/>
  <c r="L982" i="13"/>
  <c r="M982" i="13"/>
  <c r="N982" i="13"/>
  <c r="O982" i="13"/>
  <c r="J983" i="13"/>
  <c r="K983" i="13"/>
  <c r="L983" i="13"/>
  <c r="M983" i="13"/>
  <c r="N983" i="13"/>
  <c r="O983" i="13"/>
  <c r="P983" i="13"/>
  <c r="Q983" i="13"/>
  <c r="R983" i="13"/>
  <c r="T983" i="13" s="1"/>
  <c r="S983" i="13"/>
  <c r="J984" i="13"/>
  <c r="K984" i="13"/>
  <c r="L984" i="13"/>
  <c r="M984" i="13"/>
  <c r="N984" i="13"/>
  <c r="O984" i="13"/>
  <c r="P984" i="13"/>
  <c r="Q984" i="13"/>
  <c r="R984" i="13"/>
  <c r="T984" i="13" s="1"/>
  <c r="S984" i="13"/>
  <c r="J985" i="13"/>
  <c r="K985" i="13"/>
  <c r="L985" i="13"/>
  <c r="M985" i="13"/>
  <c r="N985" i="13"/>
  <c r="O985" i="13"/>
  <c r="P985" i="13"/>
  <c r="Q985" i="13"/>
  <c r="R985" i="13"/>
  <c r="T985" i="13" s="1"/>
  <c r="S985" i="13"/>
  <c r="J986" i="13"/>
  <c r="K986" i="13"/>
  <c r="L986" i="13"/>
  <c r="M986" i="13"/>
  <c r="N986" i="13"/>
  <c r="O986" i="13"/>
  <c r="P986" i="13" s="1"/>
  <c r="R986" i="13" s="1"/>
  <c r="T986" i="13" s="1"/>
  <c r="Q986" i="13"/>
  <c r="S986" i="13"/>
  <c r="J987" i="13"/>
  <c r="K987" i="13"/>
  <c r="L987" i="13"/>
  <c r="M987" i="13"/>
  <c r="N987" i="13"/>
  <c r="O987" i="13"/>
  <c r="P987" i="13"/>
  <c r="Q987" i="13"/>
  <c r="R987" i="13"/>
  <c r="T987" i="13" s="1"/>
  <c r="S987" i="13"/>
  <c r="J988" i="13"/>
  <c r="K988" i="13"/>
  <c r="L988" i="13"/>
  <c r="M988" i="13"/>
  <c r="N988" i="13"/>
  <c r="O988" i="13"/>
  <c r="P988" i="13" s="1"/>
  <c r="R988" i="13" s="1"/>
  <c r="T988" i="13" s="1"/>
  <c r="Q988" i="13"/>
  <c r="S988" i="13"/>
  <c r="J989" i="13"/>
  <c r="K989" i="13"/>
  <c r="L989" i="13"/>
  <c r="M989" i="13"/>
  <c r="N989" i="13"/>
  <c r="O989" i="13"/>
  <c r="J990" i="13"/>
  <c r="K990" i="13"/>
  <c r="L990" i="13"/>
  <c r="M990" i="13"/>
  <c r="N990" i="13"/>
  <c r="O990" i="13"/>
  <c r="P990" i="13"/>
  <c r="Q990" i="13"/>
  <c r="R990" i="13"/>
  <c r="T990" i="13" s="1"/>
  <c r="S990" i="13"/>
  <c r="J991" i="13"/>
  <c r="K991" i="13"/>
  <c r="L991" i="13"/>
  <c r="M991" i="13"/>
  <c r="N991" i="13"/>
  <c r="O991" i="13"/>
  <c r="P991" i="13"/>
  <c r="Q991" i="13"/>
  <c r="R991" i="13"/>
  <c r="S991" i="13"/>
  <c r="T991" i="13" s="1"/>
  <c r="J992" i="13"/>
  <c r="K992" i="13"/>
  <c r="L992" i="13"/>
  <c r="M992" i="13"/>
  <c r="N992" i="13"/>
  <c r="O992" i="13"/>
  <c r="P992" i="13" s="1"/>
  <c r="R992" i="13" s="1"/>
  <c r="T992" i="13" s="1"/>
  <c r="Q992" i="13"/>
  <c r="S992" i="13"/>
  <c r="J993" i="13"/>
  <c r="K993" i="13"/>
  <c r="L993" i="13"/>
  <c r="M993" i="13"/>
  <c r="N993" i="13"/>
  <c r="O993" i="13"/>
  <c r="P993" i="13" s="1"/>
  <c r="R993" i="13" s="1"/>
  <c r="T993" i="13" s="1"/>
  <c r="Q993" i="13"/>
  <c r="S993" i="13"/>
  <c r="J994" i="13"/>
  <c r="K994" i="13"/>
  <c r="L994" i="13"/>
  <c r="M994" i="13"/>
  <c r="N994" i="13"/>
  <c r="O994" i="13"/>
  <c r="P994" i="13" s="1"/>
  <c r="R994" i="13" s="1"/>
  <c r="T994" i="13" s="1"/>
  <c r="Q994" i="13"/>
  <c r="S994" i="13"/>
  <c r="J995" i="13"/>
  <c r="N995" i="13" s="1"/>
  <c r="K995" i="13"/>
  <c r="L995" i="13"/>
  <c r="M995" i="13"/>
  <c r="O995" i="13"/>
  <c r="J996" i="13"/>
  <c r="K996" i="13"/>
  <c r="L996" i="13"/>
  <c r="M996" i="13"/>
  <c r="N996" i="13"/>
  <c r="O996" i="13"/>
  <c r="P996" i="13" s="1"/>
  <c r="R996" i="13" s="1"/>
  <c r="T996" i="13" s="1"/>
  <c r="Q996" i="13"/>
  <c r="S996" i="13"/>
  <c r="J997" i="13"/>
  <c r="K997" i="13"/>
  <c r="L997" i="13"/>
  <c r="M997" i="13"/>
  <c r="N997" i="13"/>
  <c r="O997" i="13"/>
  <c r="P997" i="13"/>
  <c r="Q997" i="13"/>
  <c r="R997" i="13"/>
  <c r="T997" i="13" s="1"/>
  <c r="S997" i="13"/>
  <c r="J998" i="13"/>
  <c r="K998" i="13"/>
  <c r="L998" i="13"/>
  <c r="M998" i="13"/>
  <c r="N998" i="13"/>
  <c r="O998" i="13"/>
  <c r="J999" i="13"/>
  <c r="K999" i="13"/>
  <c r="L999" i="13"/>
  <c r="M999" i="13"/>
  <c r="N999" i="13"/>
  <c r="O999" i="13"/>
  <c r="J1000" i="13"/>
  <c r="K1000" i="13"/>
  <c r="L1000" i="13"/>
  <c r="M1000" i="13"/>
  <c r="N1000" i="13"/>
  <c r="O1000" i="13"/>
  <c r="P1000" i="13"/>
  <c r="Q1000" i="13"/>
  <c r="R1000" i="13"/>
  <c r="S1000" i="13"/>
  <c r="T1000" i="13" s="1"/>
  <c r="J1001" i="13"/>
  <c r="K1001" i="13"/>
  <c r="L1001" i="13"/>
  <c r="M1001" i="13"/>
  <c r="N1001" i="13"/>
  <c r="O1001" i="13"/>
  <c r="P1001" i="13" s="1"/>
  <c r="R1001" i="13" s="1"/>
  <c r="T1001" i="13" s="1"/>
  <c r="Q1001" i="13"/>
  <c r="S1001" i="13"/>
  <c r="J1002" i="13"/>
  <c r="K1002" i="13"/>
  <c r="L1002" i="13"/>
  <c r="M1002" i="13"/>
  <c r="N1002" i="13"/>
  <c r="O1002" i="13"/>
  <c r="P1002" i="13"/>
  <c r="Q1002" i="13"/>
  <c r="R1002" i="13"/>
  <c r="T1002" i="13" s="1"/>
  <c r="S1002" i="13"/>
  <c r="J1003" i="13"/>
  <c r="K1003" i="13"/>
  <c r="L1003" i="13"/>
  <c r="M1003" i="13"/>
  <c r="N1003" i="13"/>
  <c r="O1003" i="13"/>
  <c r="P1003" i="13" s="1"/>
  <c r="R1003" i="13" s="1"/>
  <c r="T1003" i="13" s="1"/>
  <c r="Q1003" i="13"/>
  <c r="S1003" i="13"/>
  <c r="J1004" i="13"/>
  <c r="K1004" i="13"/>
  <c r="L1004" i="13"/>
  <c r="M1004" i="13"/>
  <c r="N1004" i="13"/>
  <c r="O1004" i="13"/>
  <c r="P1004" i="13"/>
  <c r="Q1004" i="13"/>
  <c r="R1004" i="13"/>
  <c r="T1004" i="13" s="1"/>
  <c r="S1004" i="13"/>
  <c r="J1005" i="13"/>
  <c r="K1005" i="13"/>
  <c r="L1005" i="13"/>
  <c r="M1005" i="13"/>
  <c r="N1005" i="13"/>
  <c r="O1005" i="13"/>
  <c r="P1005" i="13"/>
  <c r="Q1005" i="13"/>
  <c r="R1005" i="13"/>
  <c r="T1005" i="13" s="1"/>
  <c r="S1005" i="13"/>
  <c r="J1006" i="13"/>
  <c r="K1006" i="13"/>
  <c r="L1006" i="13"/>
  <c r="M1006" i="13"/>
  <c r="N1006" i="13"/>
  <c r="O1006" i="13"/>
  <c r="J1007" i="13"/>
  <c r="K1007" i="13"/>
  <c r="L1007" i="13"/>
  <c r="M1007" i="13"/>
  <c r="N1007" i="13"/>
  <c r="O1007" i="13"/>
  <c r="P1007" i="13" s="1"/>
  <c r="R1007" i="13" s="1"/>
  <c r="T1007" i="13" s="1"/>
  <c r="Q1007" i="13"/>
  <c r="S1007" i="13"/>
  <c r="J1008" i="13"/>
  <c r="K1008" i="13"/>
  <c r="L1008" i="13"/>
  <c r="M1008" i="13"/>
  <c r="N1008" i="13"/>
  <c r="O1008" i="13"/>
  <c r="P1008" i="13"/>
  <c r="Q1008" i="13"/>
  <c r="R1008" i="13"/>
  <c r="T1008" i="13" s="1"/>
  <c r="S1008" i="13"/>
  <c r="J1009" i="13"/>
  <c r="K1009" i="13"/>
  <c r="L1009" i="13"/>
  <c r="M1009" i="13"/>
  <c r="N1009" i="13"/>
  <c r="O1009" i="13"/>
  <c r="P1009" i="13" s="1"/>
  <c r="R1009" i="13" s="1"/>
  <c r="T1009" i="13" s="1"/>
  <c r="Q1009" i="13"/>
  <c r="S1009" i="13"/>
  <c r="J1010" i="13"/>
  <c r="K1010" i="13"/>
  <c r="L1010" i="13"/>
  <c r="M1010" i="13"/>
  <c r="N1010" i="13"/>
  <c r="O1010" i="13"/>
  <c r="P1010" i="13" s="1"/>
  <c r="R1010" i="13" s="1"/>
  <c r="T1010" i="13" s="1"/>
  <c r="Q1010" i="13"/>
  <c r="S1010" i="13"/>
  <c r="J1011" i="13"/>
  <c r="K1011" i="13"/>
  <c r="L1011" i="13"/>
  <c r="M1011" i="13"/>
  <c r="N1011" i="13"/>
  <c r="O1011" i="13"/>
  <c r="P1011" i="13" s="1"/>
  <c r="R1011" i="13" s="1"/>
  <c r="T1011" i="13" s="1"/>
  <c r="Q1011" i="13"/>
  <c r="S1011" i="13"/>
  <c r="J1012" i="13"/>
  <c r="K1012" i="13"/>
  <c r="L1012" i="13"/>
  <c r="M1012" i="13"/>
  <c r="N1012" i="13"/>
  <c r="O1012" i="13"/>
  <c r="J1013" i="13"/>
  <c r="K1013" i="13"/>
  <c r="L1013" i="13"/>
  <c r="M1013" i="13"/>
  <c r="N1013" i="13"/>
  <c r="O1013" i="13"/>
  <c r="J1014" i="13"/>
  <c r="K1014" i="13"/>
  <c r="L1014" i="13"/>
  <c r="M1014" i="13"/>
  <c r="N1014" i="13"/>
  <c r="O1014" i="13"/>
  <c r="J1015" i="13"/>
  <c r="K1015" i="13"/>
  <c r="L1015" i="13"/>
  <c r="M1015" i="13"/>
  <c r="N1015" i="13"/>
  <c r="O1015" i="13"/>
  <c r="P1015" i="13"/>
  <c r="Q1015" i="13"/>
  <c r="R1015" i="13"/>
  <c r="T1015" i="13" s="1"/>
  <c r="S1015" i="13"/>
  <c r="J1016" i="13"/>
  <c r="K1016" i="13"/>
  <c r="L1016" i="13"/>
  <c r="M1016" i="13"/>
  <c r="N1016" i="13"/>
  <c r="O1016" i="13"/>
  <c r="P1016" i="13"/>
  <c r="Q1016" i="13"/>
  <c r="R1016" i="13"/>
  <c r="T1016" i="13" s="1"/>
  <c r="S1016" i="13"/>
  <c r="J1017" i="13"/>
  <c r="K1017" i="13"/>
  <c r="L1017" i="13"/>
  <c r="M1017" i="13"/>
  <c r="N1017" i="13"/>
  <c r="O1017" i="13"/>
  <c r="P1017" i="13"/>
  <c r="Q1017" i="13"/>
  <c r="R1017" i="13"/>
  <c r="T1017" i="13" s="1"/>
  <c r="S1017" i="13"/>
  <c r="J1018" i="13"/>
  <c r="K1018" i="13"/>
  <c r="L1018" i="13"/>
  <c r="M1018" i="13"/>
  <c r="N1018" i="13"/>
  <c r="O1018" i="13"/>
  <c r="P1018" i="13"/>
  <c r="Q1018" i="13"/>
  <c r="R1018" i="13"/>
  <c r="T1018" i="13" s="1"/>
  <c r="S1018" i="13"/>
  <c r="J1019" i="13"/>
  <c r="K1019" i="13"/>
  <c r="L1019" i="13"/>
  <c r="M1019" i="13"/>
  <c r="N1019" i="13"/>
  <c r="O1019" i="13"/>
  <c r="P1019" i="13" s="1"/>
  <c r="R1019" i="13" s="1"/>
  <c r="T1019" i="13" s="1"/>
  <c r="Q1019" i="13"/>
  <c r="S1019" i="13"/>
  <c r="J1020" i="13"/>
  <c r="K1020" i="13"/>
  <c r="L1020" i="13"/>
  <c r="M1020" i="13"/>
  <c r="N1020" i="13"/>
  <c r="O1020" i="13"/>
  <c r="P1020" i="13"/>
  <c r="Q1020" i="13"/>
  <c r="R1020" i="13"/>
  <c r="T1020" i="13" s="1"/>
  <c r="S1020" i="13"/>
  <c r="J1021" i="13"/>
  <c r="K1021" i="13"/>
  <c r="L1021" i="13"/>
  <c r="M1021" i="13"/>
  <c r="N1021" i="13"/>
  <c r="O1021" i="13"/>
  <c r="P1021" i="13"/>
  <c r="Q1021" i="13"/>
  <c r="R1021" i="13"/>
  <c r="T1021" i="13" s="1"/>
  <c r="S1021" i="13"/>
  <c r="J1022" i="13"/>
  <c r="K1022" i="13"/>
  <c r="L1022" i="13"/>
  <c r="M1022" i="13"/>
  <c r="N1022" i="13"/>
  <c r="O1022" i="13"/>
  <c r="P1022" i="13"/>
  <c r="Q1022" i="13"/>
  <c r="R1022" i="13"/>
  <c r="T1022" i="13" s="1"/>
  <c r="S1022" i="13"/>
  <c r="J1023" i="13"/>
  <c r="K1023" i="13"/>
  <c r="L1023" i="13"/>
  <c r="M1023" i="13"/>
  <c r="N1023" i="13"/>
  <c r="O1023" i="13"/>
  <c r="P1023" i="13"/>
  <c r="R1023" i="13" s="1"/>
  <c r="T1023" i="13" s="1"/>
  <c r="Q1023" i="13"/>
  <c r="S1023" i="13"/>
  <c r="J1024" i="13"/>
  <c r="K1024" i="13"/>
  <c r="L1024" i="13"/>
  <c r="M1024" i="13"/>
  <c r="N1024" i="13"/>
  <c r="O1024" i="13"/>
  <c r="P1024" i="13"/>
  <c r="Q1024" i="13"/>
  <c r="R1024" i="13"/>
  <c r="S1024" i="13"/>
  <c r="T1024" i="13" s="1"/>
  <c r="J1025" i="13"/>
  <c r="K1025" i="13"/>
  <c r="L1025" i="13"/>
  <c r="M1025" i="13"/>
  <c r="N1025" i="13"/>
  <c r="O1025" i="13"/>
  <c r="P1025" i="13"/>
  <c r="Q1025" i="13"/>
  <c r="R1025" i="13"/>
  <c r="T1025" i="13" s="1"/>
  <c r="S1025" i="13"/>
  <c r="J1026" i="13"/>
  <c r="K1026" i="13"/>
  <c r="L1026" i="13"/>
  <c r="M1026" i="13"/>
  <c r="N1026" i="13"/>
  <c r="O1026" i="13"/>
  <c r="P1026" i="13"/>
  <c r="Q1026" i="13"/>
  <c r="R1026" i="13"/>
  <c r="T1026" i="13" s="1"/>
  <c r="S1026" i="13"/>
  <c r="J1027" i="13"/>
  <c r="K1027" i="13"/>
  <c r="L1027" i="13"/>
  <c r="M1027" i="13"/>
  <c r="N1027" i="13"/>
  <c r="O1027" i="13"/>
  <c r="P1027" i="13"/>
  <c r="Q1027" i="13"/>
  <c r="R1027" i="13"/>
  <c r="T1027" i="13" s="1"/>
  <c r="S1027" i="13"/>
  <c r="J1028" i="13"/>
  <c r="K1028" i="13"/>
  <c r="L1028" i="13"/>
  <c r="M1028" i="13"/>
  <c r="N1028" i="13"/>
  <c r="O1028" i="13"/>
  <c r="P1028" i="13"/>
  <c r="Q1028" i="13"/>
  <c r="R1028" i="13"/>
  <c r="T1028" i="13" s="1"/>
  <c r="S1028" i="13"/>
  <c r="J1029" i="13"/>
  <c r="K1029" i="13"/>
  <c r="L1029" i="13"/>
  <c r="M1029" i="13"/>
  <c r="N1029" i="13"/>
  <c r="O1029" i="13"/>
  <c r="P1029" i="13"/>
  <c r="Q1029" i="13"/>
  <c r="R1029" i="13"/>
  <c r="T1029" i="13" s="1"/>
  <c r="S1029" i="13"/>
  <c r="J1030" i="13"/>
  <c r="K1030" i="13"/>
  <c r="L1030" i="13"/>
  <c r="M1030" i="13"/>
  <c r="N1030" i="13"/>
  <c r="O1030" i="13"/>
  <c r="P1030" i="13" s="1"/>
  <c r="R1030" i="13" s="1"/>
  <c r="T1030" i="13" s="1"/>
  <c r="Q1030" i="13"/>
  <c r="S1030" i="13"/>
  <c r="J1031" i="13"/>
  <c r="K1031" i="13"/>
  <c r="L1031" i="13"/>
  <c r="M1031" i="13"/>
  <c r="N1031" i="13"/>
  <c r="O1031" i="13"/>
  <c r="P1031" i="13" s="1"/>
  <c r="R1031" i="13" s="1"/>
  <c r="T1031" i="13" s="1"/>
  <c r="Q1031" i="13"/>
  <c r="S1031" i="13"/>
  <c r="J1032" i="13"/>
  <c r="K1032" i="13"/>
  <c r="L1032" i="13"/>
  <c r="M1032" i="13"/>
  <c r="N1032" i="13"/>
  <c r="O1032" i="13"/>
  <c r="P1032" i="13" s="1"/>
  <c r="R1032" i="13" s="1"/>
  <c r="T1032" i="13" s="1"/>
  <c r="Q1032" i="13"/>
  <c r="S1032" i="13"/>
  <c r="J1033" i="13"/>
  <c r="K1033" i="13"/>
  <c r="L1033" i="13"/>
  <c r="M1033" i="13"/>
  <c r="N1033" i="13"/>
  <c r="O1033" i="13"/>
  <c r="P1033" i="13" s="1"/>
  <c r="R1033" i="13" s="1"/>
  <c r="T1033" i="13" s="1"/>
  <c r="Q1033" i="13"/>
  <c r="S1033" i="13"/>
  <c r="J1034" i="13"/>
  <c r="K1034" i="13"/>
  <c r="L1034" i="13"/>
  <c r="M1034" i="13"/>
  <c r="N1034" i="13"/>
  <c r="O1034" i="13"/>
  <c r="J1035" i="13"/>
  <c r="K1035" i="13"/>
  <c r="L1035" i="13"/>
  <c r="M1035" i="13"/>
  <c r="N1035" i="13"/>
  <c r="O1035" i="13"/>
  <c r="J1036" i="13"/>
  <c r="K1036" i="13"/>
  <c r="L1036" i="13"/>
  <c r="M1036" i="13"/>
  <c r="N1036" i="13"/>
  <c r="O1036" i="13"/>
  <c r="P1036" i="13" s="1"/>
  <c r="R1036" i="13" s="1"/>
  <c r="T1036" i="13" s="1"/>
  <c r="Q1036" i="13"/>
  <c r="S1036" i="13"/>
  <c r="J1037" i="13"/>
  <c r="K1037" i="13"/>
  <c r="L1037" i="13"/>
  <c r="M1037" i="13"/>
  <c r="N1037" i="13"/>
  <c r="O1037" i="13"/>
  <c r="P1037" i="13" s="1"/>
  <c r="R1037" i="13" s="1"/>
  <c r="T1037" i="13" s="1"/>
  <c r="Q1037" i="13"/>
  <c r="S1037" i="13"/>
  <c r="J1038" i="13"/>
  <c r="K1038" i="13"/>
  <c r="L1038" i="13"/>
  <c r="M1038" i="13"/>
  <c r="N1038" i="13"/>
  <c r="O1038" i="13"/>
  <c r="J1039" i="13"/>
  <c r="K1039" i="13"/>
  <c r="L1039" i="13"/>
  <c r="M1039" i="13"/>
  <c r="N1039" i="13"/>
  <c r="O1039" i="13"/>
  <c r="P1039" i="13" s="1"/>
  <c r="R1039" i="13" s="1"/>
  <c r="T1039" i="13" s="1"/>
  <c r="Q1039" i="13"/>
  <c r="S1039" i="13" s="1"/>
  <c r="J1040" i="13"/>
  <c r="K1040" i="13"/>
  <c r="L1040" i="13"/>
  <c r="M1040" i="13"/>
  <c r="N1040" i="13"/>
  <c r="O1040" i="13"/>
  <c r="P1040" i="13" s="1"/>
  <c r="R1040" i="13" s="1"/>
  <c r="Q1040" i="13"/>
  <c r="S1040" i="13" s="1"/>
  <c r="J1041" i="13"/>
  <c r="K1041" i="13"/>
  <c r="L1041" i="13"/>
  <c r="M1041" i="13"/>
  <c r="N1041" i="13"/>
  <c r="O1041" i="13"/>
  <c r="P1041" i="13" s="1"/>
  <c r="R1041" i="13" s="1"/>
  <c r="T1041" i="13" s="1"/>
  <c r="Q1041" i="13"/>
  <c r="S1041" i="13"/>
  <c r="J1042" i="13"/>
  <c r="K1042" i="13"/>
  <c r="L1042" i="13"/>
  <c r="M1042" i="13"/>
  <c r="N1042" i="13"/>
  <c r="O1042" i="13"/>
  <c r="P1042" i="13" s="1"/>
  <c r="R1042" i="13" s="1"/>
  <c r="T1042" i="13" s="1"/>
  <c r="Q1042" i="13"/>
  <c r="S1042" i="13"/>
  <c r="J1043" i="13"/>
  <c r="K1043" i="13"/>
  <c r="L1043" i="13"/>
  <c r="M1043" i="13"/>
  <c r="N1043" i="13"/>
  <c r="O1043" i="13"/>
  <c r="P1043" i="13"/>
  <c r="Q1043" i="13"/>
  <c r="R1043" i="13"/>
  <c r="T1043" i="13" s="1"/>
  <c r="S1043" i="13"/>
  <c r="J1044" i="13"/>
  <c r="K1044" i="13"/>
  <c r="L1044" i="13"/>
  <c r="M1044" i="13"/>
  <c r="N1044" i="13"/>
  <c r="O1044" i="13"/>
  <c r="P1044" i="13" s="1"/>
  <c r="R1044" i="13" s="1"/>
  <c r="T1044" i="13" s="1"/>
  <c r="Q1044" i="13"/>
  <c r="S1044" i="13"/>
  <c r="J1045" i="13"/>
  <c r="K1045" i="13"/>
  <c r="L1045" i="13"/>
  <c r="M1045" i="13"/>
  <c r="N1045" i="13"/>
  <c r="O1045" i="13"/>
  <c r="P1045" i="13" s="1"/>
  <c r="R1045" i="13" s="1"/>
  <c r="T1045" i="13" s="1"/>
  <c r="Q1045" i="13"/>
  <c r="S1045" i="13"/>
  <c r="J1046" i="13"/>
  <c r="K1046" i="13"/>
  <c r="L1046" i="13"/>
  <c r="M1046" i="13"/>
  <c r="N1046" i="13"/>
  <c r="O1046" i="13"/>
  <c r="P1046" i="13" s="1"/>
  <c r="R1046" i="13" s="1"/>
  <c r="T1046" i="13" s="1"/>
  <c r="Q1046" i="13"/>
  <c r="S1046" i="13"/>
  <c r="J1047" i="13"/>
  <c r="K1047" i="13"/>
  <c r="L1047" i="13"/>
  <c r="M1047" i="13"/>
  <c r="N1047" i="13"/>
  <c r="O1047" i="13"/>
  <c r="P1047" i="13" s="1"/>
  <c r="R1047" i="13" s="1"/>
  <c r="T1047" i="13" s="1"/>
  <c r="Q1047" i="13"/>
  <c r="S1047" i="13"/>
  <c r="J1048" i="13"/>
  <c r="K1048" i="13"/>
  <c r="L1048" i="13"/>
  <c r="M1048" i="13"/>
  <c r="N1048" i="13"/>
  <c r="O1048" i="13"/>
  <c r="J1049" i="13"/>
  <c r="K1049" i="13"/>
  <c r="L1049" i="13"/>
  <c r="M1049" i="13"/>
  <c r="N1049" i="13"/>
  <c r="O1049" i="13"/>
  <c r="P1049" i="13" s="1"/>
  <c r="R1049" i="13" s="1"/>
  <c r="T1049" i="13" s="1"/>
  <c r="Q1049" i="13"/>
  <c r="S1049" i="13"/>
  <c r="J1050" i="13"/>
  <c r="K1050" i="13"/>
  <c r="L1050" i="13"/>
  <c r="M1050" i="13"/>
  <c r="N1050" i="13"/>
  <c r="O1050" i="13"/>
  <c r="P1050" i="13"/>
  <c r="Q1050" i="13"/>
  <c r="R1050" i="13"/>
  <c r="T1050" i="13" s="1"/>
  <c r="S1050" i="13"/>
  <c r="J1051" i="13"/>
  <c r="K1051" i="13"/>
  <c r="L1051" i="13"/>
  <c r="M1051" i="13"/>
  <c r="N1051" i="13"/>
  <c r="O1051" i="13"/>
  <c r="P1051" i="13" s="1"/>
  <c r="R1051" i="13" s="1"/>
  <c r="T1051" i="13" s="1"/>
  <c r="Q1051" i="13"/>
  <c r="S1051" i="13"/>
  <c r="J1052" i="13"/>
  <c r="K1052" i="13"/>
  <c r="L1052" i="13"/>
  <c r="M1052" i="13"/>
  <c r="N1052" i="13"/>
  <c r="O1052" i="13"/>
  <c r="J1053" i="13"/>
  <c r="K1053" i="13"/>
  <c r="L1053" i="13"/>
  <c r="M1053" i="13"/>
  <c r="N1053" i="13"/>
  <c r="O1053" i="13"/>
  <c r="J1054" i="13"/>
  <c r="K1054" i="13"/>
  <c r="L1054" i="13"/>
  <c r="M1054" i="13"/>
  <c r="N1054" i="13"/>
  <c r="O1054" i="13"/>
  <c r="P1054" i="13"/>
  <c r="Q1054" i="13"/>
  <c r="R1054" i="13"/>
  <c r="S1054" i="13"/>
  <c r="T1054" i="13" s="1"/>
  <c r="J1055" i="13"/>
  <c r="K1055" i="13"/>
  <c r="L1055" i="13"/>
  <c r="M1055" i="13"/>
  <c r="N1055" i="13"/>
  <c r="O1055" i="13"/>
  <c r="P1055" i="13" s="1"/>
  <c r="R1055" i="13" s="1"/>
  <c r="T1055" i="13" s="1"/>
  <c r="Q1055" i="13"/>
  <c r="S1055" i="13"/>
  <c r="J1056" i="13"/>
  <c r="K1056" i="13"/>
  <c r="L1056" i="13"/>
  <c r="M1056" i="13"/>
  <c r="N1056" i="13"/>
  <c r="O1056" i="13"/>
  <c r="P1056" i="13" s="1"/>
  <c r="R1056" i="13" s="1"/>
  <c r="T1056" i="13" s="1"/>
  <c r="Q1056" i="13"/>
  <c r="S1056" i="13"/>
  <c r="J1057" i="13"/>
  <c r="K1057" i="13"/>
  <c r="L1057" i="13"/>
  <c r="M1057" i="13"/>
  <c r="N1057" i="13"/>
  <c r="O1057" i="13"/>
  <c r="P1057" i="13"/>
  <c r="Q1057" i="13"/>
  <c r="R1057" i="13"/>
  <c r="T1057" i="13" s="1"/>
  <c r="S1057" i="13"/>
  <c r="J1058" i="13"/>
  <c r="K1058" i="13"/>
  <c r="L1058" i="13"/>
  <c r="M1058" i="13"/>
  <c r="N1058" i="13"/>
  <c r="O1058" i="13"/>
  <c r="J1059" i="13"/>
  <c r="K1059" i="13"/>
  <c r="L1059" i="13"/>
  <c r="M1059" i="13"/>
  <c r="N1059" i="13"/>
  <c r="O1059" i="13"/>
  <c r="P1059" i="13" s="1"/>
  <c r="R1059" i="13" s="1"/>
  <c r="T1059" i="13" s="1"/>
  <c r="Q1059" i="13"/>
  <c r="S1059" i="13"/>
  <c r="J1060" i="13"/>
  <c r="K1060" i="13"/>
  <c r="L1060" i="13"/>
  <c r="M1060" i="13"/>
  <c r="N1060" i="13"/>
  <c r="O1060" i="13"/>
  <c r="P1060" i="13" s="1"/>
  <c r="R1060" i="13" s="1"/>
  <c r="T1060" i="13" s="1"/>
  <c r="Q1060" i="13"/>
  <c r="S1060" i="13" s="1"/>
  <c r="J1061" i="13"/>
  <c r="K1061" i="13"/>
  <c r="L1061" i="13"/>
  <c r="M1061" i="13"/>
  <c r="N1061" i="13"/>
  <c r="O1061" i="13"/>
  <c r="P1061" i="13"/>
  <c r="Q1061" i="13"/>
  <c r="R1061" i="13"/>
  <c r="T1061" i="13" s="1"/>
  <c r="S1061" i="13"/>
  <c r="J1062" i="13"/>
  <c r="K1062" i="13"/>
  <c r="L1062" i="13"/>
  <c r="M1062" i="13"/>
  <c r="N1062" i="13"/>
  <c r="O1062" i="13"/>
  <c r="Q1062" i="13" s="1"/>
  <c r="S1062" i="13" s="1"/>
  <c r="P1062" i="13"/>
  <c r="R1062" i="13"/>
  <c r="J1063" i="13"/>
  <c r="K1063" i="13"/>
  <c r="L1063" i="13"/>
  <c r="M1063" i="13"/>
  <c r="N1063" i="13"/>
  <c r="O1063" i="13"/>
  <c r="J1064" i="13"/>
  <c r="K1064" i="13"/>
  <c r="L1064" i="13"/>
  <c r="M1064" i="13"/>
  <c r="N1064" i="13"/>
  <c r="O1064" i="13"/>
  <c r="P1064" i="13" s="1"/>
  <c r="R1064" i="13" s="1"/>
  <c r="T1064" i="13" s="1"/>
  <c r="Q1064" i="13"/>
  <c r="S1064" i="13"/>
  <c r="J1065" i="13"/>
  <c r="K1065" i="13"/>
  <c r="L1065" i="13"/>
  <c r="M1065" i="13"/>
  <c r="N1065" i="13"/>
  <c r="O1065" i="13"/>
  <c r="J1066" i="13"/>
  <c r="K1066" i="13"/>
  <c r="L1066" i="13"/>
  <c r="M1066" i="13"/>
  <c r="N1066" i="13"/>
  <c r="O1066" i="13"/>
  <c r="P1066" i="13" s="1"/>
  <c r="R1066" i="13" s="1"/>
  <c r="T1066" i="13" s="1"/>
  <c r="Q1066" i="13"/>
  <c r="S1066" i="13"/>
  <c r="J1067" i="13"/>
  <c r="K1067" i="13"/>
  <c r="L1067" i="13"/>
  <c r="M1067" i="13"/>
  <c r="N1067" i="13"/>
  <c r="O1067" i="13"/>
  <c r="P1067" i="13" s="1"/>
  <c r="R1067" i="13" s="1"/>
  <c r="T1067" i="13" s="1"/>
  <c r="Q1067" i="13"/>
  <c r="S1067" i="13"/>
  <c r="J1068" i="13"/>
  <c r="K1068" i="13"/>
  <c r="L1068" i="13"/>
  <c r="M1068" i="13"/>
  <c r="N1068" i="13"/>
  <c r="O1068" i="13"/>
  <c r="P1068" i="13" s="1"/>
  <c r="R1068" i="13" s="1"/>
  <c r="T1068" i="13" s="1"/>
  <c r="Q1068" i="13"/>
  <c r="S1068" i="13"/>
  <c r="J1069" i="13"/>
  <c r="K1069" i="13"/>
  <c r="L1069" i="13"/>
  <c r="M1069" i="13"/>
  <c r="N1069" i="13"/>
  <c r="O1069" i="13"/>
  <c r="P1069" i="13" s="1"/>
  <c r="R1069" i="13" s="1"/>
  <c r="T1069" i="13" s="1"/>
  <c r="Q1069" i="13"/>
  <c r="S1069" i="13"/>
  <c r="J1070" i="13"/>
  <c r="K1070" i="13"/>
  <c r="L1070" i="13"/>
  <c r="M1070" i="13"/>
  <c r="N1070" i="13"/>
  <c r="O1070" i="13"/>
  <c r="P1070" i="13" s="1"/>
  <c r="R1070" i="13" s="1"/>
  <c r="T1070" i="13" s="1"/>
  <c r="Q1070" i="13"/>
  <c r="S1070" i="13"/>
  <c r="J1071" i="13"/>
  <c r="K1071" i="13"/>
  <c r="L1071" i="13"/>
  <c r="M1071" i="13"/>
  <c r="N1071" i="13"/>
  <c r="O1071" i="13"/>
  <c r="P1071" i="13" s="1"/>
  <c r="R1071" i="13" s="1"/>
  <c r="T1071" i="13" s="1"/>
  <c r="Q1071" i="13"/>
  <c r="S1071" i="13"/>
  <c r="J1072" i="13"/>
  <c r="K1072" i="13"/>
  <c r="L1072" i="13"/>
  <c r="M1072" i="13"/>
  <c r="N1072" i="13"/>
  <c r="O1072" i="13"/>
  <c r="P1072" i="13" s="1"/>
  <c r="R1072" i="13" s="1"/>
  <c r="T1072" i="13" s="1"/>
  <c r="Q1072" i="13"/>
  <c r="S1072" i="13"/>
  <c r="J1073" i="13"/>
  <c r="K1073" i="13"/>
  <c r="L1073" i="13"/>
  <c r="M1073" i="13"/>
  <c r="N1073" i="13"/>
  <c r="O1073" i="13"/>
  <c r="P1073" i="13" s="1"/>
  <c r="R1073" i="13" s="1"/>
  <c r="T1073" i="13" s="1"/>
  <c r="Q1073" i="13"/>
  <c r="S1073" i="13" s="1"/>
  <c r="J1074" i="13"/>
  <c r="K1074" i="13"/>
  <c r="L1074" i="13"/>
  <c r="M1074" i="13"/>
  <c r="N1074" i="13"/>
  <c r="O1074" i="13"/>
  <c r="P1074" i="13"/>
  <c r="Q1074" i="13"/>
  <c r="R1074" i="13"/>
  <c r="T1074" i="13" s="1"/>
  <c r="S1074" i="13"/>
  <c r="J1075" i="13"/>
  <c r="K1075" i="13"/>
  <c r="L1075" i="13"/>
  <c r="M1075" i="13"/>
  <c r="N1075" i="13"/>
  <c r="O1075" i="13"/>
  <c r="J1076" i="13"/>
  <c r="K1076" i="13"/>
  <c r="L1076" i="13"/>
  <c r="M1076" i="13"/>
  <c r="N1076" i="13"/>
  <c r="O1076" i="13"/>
  <c r="P1076" i="13"/>
  <c r="Q1076" i="13"/>
  <c r="R1076" i="13"/>
  <c r="T1076" i="13" s="1"/>
  <c r="S1076" i="13"/>
  <c r="J1077" i="13"/>
  <c r="K1077" i="13"/>
  <c r="L1077" i="13"/>
  <c r="M1077" i="13"/>
  <c r="N1077" i="13"/>
  <c r="O1077" i="13"/>
  <c r="P1077" i="13" s="1"/>
  <c r="R1077" i="13" s="1"/>
  <c r="Q1077" i="13"/>
  <c r="S1077" i="13" s="1"/>
  <c r="J1078" i="13"/>
  <c r="K1078" i="13"/>
  <c r="L1078" i="13"/>
  <c r="M1078" i="13"/>
  <c r="N1078" i="13"/>
  <c r="O1078" i="13"/>
  <c r="P1078" i="13" s="1"/>
  <c r="R1078" i="13" s="1"/>
  <c r="T1078" i="13" s="1"/>
  <c r="Q1078" i="13"/>
  <c r="S1078" i="13"/>
  <c r="J1079" i="13"/>
  <c r="K1079" i="13"/>
  <c r="L1079" i="13"/>
  <c r="M1079" i="13"/>
  <c r="N1079" i="13"/>
  <c r="O1079" i="13"/>
  <c r="P1079" i="13" s="1"/>
  <c r="R1079" i="13" s="1"/>
  <c r="T1079" i="13" s="1"/>
  <c r="Q1079" i="13"/>
  <c r="S1079" i="13"/>
  <c r="J1080" i="13"/>
  <c r="K1080" i="13"/>
  <c r="L1080" i="13"/>
  <c r="M1080" i="13"/>
  <c r="N1080" i="13"/>
  <c r="O1080" i="13"/>
  <c r="P1080" i="13" s="1"/>
  <c r="R1080" i="13" s="1"/>
  <c r="T1080" i="13" s="1"/>
  <c r="Q1080" i="13"/>
  <c r="S1080" i="13"/>
  <c r="J1081" i="13"/>
  <c r="K1081" i="13"/>
  <c r="L1081" i="13"/>
  <c r="M1081" i="13"/>
  <c r="N1081" i="13"/>
  <c r="O1081" i="13"/>
  <c r="P1081" i="13" s="1"/>
  <c r="R1081" i="13" s="1"/>
  <c r="T1081" i="13" s="1"/>
  <c r="Q1081" i="13"/>
  <c r="S1081" i="13"/>
  <c r="J1082" i="13"/>
  <c r="K1082" i="13"/>
  <c r="L1082" i="13"/>
  <c r="M1082" i="13"/>
  <c r="N1082" i="13"/>
  <c r="O1082" i="13"/>
  <c r="P1082" i="13" s="1"/>
  <c r="R1082" i="13" s="1"/>
  <c r="T1082" i="13" s="1"/>
  <c r="Q1082" i="13"/>
  <c r="S1082" i="13"/>
  <c r="J1083" i="13"/>
  <c r="K1083" i="13"/>
  <c r="L1083" i="13"/>
  <c r="M1083" i="13"/>
  <c r="N1083" i="13"/>
  <c r="O1083" i="13"/>
  <c r="P1083" i="13"/>
  <c r="Q1083" i="13"/>
  <c r="R1083" i="13"/>
  <c r="T1083" i="13" s="1"/>
  <c r="S1083" i="13"/>
  <c r="J1084" i="13"/>
  <c r="K1084" i="13"/>
  <c r="L1084" i="13"/>
  <c r="M1084" i="13"/>
  <c r="N1084" i="13"/>
  <c r="O1084" i="13"/>
  <c r="P1084" i="13" s="1"/>
  <c r="R1084" i="13" s="1"/>
  <c r="T1084" i="13" s="1"/>
  <c r="Q1084" i="13"/>
  <c r="S1084" i="13"/>
  <c r="J1085" i="13"/>
  <c r="K1085" i="13"/>
  <c r="L1085" i="13"/>
  <c r="M1085" i="13"/>
  <c r="N1085" i="13"/>
  <c r="O1085" i="13"/>
  <c r="P1085" i="13"/>
  <c r="Q1085" i="13"/>
  <c r="R1085" i="13"/>
  <c r="T1085" i="13" s="1"/>
  <c r="S1085" i="13"/>
  <c r="J1086" i="13"/>
  <c r="K1086" i="13"/>
  <c r="L1086" i="13"/>
  <c r="M1086" i="13"/>
  <c r="N1086" i="13"/>
  <c r="O1086" i="13"/>
  <c r="P1086" i="13"/>
  <c r="Q1086" i="13"/>
  <c r="S1086" i="13" s="1"/>
  <c r="R1086" i="13"/>
  <c r="J1087" i="13"/>
  <c r="K1087" i="13"/>
  <c r="L1087" i="13"/>
  <c r="M1087" i="13"/>
  <c r="N1087" i="13"/>
  <c r="O1087" i="13"/>
  <c r="P1087" i="13" s="1"/>
  <c r="R1087" i="13" s="1"/>
  <c r="T1087" i="13" s="1"/>
  <c r="Q1087" i="13"/>
  <c r="S1087" i="13"/>
  <c r="J1088" i="13"/>
  <c r="K1088" i="13"/>
  <c r="L1088" i="13"/>
  <c r="M1088" i="13"/>
  <c r="N1088" i="13"/>
  <c r="O1088" i="13"/>
  <c r="P1088" i="13"/>
  <c r="R1088" i="13" s="1"/>
  <c r="T1088" i="13" s="1"/>
  <c r="Q1088" i="13"/>
  <c r="S1088" i="13"/>
  <c r="J1089" i="13"/>
  <c r="K1089" i="13"/>
  <c r="L1089" i="13"/>
  <c r="M1089" i="13"/>
  <c r="N1089" i="13"/>
  <c r="O1089" i="13"/>
  <c r="P1089" i="13" s="1"/>
  <c r="R1089" i="13" s="1"/>
  <c r="T1089" i="13" s="1"/>
  <c r="Q1089" i="13"/>
  <c r="S1089" i="13"/>
  <c r="J1090" i="13"/>
  <c r="K1090" i="13"/>
  <c r="L1090" i="13"/>
  <c r="M1090" i="13"/>
  <c r="N1090" i="13"/>
  <c r="O1090" i="13"/>
  <c r="J1091" i="13"/>
  <c r="K1091" i="13"/>
  <c r="L1091" i="13"/>
  <c r="M1091" i="13"/>
  <c r="N1091" i="13"/>
  <c r="O1091" i="13"/>
  <c r="P1091" i="13" s="1"/>
  <c r="R1091" i="13" s="1"/>
  <c r="T1091" i="13" s="1"/>
  <c r="Q1091" i="13"/>
  <c r="S1091" i="13"/>
  <c r="J1092" i="13"/>
  <c r="K1092" i="13"/>
  <c r="L1092" i="13"/>
  <c r="M1092" i="13"/>
  <c r="N1092" i="13"/>
  <c r="O1092" i="13"/>
  <c r="P1092" i="13"/>
  <c r="Q1092" i="13"/>
  <c r="R1092" i="13"/>
  <c r="T1092" i="13" s="1"/>
  <c r="S1092" i="13"/>
  <c r="J1093" i="13"/>
  <c r="K1093" i="13"/>
  <c r="L1093" i="13"/>
  <c r="M1093" i="13"/>
  <c r="N1093" i="13"/>
  <c r="O1093" i="13"/>
  <c r="P1093" i="13" s="1"/>
  <c r="R1093" i="13" s="1"/>
  <c r="T1093" i="13" s="1"/>
  <c r="Q1093" i="13"/>
  <c r="S1093" i="13"/>
  <c r="J1094" i="13"/>
  <c r="N1094" i="13" s="1"/>
  <c r="K1094" i="13"/>
  <c r="L1094" i="13"/>
  <c r="M1094" i="13"/>
  <c r="O1094" i="13"/>
  <c r="P1094" i="13"/>
  <c r="Q1094" i="13"/>
  <c r="R1094" i="13"/>
  <c r="S1094" i="13"/>
  <c r="T1094" i="13" s="1"/>
  <c r="J1095" i="13"/>
  <c r="K1095" i="13"/>
  <c r="L1095" i="13"/>
  <c r="M1095" i="13"/>
  <c r="N1095" i="13"/>
  <c r="O1095" i="13"/>
  <c r="P1095" i="13" s="1"/>
  <c r="R1095" i="13" s="1"/>
  <c r="T1095" i="13" s="1"/>
  <c r="Q1095" i="13"/>
  <c r="S1095" i="13"/>
  <c r="J1096" i="13"/>
  <c r="K1096" i="13"/>
  <c r="L1096" i="13"/>
  <c r="M1096" i="13"/>
  <c r="N1096" i="13"/>
  <c r="O1096" i="13"/>
  <c r="J1097" i="13"/>
  <c r="K1097" i="13"/>
  <c r="L1097" i="13"/>
  <c r="M1097" i="13"/>
  <c r="N1097" i="13"/>
  <c r="O1097" i="13"/>
  <c r="P1097" i="13" s="1"/>
  <c r="R1097" i="13" s="1"/>
  <c r="T1097" i="13" s="1"/>
  <c r="Q1097" i="13"/>
  <c r="S1097" i="13"/>
  <c r="J1098" i="13"/>
  <c r="K1098" i="13"/>
  <c r="L1098" i="13"/>
  <c r="M1098" i="13"/>
  <c r="N1098" i="13"/>
  <c r="O1098" i="13"/>
  <c r="P1098" i="13" s="1"/>
  <c r="R1098" i="13" s="1"/>
  <c r="T1098" i="13" s="1"/>
  <c r="Q1098" i="13"/>
  <c r="S1098" i="13"/>
  <c r="J1099" i="13"/>
  <c r="K1099" i="13"/>
  <c r="L1099" i="13"/>
  <c r="M1099" i="13"/>
  <c r="N1099" i="13"/>
  <c r="O1099" i="13"/>
  <c r="P1099" i="13" s="1"/>
  <c r="R1099" i="13" s="1"/>
  <c r="T1099" i="13" s="1"/>
  <c r="Q1099" i="13"/>
  <c r="S1099" i="13"/>
  <c r="J1100" i="13"/>
  <c r="K1100" i="13"/>
  <c r="L1100" i="13"/>
  <c r="M1100" i="13"/>
  <c r="N1100" i="13"/>
  <c r="O1100" i="13"/>
  <c r="P1100" i="13" s="1"/>
  <c r="R1100" i="13" s="1"/>
  <c r="T1100" i="13" s="1"/>
  <c r="Q1100" i="13"/>
  <c r="S1100" i="13"/>
  <c r="J1101" i="13"/>
  <c r="K1101" i="13"/>
  <c r="L1101" i="13"/>
  <c r="M1101" i="13"/>
  <c r="N1101" i="13"/>
  <c r="O1101" i="13"/>
  <c r="P1101" i="13"/>
  <c r="Q1101" i="13"/>
  <c r="R1101" i="13"/>
  <c r="T1101" i="13" s="1"/>
  <c r="S1101" i="13"/>
  <c r="J1102" i="13"/>
  <c r="K1102" i="13"/>
  <c r="L1102" i="13"/>
  <c r="M1102" i="13"/>
  <c r="N1102" i="13"/>
  <c r="O1102" i="13"/>
  <c r="P1102" i="13" s="1"/>
  <c r="R1102" i="13" s="1"/>
  <c r="T1102" i="13" s="1"/>
  <c r="Q1102" i="13"/>
  <c r="S1102" i="13"/>
  <c r="J1103" i="13"/>
  <c r="K1103" i="13"/>
  <c r="L1103" i="13"/>
  <c r="M1103" i="13"/>
  <c r="N1103" i="13"/>
  <c r="O1103" i="13"/>
  <c r="P1103" i="13" s="1"/>
  <c r="R1103" i="13" s="1"/>
  <c r="T1103" i="13" s="1"/>
  <c r="Q1103" i="13"/>
  <c r="S1103" i="13" s="1"/>
  <c r="J1104" i="13"/>
  <c r="K1104" i="13"/>
  <c r="L1104" i="13"/>
  <c r="M1104" i="13"/>
  <c r="N1104" i="13"/>
  <c r="O1104" i="13"/>
  <c r="P1104" i="13" s="1"/>
  <c r="R1104" i="13" s="1"/>
  <c r="T1104" i="13" s="1"/>
  <c r="Q1104" i="13"/>
  <c r="S1104" i="13"/>
  <c r="J1105" i="13"/>
  <c r="K1105" i="13"/>
  <c r="L1105" i="13"/>
  <c r="M1105" i="13"/>
  <c r="N1105" i="13"/>
  <c r="O1105" i="13"/>
  <c r="P1105" i="13" s="1"/>
  <c r="R1105" i="13" s="1"/>
  <c r="T1105" i="13" s="1"/>
  <c r="Q1105" i="13"/>
  <c r="S1105" i="13"/>
  <c r="J1106" i="13"/>
  <c r="K1106" i="13"/>
  <c r="L1106" i="13"/>
  <c r="M1106" i="13"/>
  <c r="N1106" i="13"/>
  <c r="O1106" i="13"/>
  <c r="P1106" i="13" s="1"/>
  <c r="R1106" i="13" s="1"/>
  <c r="T1106" i="13" s="1"/>
  <c r="Q1106" i="13"/>
  <c r="S1106" i="13"/>
  <c r="J1107" i="13"/>
  <c r="K1107" i="13"/>
  <c r="L1107" i="13"/>
  <c r="M1107" i="13"/>
  <c r="N1107" i="13"/>
  <c r="O1107" i="13"/>
  <c r="P1107" i="13"/>
  <c r="Q1107" i="13"/>
  <c r="R1107" i="13"/>
  <c r="T1107" i="13" s="1"/>
  <c r="S1107" i="13"/>
  <c r="J1108" i="13"/>
  <c r="K1108" i="13"/>
  <c r="L1108" i="13"/>
  <c r="M1108" i="13"/>
  <c r="N1108" i="13"/>
  <c r="O1108" i="13"/>
  <c r="J1109" i="13"/>
  <c r="K1109" i="13"/>
  <c r="L1109" i="13"/>
  <c r="M1109" i="13"/>
  <c r="N1109" i="13"/>
  <c r="O1109" i="13"/>
  <c r="J1110" i="13"/>
  <c r="K1110" i="13"/>
  <c r="L1110" i="13"/>
  <c r="M1110" i="13"/>
  <c r="O1110" i="13"/>
  <c r="Q1110" i="13"/>
  <c r="J1111" i="13"/>
  <c r="K1111" i="13"/>
  <c r="L1111" i="13"/>
  <c r="M1111" i="13"/>
  <c r="N1111" i="13"/>
  <c r="O1111" i="13"/>
  <c r="P1111" i="13"/>
  <c r="Q1111" i="13"/>
  <c r="R1111" i="13"/>
  <c r="S1111" i="13"/>
  <c r="T1111" i="13"/>
  <c r="J1112" i="13"/>
  <c r="K1112" i="13"/>
  <c r="L1112" i="13"/>
  <c r="M1112" i="13"/>
  <c r="N1112" i="13"/>
  <c r="O1112" i="13"/>
  <c r="P1112" i="13"/>
  <c r="Q1112" i="13"/>
  <c r="R1112" i="13"/>
  <c r="S1112" i="13"/>
  <c r="T1112" i="13"/>
  <c r="J1113" i="13"/>
  <c r="K1113" i="13"/>
  <c r="L1113" i="13"/>
  <c r="M1113" i="13"/>
  <c r="N1113" i="13"/>
  <c r="O1113" i="13"/>
  <c r="P1113" i="13"/>
  <c r="Q1113" i="13"/>
  <c r="R1113" i="13"/>
  <c r="S1113" i="13"/>
  <c r="T1113" i="13"/>
  <c r="J1114" i="13"/>
  <c r="K1114" i="13"/>
  <c r="L1114" i="13"/>
  <c r="M1114" i="13"/>
  <c r="N1114" i="13"/>
  <c r="O1114" i="13"/>
  <c r="P1114" i="13"/>
  <c r="Q1114" i="13"/>
  <c r="R1114" i="13"/>
  <c r="S1114" i="13"/>
  <c r="T1114" i="13"/>
  <c r="J1115" i="13"/>
  <c r="K1115" i="13"/>
  <c r="L1115" i="13"/>
  <c r="M1115" i="13"/>
  <c r="N1115" i="13"/>
  <c r="O1115" i="13"/>
  <c r="P1115" i="13"/>
  <c r="Q1115" i="13"/>
  <c r="R1115" i="13"/>
  <c r="S1115" i="13"/>
  <c r="T1115" i="13"/>
  <c r="J1116" i="13"/>
  <c r="K1116" i="13"/>
  <c r="L1116" i="13"/>
  <c r="M1116" i="13"/>
  <c r="N1116" i="13"/>
  <c r="O1116" i="13"/>
  <c r="P1116" i="13"/>
  <c r="Q1116" i="13"/>
  <c r="R1116" i="13"/>
  <c r="S1116" i="13"/>
  <c r="T1116" i="13"/>
  <c r="J1117" i="13"/>
  <c r="K1117" i="13"/>
  <c r="L1117" i="13"/>
  <c r="M1117" i="13"/>
  <c r="N1117" i="13"/>
  <c r="O1117" i="13"/>
  <c r="P1117" i="13"/>
  <c r="Q1117" i="13"/>
  <c r="R1117" i="13"/>
  <c r="S1117" i="13"/>
  <c r="T1117" i="13"/>
  <c r="J1118" i="13"/>
  <c r="K1118" i="13"/>
  <c r="L1118" i="13"/>
  <c r="M1118" i="13"/>
  <c r="N1118" i="13"/>
  <c r="O1118" i="13"/>
  <c r="P1118" i="13"/>
  <c r="Q1118" i="13"/>
  <c r="R1118" i="13"/>
  <c r="S1118" i="13"/>
  <c r="T1118" i="13"/>
  <c r="J1119" i="13"/>
  <c r="K1119" i="13"/>
  <c r="L1119" i="13"/>
  <c r="M1119" i="13"/>
  <c r="N1119" i="13"/>
  <c r="O1119" i="13"/>
  <c r="P1119" i="13"/>
  <c r="Q1119" i="13"/>
  <c r="R1119" i="13"/>
  <c r="S1119" i="13"/>
  <c r="T1119" i="13"/>
  <c r="J1120" i="13"/>
  <c r="K1120" i="13"/>
  <c r="L1120" i="13"/>
  <c r="M1120" i="13"/>
  <c r="N1120" i="13"/>
  <c r="O1120" i="13"/>
  <c r="P1120" i="13"/>
  <c r="Q1120" i="13"/>
  <c r="R1120" i="13"/>
  <c r="S1120" i="13"/>
  <c r="T1120" i="13"/>
  <c r="J1121" i="13"/>
  <c r="K1121" i="13"/>
  <c r="L1121" i="13"/>
  <c r="M1121" i="13"/>
  <c r="N1121" i="13"/>
  <c r="O1121" i="13"/>
  <c r="P1121" i="13"/>
  <c r="Q1121" i="13"/>
  <c r="R1121" i="13"/>
  <c r="S1121" i="13"/>
  <c r="T1121" i="13"/>
  <c r="J1122" i="13"/>
  <c r="K1122" i="13"/>
  <c r="L1122" i="13"/>
  <c r="M1122" i="13"/>
  <c r="N1122" i="13"/>
  <c r="O1122" i="13"/>
  <c r="P1122" i="13"/>
  <c r="Q1122" i="13"/>
  <c r="R1122" i="13"/>
  <c r="S1122" i="13"/>
  <c r="T1122" i="13"/>
  <c r="J1123" i="13"/>
  <c r="K1123" i="13"/>
  <c r="L1123" i="13"/>
  <c r="M1123" i="13"/>
  <c r="N1123" i="13"/>
  <c r="O1123" i="13"/>
  <c r="P1123" i="13"/>
  <c r="Q1123" i="13"/>
  <c r="R1123" i="13"/>
  <c r="S1123" i="13"/>
  <c r="T1123" i="13"/>
  <c r="J1124" i="13"/>
  <c r="K1124" i="13"/>
  <c r="L1124" i="13"/>
  <c r="M1124" i="13"/>
  <c r="N1124" i="13"/>
  <c r="O1124" i="13"/>
  <c r="P1124" i="13"/>
  <c r="Q1124" i="13"/>
  <c r="R1124" i="13"/>
  <c r="S1124" i="13"/>
  <c r="T1124" i="13"/>
  <c r="J1125" i="13"/>
  <c r="K1125" i="13"/>
  <c r="L1125" i="13"/>
  <c r="M1125" i="13"/>
  <c r="N1125" i="13"/>
  <c r="O1125" i="13"/>
  <c r="P1125" i="13"/>
  <c r="Q1125" i="13"/>
  <c r="R1125" i="13"/>
  <c r="S1125" i="13"/>
  <c r="T1125" i="13"/>
  <c r="J1126" i="13"/>
  <c r="K1126" i="13"/>
  <c r="L1126" i="13"/>
  <c r="M1126" i="13"/>
  <c r="N1126" i="13"/>
  <c r="O1126" i="13"/>
  <c r="P1126" i="13"/>
  <c r="Q1126" i="13"/>
  <c r="R1126" i="13"/>
  <c r="S1126" i="13"/>
  <c r="T1126" i="13"/>
  <c r="J1127" i="13"/>
  <c r="K1127" i="13"/>
  <c r="L1127" i="13"/>
  <c r="M1127" i="13"/>
  <c r="N1127" i="13"/>
  <c r="O1127" i="13"/>
  <c r="P1127" i="13"/>
  <c r="Q1127" i="13"/>
  <c r="R1127" i="13"/>
  <c r="S1127" i="13"/>
  <c r="T1127" i="13"/>
  <c r="J1128" i="13"/>
  <c r="K1128" i="13"/>
  <c r="L1128" i="13"/>
  <c r="M1128" i="13"/>
  <c r="N1128" i="13"/>
  <c r="O1128" i="13"/>
  <c r="P1128" i="13"/>
  <c r="Q1128" i="13"/>
  <c r="R1128" i="13"/>
  <c r="S1128" i="13"/>
  <c r="T1128" i="13"/>
  <c r="J1129" i="13"/>
  <c r="K1129" i="13"/>
  <c r="L1129" i="13"/>
  <c r="M1129" i="13"/>
  <c r="N1129" i="13"/>
  <c r="O1129" i="13"/>
  <c r="P1129" i="13"/>
  <c r="Q1129" i="13"/>
  <c r="R1129" i="13"/>
  <c r="S1129" i="13"/>
  <c r="T1129" i="13"/>
  <c r="J1130" i="13"/>
  <c r="K1130" i="13"/>
  <c r="L1130" i="13"/>
  <c r="M1130" i="13"/>
  <c r="N1130" i="13"/>
  <c r="O1130" i="13"/>
  <c r="P1130" i="13"/>
  <c r="Q1130" i="13"/>
  <c r="R1130" i="13"/>
  <c r="S1130" i="13"/>
  <c r="T1130" i="13"/>
  <c r="J1131" i="13"/>
  <c r="K1131" i="13"/>
  <c r="L1131" i="13"/>
  <c r="M1131" i="13"/>
  <c r="N1131" i="13"/>
  <c r="O1131" i="13"/>
  <c r="P1131" i="13"/>
  <c r="Q1131" i="13"/>
  <c r="R1131" i="13"/>
  <c r="S1131" i="13"/>
  <c r="T1131" i="13"/>
  <c r="J1132" i="13"/>
  <c r="K1132" i="13"/>
  <c r="L1132" i="13"/>
  <c r="M1132" i="13"/>
  <c r="N1132" i="13"/>
  <c r="O1132" i="13"/>
  <c r="P1132" i="13"/>
  <c r="Q1132" i="13"/>
  <c r="R1132" i="13"/>
  <c r="S1132" i="13"/>
  <c r="T1132" i="13"/>
  <c r="J1133" i="13"/>
  <c r="K1133" i="13"/>
  <c r="L1133" i="13"/>
  <c r="M1133" i="13"/>
  <c r="N1133" i="13"/>
  <c r="O1133" i="13"/>
  <c r="P1133" i="13"/>
  <c r="Q1133" i="13"/>
  <c r="R1133" i="13"/>
  <c r="S1133" i="13"/>
  <c r="T1133" i="13"/>
  <c r="J1134" i="13"/>
  <c r="K1134" i="13"/>
  <c r="L1134" i="13"/>
  <c r="M1134" i="13"/>
  <c r="N1134" i="13"/>
  <c r="O1134" i="13"/>
  <c r="P1134" i="13"/>
  <c r="Q1134" i="13"/>
  <c r="R1134" i="13"/>
  <c r="S1134" i="13"/>
  <c r="T1134" i="13"/>
  <c r="J1135" i="13"/>
  <c r="K1135" i="13"/>
  <c r="L1135" i="13"/>
  <c r="M1135" i="13"/>
  <c r="N1135" i="13"/>
  <c r="O1135" i="13"/>
  <c r="P1135" i="13"/>
  <c r="Q1135" i="13"/>
  <c r="R1135" i="13"/>
  <c r="S1135" i="13"/>
  <c r="T1135" i="13"/>
  <c r="J1136" i="13"/>
  <c r="K1136" i="13"/>
  <c r="L1136" i="13"/>
  <c r="M1136" i="13"/>
  <c r="N1136" i="13"/>
  <c r="O1136" i="13"/>
  <c r="P1136" i="13"/>
  <c r="Q1136" i="13"/>
  <c r="R1136" i="13"/>
  <c r="S1136" i="13"/>
  <c r="T1136" i="13"/>
  <c r="J1137" i="13"/>
  <c r="K1137" i="13"/>
  <c r="L1137" i="13"/>
  <c r="M1137" i="13"/>
  <c r="N1137" i="13"/>
  <c r="O1137" i="13"/>
  <c r="P1137" i="13"/>
  <c r="Q1137" i="13"/>
  <c r="R1137" i="13"/>
  <c r="S1137" i="13"/>
  <c r="T1137" i="13"/>
  <c r="J1138" i="13"/>
  <c r="K1138" i="13"/>
  <c r="L1138" i="13"/>
  <c r="M1138" i="13"/>
  <c r="N1138" i="13"/>
  <c r="O1138" i="13"/>
  <c r="P1138" i="13"/>
  <c r="Q1138" i="13"/>
  <c r="R1138" i="13"/>
  <c r="S1138" i="13"/>
  <c r="T1138" i="13"/>
  <c r="J1139" i="13"/>
  <c r="K1139" i="13"/>
  <c r="L1139" i="13"/>
  <c r="M1139" i="13"/>
  <c r="N1139" i="13"/>
  <c r="O1139" i="13"/>
  <c r="P1139" i="13"/>
  <c r="Q1139" i="13"/>
  <c r="R1139" i="13"/>
  <c r="S1139" i="13"/>
  <c r="T1139" i="13"/>
  <c r="J1140" i="13"/>
  <c r="K1140" i="13"/>
  <c r="L1140" i="13"/>
  <c r="M1140" i="13"/>
  <c r="N1140" i="13"/>
  <c r="O1140" i="13"/>
  <c r="P1140" i="13"/>
  <c r="Q1140" i="13"/>
  <c r="R1140" i="13"/>
  <c r="S1140" i="13"/>
  <c r="T1140" i="13"/>
  <c r="J1141" i="13"/>
  <c r="K1141" i="13"/>
  <c r="L1141" i="13"/>
  <c r="M1141" i="13"/>
  <c r="N1141" i="13"/>
  <c r="O1141" i="13"/>
  <c r="P1141" i="13"/>
  <c r="Q1141" i="13"/>
  <c r="R1141" i="13"/>
  <c r="S1141" i="13"/>
  <c r="T1141" i="13"/>
  <c r="J1142" i="13"/>
  <c r="K1142" i="13"/>
  <c r="L1142" i="13"/>
  <c r="M1142" i="13"/>
  <c r="N1142" i="13"/>
  <c r="O1142" i="13"/>
  <c r="P1142" i="13"/>
  <c r="Q1142" i="13"/>
  <c r="R1142" i="13"/>
  <c r="S1142" i="13"/>
  <c r="T1142" i="13"/>
  <c r="J1143" i="13"/>
  <c r="K1143" i="13"/>
  <c r="L1143" i="13"/>
  <c r="M1143" i="13"/>
  <c r="N1143" i="13"/>
  <c r="O1143" i="13"/>
  <c r="P1143" i="13"/>
  <c r="Q1143" i="13"/>
  <c r="R1143" i="13"/>
  <c r="S1143" i="13"/>
  <c r="T1143" i="13"/>
  <c r="J1144" i="13"/>
  <c r="K1144" i="13"/>
  <c r="L1144" i="13"/>
  <c r="M1144" i="13"/>
  <c r="N1144" i="13"/>
  <c r="O1144" i="13"/>
  <c r="P1144" i="13"/>
  <c r="Q1144" i="13"/>
  <c r="R1144" i="13"/>
  <c r="S1144" i="13"/>
  <c r="T1144" i="13"/>
  <c r="J1145" i="13"/>
  <c r="K1145" i="13"/>
  <c r="L1145" i="13"/>
  <c r="M1145" i="13"/>
  <c r="N1145" i="13"/>
  <c r="O1145" i="13"/>
  <c r="P1145" i="13"/>
  <c r="Q1145" i="13"/>
  <c r="R1145" i="13"/>
  <c r="S1145" i="13"/>
  <c r="T1145" i="13"/>
  <c r="J1146" i="13"/>
  <c r="K1146" i="13"/>
  <c r="L1146" i="13"/>
  <c r="M1146" i="13"/>
  <c r="N1146" i="13"/>
  <c r="O1146" i="13"/>
  <c r="P1146" i="13"/>
  <c r="Q1146" i="13"/>
  <c r="R1146" i="13"/>
  <c r="S1146" i="13"/>
  <c r="T1146" i="13"/>
  <c r="J1147" i="13"/>
  <c r="K1147" i="13"/>
  <c r="L1147" i="13"/>
  <c r="M1147" i="13"/>
  <c r="N1147" i="13"/>
  <c r="O1147" i="13"/>
  <c r="P1147" i="13"/>
  <c r="Q1147" i="13"/>
  <c r="R1147" i="13"/>
  <c r="S1147" i="13"/>
  <c r="T1147" i="13"/>
  <c r="J1148" i="13"/>
  <c r="K1148" i="13"/>
  <c r="L1148" i="13"/>
  <c r="M1148" i="13"/>
  <c r="N1148" i="13"/>
  <c r="O1148" i="13"/>
  <c r="P1148" i="13"/>
  <c r="Q1148" i="13"/>
  <c r="R1148" i="13"/>
  <c r="S1148" i="13"/>
  <c r="T1148" i="13"/>
  <c r="J1149" i="13"/>
  <c r="K1149" i="13"/>
  <c r="L1149" i="13"/>
  <c r="M1149" i="13"/>
  <c r="N1149" i="13"/>
  <c r="O1149" i="13"/>
  <c r="P1149" i="13"/>
  <c r="Q1149" i="13"/>
  <c r="R1149" i="13"/>
  <c r="S1149" i="13"/>
  <c r="T1149" i="13"/>
  <c r="J1150" i="13"/>
  <c r="K1150" i="13"/>
  <c r="L1150" i="13"/>
  <c r="M1150" i="13"/>
  <c r="N1150" i="13"/>
  <c r="O1150" i="13"/>
  <c r="P1150" i="13"/>
  <c r="Q1150" i="13"/>
  <c r="R1150" i="13"/>
  <c r="S1150" i="13"/>
  <c r="T1150" i="13"/>
  <c r="J1151" i="13"/>
  <c r="K1151" i="13"/>
  <c r="L1151" i="13"/>
  <c r="M1151" i="13"/>
  <c r="N1151" i="13"/>
  <c r="O1151" i="13"/>
  <c r="P1151" i="13"/>
  <c r="Q1151" i="13"/>
  <c r="R1151" i="13"/>
  <c r="S1151" i="13"/>
  <c r="T1151" i="13"/>
  <c r="J1152" i="13"/>
  <c r="K1152" i="13"/>
  <c r="L1152" i="13"/>
  <c r="M1152" i="13"/>
  <c r="N1152" i="13"/>
  <c r="O1152" i="13"/>
  <c r="P1152" i="13"/>
  <c r="Q1152" i="13"/>
  <c r="R1152" i="13"/>
  <c r="S1152" i="13"/>
  <c r="T1152" i="13"/>
  <c r="J1153" i="13"/>
  <c r="K1153" i="13"/>
  <c r="L1153" i="13"/>
  <c r="M1153" i="13"/>
  <c r="N1153" i="13"/>
  <c r="O1153" i="13"/>
  <c r="P1153" i="13"/>
  <c r="Q1153" i="13"/>
  <c r="R1153" i="13"/>
  <c r="S1153" i="13"/>
  <c r="T1153" i="13"/>
  <c r="J1154" i="13"/>
  <c r="K1154" i="13"/>
  <c r="L1154" i="13"/>
  <c r="M1154" i="13"/>
  <c r="N1154" i="13"/>
  <c r="O1154" i="13"/>
  <c r="P1154" i="13"/>
  <c r="Q1154" i="13"/>
  <c r="R1154" i="13"/>
  <c r="S1154" i="13"/>
  <c r="T1154" i="13"/>
  <c r="J1155" i="13"/>
  <c r="K1155" i="13"/>
  <c r="L1155" i="13"/>
  <c r="M1155" i="13"/>
  <c r="N1155" i="13"/>
  <c r="O1155" i="13"/>
  <c r="P1155" i="13"/>
  <c r="Q1155" i="13"/>
  <c r="R1155" i="13"/>
  <c r="S1155" i="13"/>
  <c r="T1155" i="13"/>
  <c r="J1156" i="13"/>
  <c r="K1156" i="13"/>
  <c r="L1156" i="13"/>
  <c r="M1156" i="13"/>
  <c r="N1156" i="13"/>
  <c r="O1156" i="13"/>
  <c r="P1156" i="13"/>
  <c r="Q1156" i="13"/>
  <c r="R1156" i="13"/>
  <c r="S1156" i="13"/>
  <c r="T1156" i="13"/>
  <c r="J1157" i="13"/>
  <c r="K1157" i="13"/>
  <c r="L1157" i="13"/>
  <c r="M1157" i="13"/>
  <c r="N1157" i="13"/>
  <c r="O1157" i="13"/>
  <c r="P1157" i="13"/>
  <c r="Q1157" i="13"/>
  <c r="R1157" i="13"/>
  <c r="S1157" i="13"/>
  <c r="T1157" i="13"/>
  <c r="J1158" i="13"/>
  <c r="K1158" i="13"/>
  <c r="L1158" i="13"/>
  <c r="M1158" i="13"/>
  <c r="N1158" i="13"/>
  <c r="O1158" i="13"/>
  <c r="P1158" i="13"/>
  <c r="Q1158" i="13"/>
  <c r="R1158" i="13"/>
  <c r="S1158" i="13"/>
  <c r="T1158" i="13"/>
  <c r="J1159" i="13"/>
  <c r="K1159" i="13"/>
  <c r="L1159" i="13"/>
  <c r="M1159" i="13"/>
  <c r="N1159" i="13"/>
  <c r="O1159" i="13"/>
  <c r="P1159" i="13"/>
  <c r="Q1159" i="13"/>
  <c r="R1159" i="13"/>
  <c r="S1159" i="13"/>
  <c r="T1159" i="13"/>
  <c r="J1160" i="13"/>
  <c r="K1160" i="13"/>
  <c r="L1160" i="13"/>
  <c r="M1160" i="13"/>
  <c r="N1160" i="13"/>
  <c r="O1160" i="13"/>
  <c r="P1160" i="13"/>
  <c r="Q1160" i="13"/>
  <c r="R1160" i="13"/>
  <c r="S1160" i="13"/>
  <c r="T1160" i="13"/>
  <c r="J1161" i="13"/>
  <c r="K1161" i="13"/>
  <c r="L1161" i="13"/>
  <c r="M1161" i="13"/>
  <c r="N1161" i="13"/>
  <c r="O1161" i="13"/>
  <c r="P1161" i="13"/>
  <c r="Q1161" i="13"/>
  <c r="R1161" i="13"/>
  <c r="S1161" i="13"/>
  <c r="T1161" i="13"/>
  <c r="J1162" i="13"/>
  <c r="K1162" i="13"/>
  <c r="L1162" i="13"/>
  <c r="M1162" i="13"/>
  <c r="N1162" i="13"/>
  <c r="O1162" i="13"/>
  <c r="P1162" i="13"/>
  <c r="Q1162" i="13"/>
  <c r="R1162" i="13"/>
  <c r="S1162" i="13"/>
  <c r="T1162" i="13"/>
  <c r="J1163" i="13"/>
  <c r="K1163" i="13"/>
  <c r="L1163" i="13"/>
  <c r="M1163" i="13"/>
  <c r="N1163" i="13"/>
  <c r="O1163" i="13"/>
  <c r="P1163" i="13"/>
  <c r="Q1163" i="13"/>
  <c r="R1163" i="13"/>
  <c r="S1163" i="13"/>
  <c r="T1163" i="13"/>
  <c r="J1164" i="13"/>
  <c r="K1164" i="13"/>
  <c r="L1164" i="13"/>
  <c r="M1164" i="13"/>
  <c r="N1164" i="13"/>
  <c r="O1164" i="13"/>
  <c r="P1164" i="13"/>
  <c r="Q1164" i="13"/>
  <c r="R1164" i="13"/>
  <c r="S1164" i="13"/>
  <c r="T1164" i="13"/>
  <c r="J1165" i="13"/>
  <c r="K1165" i="13"/>
  <c r="L1165" i="13"/>
  <c r="M1165" i="13"/>
  <c r="N1165" i="13"/>
  <c r="O1165" i="13"/>
  <c r="P1165" i="13"/>
  <c r="Q1165" i="13"/>
  <c r="R1165" i="13"/>
  <c r="S1165" i="13"/>
  <c r="T1165" i="13"/>
  <c r="J1166" i="13"/>
  <c r="K1166" i="13"/>
  <c r="L1166" i="13"/>
  <c r="M1166" i="13"/>
  <c r="N1166" i="13"/>
  <c r="O1166" i="13"/>
  <c r="P1166" i="13"/>
  <c r="Q1166" i="13"/>
  <c r="R1166" i="13"/>
  <c r="S1166" i="13"/>
  <c r="T1166" i="13"/>
  <c r="J1167" i="13"/>
  <c r="K1167" i="13"/>
  <c r="L1167" i="13"/>
  <c r="M1167" i="13"/>
  <c r="N1167" i="13"/>
  <c r="O1167" i="13"/>
  <c r="P1167" i="13"/>
  <c r="Q1167" i="13"/>
  <c r="R1167" i="13"/>
  <c r="S1167" i="13"/>
  <c r="T1167" i="13"/>
  <c r="J1168" i="13"/>
  <c r="K1168" i="13"/>
  <c r="L1168" i="13"/>
  <c r="M1168" i="13"/>
  <c r="N1168" i="13"/>
  <c r="O1168" i="13"/>
  <c r="P1168" i="13"/>
  <c r="Q1168" i="13"/>
  <c r="R1168" i="13"/>
  <c r="S1168" i="13"/>
  <c r="T1168" i="13"/>
  <c r="J1169" i="13"/>
  <c r="K1169" i="13"/>
  <c r="L1169" i="13"/>
  <c r="M1169" i="13"/>
  <c r="N1169" i="13"/>
  <c r="O1169" i="13"/>
  <c r="P1169" i="13"/>
  <c r="Q1169" i="13"/>
  <c r="R1169" i="13"/>
  <c r="S1169" i="13"/>
  <c r="T1169" i="13"/>
  <c r="J1170" i="13"/>
  <c r="K1170" i="13"/>
  <c r="L1170" i="13"/>
  <c r="M1170" i="13"/>
  <c r="N1170" i="13"/>
  <c r="O1170" i="13"/>
  <c r="P1170" i="13"/>
  <c r="Q1170" i="13"/>
  <c r="R1170" i="13"/>
  <c r="S1170" i="13"/>
  <c r="T1170" i="13"/>
  <c r="J1171" i="13"/>
  <c r="K1171" i="13"/>
  <c r="L1171" i="13"/>
  <c r="M1171" i="13"/>
  <c r="N1171" i="13"/>
  <c r="O1171" i="13"/>
  <c r="P1171" i="13"/>
  <c r="Q1171" i="13"/>
  <c r="R1171" i="13"/>
  <c r="S1171" i="13"/>
  <c r="T1171" i="13"/>
  <c r="J1172" i="13"/>
  <c r="K1172" i="13"/>
  <c r="L1172" i="13"/>
  <c r="M1172" i="13"/>
  <c r="N1172" i="13"/>
  <c r="O1172" i="13"/>
  <c r="P1172" i="13"/>
  <c r="Q1172" i="13"/>
  <c r="R1172" i="13"/>
  <c r="S1172" i="13"/>
  <c r="T1172" i="13"/>
  <c r="J1173" i="13"/>
  <c r="K1173" i="13"/>
  <c r="L1173" i="13"/>
  <c r="M1173" i="13"/>
  <c r="N1173" i="13"/>
  <c r="O1173" i="13"/>
  <c r="P1173" i="13"/>
  <c r="Q1173" i="13"/>
  <c r="R1173" i="13"/>
  <c r="S1173" i="13"/>
  <c r="T1173" i="13"/>
  <c r="J1174" i="13"/>
  <c r="K1174" i="13"/>
  <c r="L1174" i="13"/>
  <c r="M1174" i="13"/>
  <c r="N1174" i="13"/>
  <c r="O1174" i="13"/>
  <c r="P1174" i="13"/>
  <c r="Q1174" i="13"/>
  <c r="R1174" i="13"/>
  <c r="S1174" i="13"/>
  <c r="T1174" i="13"/>
  <c r="J1175" i="13"/>
  <c r="K1175" i="13"/>
  <c r="L1175" i="13"/>
  <c r="M1175" i="13"/>
  <c r="N1175" i="13"/>
  <c r="O1175" i="13"/>
  <c r="P1175" i="13"/>
  <c r="Q1175" i="13"/>
  <c r="R1175" i="13"/>
  <c r="S1175" i="13"/>
  <c r="T1175" i="13"/>
  <c r="J1176" i="13"/>
  <c r="K1176" i="13"/>
  <c r="L1176" i="13"/>
  <c r="M1176" i="13"/>
  <c r="N1176" i="13"/>
  <c r="O1176" i="13"/>
  <c r="P1176" i="13"/>
  <c r="Q1176" i="13"/>
  <c r="R1176" i="13"/>
  <c r="S1176" i="13"/>
  <c r="T1176" i="13"/>
  <c r="J1177" i="13"/>
  <c r="K1177" i="13"/>
  <c r="L1177" i="13"/>
  <c r="M1177" i="13"/>
  <c r="N1177" i="13"/>
  <c r="O1177" i="13"/>
  <c r="P1177" i="13"/>
  <c r="Q1177" i="13"/>
  <c r="R1177" i="13"/>
  <c r="S1177" i="13"/>
  <c r="T1177" i="13"/>
  <c r="J1178" i="13"/>
  <c r="K1178" i="13"/>
  <c r="L1178" i="13"/>
  <c r="M1178" i="13"/>
  <c r="N1178" i="13"/>
  <c r="O1178" i="13"/>
  <c r="P1178" i="13"/>
  <c r="Q1178" i="13"/>
  <c r="R1178" i="13"/>
  <c r="S1178" i="13"/>
  <c r="T1178" i="13"/>
  <c r="J1179" i="13"/>
  <c r="K1179" i="13"/>
  <c r="L1179" i="13"/>
  <c r="M1179" i="13"/>
  <c r="N1179" i="13"/>
  <c r="O1179" i="13"/>
  <c r="P1179" i="13"/>
  <c r="Q1179" i="13"/>
  <c r="R1179" i="13"/>
  <c r="S1179" i="13"/>
  <c r="T1179" i="13"/>
  <c r="J1180" i="13"/>
  <c r="K1180" i="13"/>
  <c r="L1180" i="13"/>
  <c r="M1180" i="13"/>
  <c r="N1180" i="13"/>
  <c r="O1180" i="13"/>
  <c r="P1180" i="13"/>
  <c r="Q1180" i="13"/>
  <c r="R1180" i="13"/>
  <c r="S1180" i="13"/>
  <c r="T1180" i="13"/>
  <c r="J1181" i="13"/>
  <c r="K1181" i="13"/>
  <c r="L1181" i="13"/>
  <c r="M1181" i="13"/>
  <c r="N1181" i="13"/>
  <c r="O1181" i="13"/>
  <c r="P1181" i="13"/>
  <c r="Q1181" i="13"/>
  <c r="R1181" i="13"/>
  <c r="S1181" i="13"/>
  <c r="T1181" i="13"/>
  <c r="J1182" i="13"/>
  <c r="K1182" i="13"/>
  <c r="L1182" i="13"/>
  <c r="M1182" i="13"/>
  <c r="N1182" i="13"/>
  <c r="O1182" i="13"/>
  <c r="P1182" i="13"/>
  <c r="Q1182" i="13"/>
  <c r="R1182" i="13"/>
  <c r="S1182" i="13"/>
  <c r="T1182" i="13"/>
  <c r="J1183" i="13"/>
  <c r="K1183" i="13"/>
  <c r="L1183" i="13"/>
  <c r="M1183" i="13"/>
  <c r="N1183" i="13"/>
  <c r="O1183" i="13"/>
  <c r="P1183" i="13"/>
  <c r="Q1183" i="13"/>
  <c r="R1183" i="13"/>
  <c r="S1183" i="13"/>
  <c r="T1183" i="13"/>
  <c r="J1184" i="13"/>
  <c r="K1184" i="13"/>
  <c r="L1184" i="13"/>
  <c r="M1184" i="13"/>
  <c r="N1184" i="13"/>
  <c r="O1184" i="13"/>
  <c r="P1184" i="13"/>
  <c r="Q1184" i="13"/>
  <c r="R1184" i="13"/>
  <c r="S1184" i="13"/>
  <c r="T1184" i="13"/>
  <c r="J1185" i="13"/>
  <c r="K1185" i="13"/>
  <c r="L1185" i="13"/>
  <c r="M1185" i="13"/>
  <c r="N1185" i="13"/>
  <c r="O1185" i="13"/>
  <c r="P1185" i="13"/>
  <c r="Q1185" i="13"/>
  <c r="R1185" i="13"/>
  <c r="S1185" i="13"/>
  <c r="T1185" i="13"/>
  <c r="J1186" i="13"/>
  <c r="K1186" i="13"/>
  <c r="L1186" i="13"/>
  <c r="M1186" i="13"/>
  <c r="N1186" i="13"/>
  <c r="O1186" i="13"/>
  <c r="P1186" i="13"/>
  <c r="Q1186" i="13"/>
  <c r="R1186" i="13"/>
  <c r="S1186" i="13"/>
  <c r="T1186" i="13"/>
  <c r="J1187" i="13"/>
  <c r="K1187" i="13"/>
  <c r="L1187" i="13"/>
  <c r="M1187" i="13"/>
  <c r="N1187" i="13"/>
  <c r="O1187" i="13"/>
  <c r="P1187" i="13"/>
  <c r="Q1187" i="13"/>
  <c r="R1187" i="13"/>
  <c r="S1187" i="13"/>
  <c r="T1187" i="13"/>
  <c r="J1188" i="13"/>
  <c r="K1188" i="13"/>
  <c r="L1188" i="13"/>
  <c r="M1188" i="13"/>
  <c r="N1188" i="13"/>
  <c r="O1188" i="13"/>
  <c r="P1188" i="13"/>
  <c r="Q1188" i="13"/>
  <c r="R1188" i="13"/>
  <c r="S1188" i="13"/>
  <c r="T1188" i="13"/>
  <c r="J1189" i="13"/>
  <c r="K1189" i="13"/>
  <c r="L1189" i="13"/>
  <c r="M1189" i="13"/>
  <c r="N1189" i="13"/>
  <c r="O1189" i="13"/>
  <c r="P1189" i="13"/>
  <c r="Q1189" i="13"/>
  <c r="R1189" i="13"/>
  <c r="S1189" i="13"/>
  <c r="T1189" i="13"/>
  <c r="J1190" i="13"/>
  <c r="K1190" i="13"/>
  <c r="L1190" i="13"/>
  <c r="M1190" i="13"/>
  <c r="N1190" i="13"/>
  <c r="O1190" i="13"/>
  <c r="P1190" i="13"/>
  <c r="Q1190" i="13"/>
  <c r="R1190" i="13"/>
  <c r="S1190" i="13"/>
  <c r="T1190" i="13"/>
  <c r="J1191" i="13"/>
  <c r="K1191" i="13"/>
  <c r="L1191" i="13"/>
  <c r="M1191" i="13"/>
  <c r="N1191" i="13"/>
  <c r="O1191" i="13"/>
  <c r="P1191" i="13"/>
  <c r="Q1191" i="13"/>
  <c r="R1191" i="13"/>
  <c r="S1191" i="13"/>
  <c r="T1191" i="13"/>
  <c r="J1192" i="13"/>
  <c r="K1192" i="13"/>
  <c r="L1192" i="13"/>
  <c r="M1192" i="13"/>
  <c r="N1192" i="13"/>
  <c r="O1192" i="13"/>
  <c r="P1192" i="13"/>
  <c r="Q1192" i="13"/>
  <c r="R1192" i="13"/>
  <c r="S1192" i="13"/>
  <c r="T1192" i="13"/>
  <c r="J1193" i="13"/>
  <c r="K1193" i="13"/>
  <c r="L1193" i="13"/>
  <c r="M1193" i="13"/>
  <c r="N1193" i="13"/>
  <c r="O1193" i="13"/>
  <c r="P1193" i="13"/>
  <c r="Q1193" i="13"/>
  <c r="R1193" i="13"/>
  <c r="S1193" i="13"/>
  <c r="T1193" i="13"/>
  <c r="J1194" i="13"/>
  <c r="K1194" i="13"/>
  <c r="L1194" i="13"/>
  <c r="M1194" i="13"/>
  <c r="N1194" i="13"/>
  <c r="O1194" i="13"/>
  <c r="P1194" i="13"/>
  <c r="Q1194" i="13"/>
  <c r="R1194" i="13"/>
  <c r="S1194" i="13"/>
  <c r="T1194" i="13"/>
  <c r="J1195" i="13"/>
  <c r="K1195" i="13"/>
  <c r="L1195" i="13"/>
  <c r="M1195" i="13"/>
  <c r="N1195" i="13"/>
  <c r="O1195" i="13"/>
  <c r="P1195" i="13"/>
  <c r="Q1195" i="13"/>
  <c r="R1195" i="13"/>
  <c r="S1195" i="13"/>
  <c r="T1195" i="13"/>
  <c r="J1196" i="13"/>
  <c r="K1196" i="13"/>
  <c r="L1196" i="13"/>
  <c r="M1196" i="13"/>
  <c r="N1196" i="13"/>
  <c r="O1196" i="13"/>
  <c r="P1196" i="13"/>
  <c r="Q1196" i="13"/>
  <c r="R1196" i="13"/>
  <c r="S1196" i="13"/>
  <c r="T1196" i="13"/>
  <c r="J1197" i="13"/>
  <c r="K1197" i="13"/>
  <c r="L1197" i="13"/>
  <c r="M1197" i="13"/>
  <c r="N1197" i="13"/>
  <c r="O1197" i="13"/>
  <c r="P1197" i="13"/>
  <c r="Q1197" i="13"/>
  <c r="R1197" i="13"/>
  <c r="S1197" i="13"/>
  <c r="T1197" i="13"/>
  <c r="J1198" i="13"/>
  <c r="K1198" i="13"/>
  <c r="L1198" i="13"/>
  <c r="M1198" i="13"/>
  <c r="N1198" i="13"/>
  <c r="O1198" i="13"/>
  <c r="P1198" i="13"/>
  <c r="Q1198" i="13"/>
  <c r="R1198" i="13"/>
  <c r="S1198" i="13"/>
  <c r="T1198" i="13"/>
  <c r="J1199" i="13"/>
  <c r="K1199" i="13"/>
  <c r="L1199" i="13"/>
  <c r="M1199" i="13"/>
  <c r="N1199" i="13"/>
  <c r="O1199" i="13"/>
  <c r="P1199" i="13"/>
  <c r="Q1199" i="13"/>
  <c r="R1199" i="13"/>
  <c r="S1199" i="13"/>
  <c r="T1199" i="13"/>
  <c r="J1200" i="13"/>
  <c r="K1200" i="13"/>
  <c r="L1200" i="13"/>
  <c r="M1200" i="13"/>
  <c r="N1200" i="13"/>
  <c r="O1200" i="13"/>
  <c r="P1200" i="13"/>
  <c r="Q1200" i="13"/>
  <c r="R1200" i="13"/>
  <c r="S1200" i="13"/>
  <c r="T1200" i="13"/>
  <c r="J1201" i="13"/>
  <c r="K1201" i="13"/>
  <c r="L1201" i="13"/>
  <c r="M1201" i="13"/>
  <c r="N1201" i="13"/>
  <c r="O1201" i="13"/>
  <c r="P1201" i="13"/>
  <c r="Q1201" i="13"/>
  <c r="R1201" i="13"/>
  <c r="S1201" i="13"/>
  <c r="T1201" i="13"/>
  <c r="J1202" i="13"/>
  <c r="K1202" i="13"/>
  <c r="L1202" i="13"/>
  <c r="M1202" i="13"/>
  <c r="N1202" i="13"/>
  <c r="O1202" i="13"/>
  <c r="P1202" i="13"/>
  <c r="Q1202" i="13"/>
  <c r="R1202" i="13"/>
  <c r="S1202" i="13"/>
  <c r="T1202" i="13"/>
  <c r="J1203" i="13"/>
  <c r="K1203" i="13"/>
  <c r="L1203" i="13"/>
  <c r="M1203" i="13"/>
  <c r="N1203" i="13"/>
  <c r="O1203" i="13"/>
  <c r="P1203" i="13"/>
  <c r="Q1203" i="13"/>
  <c r="R1203" i="13"/>
  <c r="S1203" i="13"/>
  <c r="T1203" i="13"/>
  <c r="J1204" i="13"/>
  <c r="K1204" i="13"/>
  <c r="L1204" i="13"/>
  <c r="M1204" i="13"/>
  <c r="N1204" i="13"/>
  <c r="O1204" i="13"/>
  <c r="P1204" i="13"/>
  <c r="Q1204" i="13"/>
  <c r="R1204" i="13"/>
  <c r="S1204" i="13"/>
  <c r="T1204" i="13"/>
  <c r="J1205" i="13"/>
  <c r="K1205" i="13"/>
  <c r="L1205" i="13"/>
  <c r="M1205" i="13"/>
  <c r="N1205" i="13"/>
  <c r="O1205" i="13"/>
  <c r="P1205" i="13"/>
  <c r="Q1205" i="13"/>
  <c r="R1205" i="13"/>
  <c r="S1205" i="13"/>
  <c r="T1205" i="13"/>
  <c r="J1206" i="13"/>
  <c r="K1206" i="13"/>
  <c r="L1206" i="13"/>
  <c r="M1206" i="13"/>
  <c r="N1206" i="13"/>
  <c r="O1206" i="13"/>
  <c r="P1206" i="13"/>
  <c r="Q1206" i="13"/>
  <c r="R1206" i="13"/>
  <c r="S1206" i="13"/>
  <c r="T1206" i="13"/>
  <c r="J1207" i="13"/>
  <c r="K1207" i="13"/>
  <c r="L1207" i="13"/>
  <c r="M1207" i="13"/>
  <c r="N1207" i="13"/>
  <c r="O1207" i="13"/>
  <c r="P1207" i="13"/>
  <c r="Q1207" i="13"/>
  <c r="R1207" i="13"/>
  <c r="S1207" i="13"/>
  <c r="T1207" i="13"/>
  <c r="J1208" i="13"/>
  <c r="K1208" i="13"/>
  <c r="L1208" i="13"/>
  <c r="M1208" i="13"/>
  <c r="N1208" i="13"/>
  <c r="O1208" i="13"/>
  <c r="P1208" i="13"/>
  <c r="Q1208" i="13"/>
  <c r="R1208" i="13"/>
  <c r="S1208" i="13"/>
  <c r="T1208" i="13"/>
  <c r="J1209" i="13"/>
  <c r="K1209" i="13"/>
  <c r="L1209" i="13"/>
  <c r="M1209" i="13"/>
  <c r="N1209" i="13"/>
  <c r="O1209" i="13"/>
  <c r="P1209" i="13"/>
  <c r="Q1209" i="13"/>
  <c r="R1209" i="13"/>
  <c r="S1209" i="13"/>
  <c r="T1209" i="13"/>
  <c r="J1210" i="13"/>
  <c r="K1210" i="13"/>
  <c r="L1210" i="13"/>
  <c r="M1210" i="13"/>
  <c r="N1210" i="13"/>
  <c r="O1210" i="13"/>
  <c r="P1210" i="13"/>
  <c r="Q1210" i="13"/>
  <c r="R1210" i="13"/>
  <c r="S1210" i="13"/>
  <c r="T1210" i="13"/>
  <c r="J1211" i="13"/>
  <c r="K1211" i="13"/>
  <c r="L1211" i="13"/>
  <c r="M1211" i="13"/>
  <c r="N1211" i="13"/>
  <c r="O1211" i="13"/>
  <c r="P1211" i="13"/>
  <c r="Q1211" i="13"/>
  <c r="R1211" i="13"/>
  <c r="S1211" i="13"/>
  <c r="T1211" i="13"/>
  <c r="J1212" i="13"/>
  <c r="K1212" i="13"/>
  <c r="L1212" i="13"/>
  <c r="M1212" i="13"/>
  <c r="N1212" i="13"/>
  <c r="O1212" i="13"/>
  <c r="P1212" i="13"/>
  <c r="Q1212" i="13"/>
  <c r="R1212" i="13"/>
  <c r="S1212" i="13"/>
  <c r="T1212" i="13"/>
  <c r="J1213" i="13"/>
  <c r="K1213" i="13"/>
  <c r="L1213" i="13"/>
  <c r="M1213" i="13"/>
  <c r="N1213" i="13"/>
  <c r="O1213" i="13"/>
  <c r="P1213" i="13"/>
  <c r="Q1213" i="13"/>
  <c r="R1213" i="13"/>
  <c r="S1213" i="13"/>
  <c r="T1213" i="13"/>
  <c r="J1214" i="13"/>
  <c r="K1214" i="13"/>
  <c r="L1214" i="13"/>
  <c r="M1214" i="13"/>
  <c r="N1214" i="13"/>
  <c r="O1214" i="13"/>
  <c r="P1214" i="13"/>
  <c r="Q1214" i="13"/>
  <c r="R1214" i="13"/>
  <c r="S1214" i="13"/>
  <c r="T1214" i="13"/>
  <c r="J1215" i="13"/>
  <c r="K1215" i="13"/>
  <c r="L1215" i="13"/>
  <c r="M1215" i="13"/>
  <c r="N1215" i="13"/>
  <c r="O1215" i="13"/>
  <c r="P1215" i="13"/>
  <c r="Q1215" i="13"/>
  <c r="R1215" i="13"/>
  <c r="S1215" i="13"/>
  <c r="T1215" i="13"/>
  <c r="J1216" i="13"/>
  <c r="K1216" i="13"/>
  <c r="L1216" i="13"/>
  <c r="M1216" i="13"/>
  <c r="N1216" i="13"/>
  <c r="O1216" i="13"/>
  <c r="P1216" i="13"/>
  <c r="Q1216" i="13"/>
  <c r="R1216" i="13"/>
  <c r="S1216" i="13"/>
  <c r="T1216" i="13"/>
  <c r="J1217" i="13"/>
  <c r="K1217" i="13"/>
  <c r="L1217" i="13"/>
  <c r="M1217" i="13"/>
  <c r="N1217" i="13"/>
  <c r="O1217" i="13"/>
  <c r="P1217" i="13"/>
  <c r="Q1217" i="13"/>
  <c r="R1217" i="13"/>
  <c r="S1217" i="13"/>
  <c r="T1217" i="13"/>
  <c r="J1218" i="13"/>
  <c r="K1218" i="13"/>
  <c r="L1218" i="13"/>
  <c r="M1218" i="13"/>
  <c r="N1218" i="13"/>
  <c r="O1218" i="13"/>
  <c r="P1218" i="13"/>
  <c r="Q1218" i="13"/>
  <c r="R1218" i="13"/>
  <c r="S1218" i="13"/>
  <c r="T1218" i="13"/>
  <c r="J1219" i="13"/>
  <c r="K1219" i="13"/>
  <c r="L1219" i="13"/>
  <c r="M1219" i="13"/>
  <c r="N1219" i="13"/>
  <c r="O1219" i="13"/>
  <c r="P1219" i="13"/>
  <c r="Q1219" i="13"/>
  <c r="R1219" i="13"/>
  <c r="S1219" i="13"/>
  <c r="T1219" i="13"/>
  <c r="J1220" i="13"/>
  <c r="K1220" i="13"/>
  <c r="L1220" i="13"/>
  <c r="M1220" i="13"/>
  <c r="N1220" i="13"/>
  <c r="O1220" i="13"/>
  <c r="P1220" i="13"/>
  <c r="Q1220" i="13"/>
  <c r="R1220" i="13"/>
  <c r="S1220" i="13"/>
  <c r="T1220" i="13"/>
  <c r="J1221" i="13"/>
  <c r="K1221" i="13"/>
  <c r="L1221" i="13"/>
  <c r="M1221" i="13"/>
  <c r="N1221" i="13"/>
  <c r="O1221" i="13"/>
  <c r="P1221" i="13"/>
  <c r="Q1221" i="13"/>
  <c r="R1221" i="13"/>
  <c r="S1221" i="13"/>
  <c r="T1221" i="13"/>
  <c r="J1222" i="13"/>
  <c r="K1222" i="13"/>
  <c r="L1222" i="13"/>
  <c r="M1222" i="13"/>
  <c r="N1222" i="13"/>
  <c r="O1222" i="13"/>
  <c r="P1222" i="13"/>
  <c r="Q1222" i="13"/>
  <c r="R1222" i="13"/>
  <c r="S1222" i="13"/>
  <c r="T1222" i="13"/>
  <c r="J1223" i="13"/>
  <c r="K1223" i="13"/>
  <c r="L1223" i="13"/>
  <c r="M1223" i="13"/>
  <c r="N1223" i="13"/>
  <c r="O1223" i="13"/>
  <c r="P1223" i="13"/>
  <c r="Q1223" i="13"/>
  <c r="R1223" i="13"/>
  <c r="S1223" i="13"/>
  <c r="T1223" i="13"/>
  <c r="J1224" i="13"/>
  <c r="K1224" i="13"/>
  <c r="L1224" i="13"/>
  <c r="M1224" i="13"/>
  <c r="N1224" i="13"/>
  <c r="O1224" i="13"/>
  <c r="P1224" i="13"/>
  <c r="Q1224" i="13"/>
  <c r="R1224" i="13"/>
  <c r="S1224" i="13"/>
  <c r="T1224" i="13"/>
  <c r="J1225" i="13"/>
  <c r="K1225" i="13"/>
  <c r="L1225" i="13"/>
  <c r="M1225" i="13"/>
  <c r="N1225" i="13"/>
  <c r="O1225" i="13"/>
  <c r="P1225" i="13"/>
  <c r="Q1225" i="13"/>
  <c r="R1225" i="13"/>
  <c r="S1225" i="13"/>
  <c r="T1225" i="13"/>
  <c r="J1226" i="13"/>
  <c r="K1226" i="13"/>
  <c r="L1226" i="13"/>
  <c r="M1226" i="13"/>
  <c r="N1226" i="13"/>
  <c r="O1226" i="13"/>
  <c r="P1226" i="13"/>
  <c r="Q1226" i="13"/>
  <c r="R1226" i="13"/>
  <c r="S1226" i="13"/>
  <c r="T1226" i="13"/>
  <c r="J1227" i="13"/>
  <c r="K1227" i="13"/>
  <c r="L1227" i="13"/>
  <c r="M1227" i="13"/>
  <c r="N1227" i="13"/>
  <c r="O1227" i="13"/>
  <c r="P1227" i="13"/>
  <c r="Q1227" i="13"/>
  <c r="R1227" i="13"/>
  <c r="S1227" i="13"/>
  <c r="T1227" i="13"/>
  <c r="J1228" i="13"/>
  <c r="K1228" i="13"/>
  <c r="L1228" i="13"/>
  <c r="M1228" i="13"/>
  <c r="N1228" i="13"/>
  <c r="O1228" i="13"/>
  <c r="P1228" i="13"/>
  <c r="Q1228" i="13"/>
  <c r="R1228" i="13"/>
  <c r="S1228" i="13"/>
  <c r="T1228" i="13"/>
  <c r="J1229" i="13"/>
  <c r="K1229" i="13"/>
  <c r="L1229" i="13"/>
  <c r="M1229" i="13"/>
  <c r="N1229" i="13"/>
  <c r="O1229" i="13"/>
  <c r="P1229" i="13"/>
  <c r="Q1229" i="13"/>
  <c r="R1229" i="13"/>
  <c r="S1229" i="13"/>
  <c r="T1229" i="13"/>
  <c r="J1230" i="13"/>
  <c r="K1230" i="13"/>
  <c r="L1230" i="13"/>
  <c r="M1230" i="13"/>
  <c r="N1230" i="13"/>
  <c r="O1230" i="13"/>
  <c r="P1230" i="13"/>
  <c r="Q1230" i="13"/>
  <c r="R1230" i="13"/>
  <c r="S1230" i="13"/>
  <c r="T1230" i="13"/>
  <c r="J1231" i="13"/>
  <c r="K1231" i="13"/>
  <c r="L1231" i="13"/>
  <c r="M1231" i="13"/>
  <c r="N1231" i="13"/>
  <c r="O1231" i="13"/>
  <c r="P1231" i="13"/>
  <c r="Q1231" i="13"/>
  <c r="R1231" i="13"/>
  <c r="S1231" i="13"/>
  <c r="T1231" i="13"/>
  <c r="J1232" i="13"/>
  <c r="K1232" i="13"/>
  <c r="L1232" i="13"/>
  <c r="M1232" i="13"/>
  <c r="N1232" i="13"/>
  <c r="O1232" i="13"/>
  <c r="P1232" i="13"/>
  <c r="Q1232" i="13"/>
  <c r="R1232" i="13"/>
  <c r="S1232" i="13"/>
  <c r="T1232" i="13"/>
  <c r="J1233" i="13"/>
  <c r="K1233" i="13"/>
  <c r="L1233" i="13"/>
  <c r="M1233" i="13"/>
  <c r="N1233" i="13"/>
  <c r="O1233" i="13"/>
  <c r="P1233" i="13"/>
  <c r="Q1233" i="13"/>
  <c r="R1233" i="13"/>
  <c r="S1233" i="13"/>
  <c r="T1233" i="13"/>
  <c r="J1234" i="13"/>
  <c r="K1234" i="13"/>
  <c r="L1234" i="13"/>
  <c r="M1234" i="13"/>
  <c r="N1234" i="13"/>
  <c r="O1234" i="13"/>
  <c r="P1234" i="13"/>
  <c r="Q1234" i="13"/>
  <c r="R1234" i="13"/>
  <c r="S1234" i="13"/>
  <c r="T1234" i="13"/>
  <c r="J1235" i="13"/>
  <c r="K1235" i="13"/>
  <c r="L1235" i="13"/>
  <c r="M1235" i="13"/>
  <c r="N1235" i="13"/>
  <c r="O1235" i="13"/>
  <c r="P1235" i="13"/>
  <c r="Q1235" i="13"/>
  <c r="R1235" i="13"/>
  <c r="S1235" i="13"/>
  <c r="T1235" i="13"/>
  <c r="J1236" i="13"/>
  <c r="K1236" i="13"/>
  <c r="L1236" i="13"/>
  <c r="M1236" i="13"/>
  <c r="N1236" i="13"/>
  <c r="O1236" i="13"/>
  <c r="P1236" i="13"/>
  <c r="Q1236" i="13"/>
  <c r="R1236" i="13"/>
  <c r="S1236" i="13"/>
  <c r="T1236" i="13"/>
  <c r="J1237" i="13"/>
  <c r="K1237" i="13"/>
  <c r="L1237" i="13"/>
  <c r="M1237" i="13"/>
  <c r="N1237" i="13"/>
  <c r="O1237" i="13"/>
  <c r="P1237" i="13"/>
  <c r="Q1237" i="13"/>
  <c r="R1237" i="13"/>
  <c r="S1237" i="13"/>
  <c r="T1237" i="13"/>
  <c r="J1238" i="13"/>
  <c r="K1238" i="13"/>
  <c r="L1238" i="13"/>
  <c r="M1238" i="13"/>
  <c r="N1238" i="13"/>
  <c r="O1238" i="13"/>
  <c r="P1238" i="13"/>
  <c r="Q1238" i="13"/>
  <c r="R1238" i="13"/>
  <c r="S1238" i="13"/>
  <c r="T1238" i="13"/>
  <c r="J1239" i="13"/>
  <c r="K1239" i="13"/>
  <c r="L1239" i="13"/>
  <c r="M1239" i="13"/>
  <c r="N1239" i="13"/>
  <c r="O1239" i="13"/>
  <c r="P1239" i="13"/>
  <c r="Q1239" i="13"/>
  <c r="R1239" i="13"/>
  <c r="S1239" i="13"/>
  <c r="T1239" i="13"/>
  <c r="J1240" i="13"/>
  <c r="K1240" i="13"/>
  <c r="L1240" i="13"/>
  <c r="M1240" i="13"/>
  <c r="N1240" i="13"/>
  <c r="O1240" i="13"/>
  <c r="P1240" i="13"/>
  <c r="Q1240" i="13"/>
  <c r="R1240" i="13"/>
  <c r="S1240" i="13"/>
  <c r="T1240" i="13"/>
  <c r="J1241" i="13"/>
  <c r="K1241" i="13"/>
  <c r="L1241" i="13"/>
  <c r="M1241" i="13"/>
  <c r="N1241" i="13"/>
  <c r="O1241" i="13"/>
  <c r="P1241" i="13"/>
  <c r="Q1241" i="13"/>
  <c r="R1241" i="13"/>
  <c r="S1241" i="13"/>
  <c r="T1241" i="13"/>
  <c r="J1242" i="13"/>
  <c r="K1242" i="13"/>
  <c r="L1242" i="13"/>
  <c r="M1242" i="13"/>
  <c r="N1242" i="13"/>
  <c r="O1242" i="13"/>
  <c r="P1242" i="13"/>
  <c r="Q1242" i="13"/>
  <c r="R1242" i="13"/>
  <c r="S1242" i="13"/>
  <c r="T1242" i="13"/>
  <c r="J1243" i="13"/>
  <c r="K1243" i="13"/>
  <c r="L1243" i="13"/>
  <c r="M1243" i="13"/>
  <c r="N1243" i="13"/>
  <c r="O1243" i="13"/>
  <c r="P1243" i="13"/>
  <c r="Q1243" i="13"/>
  <c r="R1243" i="13"/>
  <c r="S1243" i="13"/>
  <c r="T1243" i="13"/>
  <c r="J1244" i="13"/>
  <c r="K1244" i="13"/>
  <c r="L1244" i="13"/>
  <c r="M1244" i="13"/>
  <c r="N1244" i="13"/>
  <c r="O1244" i="13"/>
  <c r="P1244" i="13"/>
  <c r="Q1244" i="13"/>
  <c r="R1244" i="13"/>
  <c r="S1244" i="13"/>
  <c r="T1244" i="13"/>
  <c r="J4" i="13"/>
  <c r="K4" i="13"/>
  <c r="L4" i="13"/>
  <c r="M4" i="13"/>
  <c r="N4" i="13"/>
  <c r="O4" i="13"/>
  <c r="P4" i="13"/>
  <c r="Q4" i="13"/>
  <c r="R4" i="13"/>
  <c r="S4" i="13"/>
  <c r="T4" i="13"/>
  <c r="A111" i="12"/>
  <c r="B111" i="12"/>
  <c r="C111" i="12"/>
  <c r="D111" i="12"/>
  <c r="E111" i="12"/>
  <c r="F111" i="12"/>
  <c r="G111" i="12"/>
  <c r="H111" i="12"/>
  <c r="I111" i="12"/>
  <c r="J111" i="12"/>
  <c r="K111" i="12"/>
  <c r="L111" i="12"/>
  <c r="M111" i="12"/>
  <c r="N111" i="12"/>
  <c r="A112" i="12"/>
  <c r="B112" i="12"/>
  <c r="C112" i="12"/>
  <c r="D112" i="12"/>
  <c r="E112" i="12"/>
  <c r="F112" i="12"/>
  <c r="G112" i="12"/>
  <c r="H112" i="12"/>
  <c r="I112" i="12"/>
  <c r="J112" i="12"/>
  <c r="K112" i="12"/>
  <c r="L112" i="12"/>
  <c r="M112" i="12"/>
  <c r="N112" i="12"/>
  <c r="A113" i="12"/>
  <c r="B113" i="12"/>
  <c r="C113" i="12"/>
  <c r="D113" i="12"/>
  <c r="E113" i="12"/>
  <c r="F113" i="12"/>
  <c r="G113" i="12"/>
  <c r="H113" i="12"/>
  <c r="I113" i="12"/>
  <c r="J113" i="12"/>
  <c r="K113" i="12"/>
  <c r="L113" i="12"/>
  <c r="M113" i="12"/>
  <c r="N113" i="12"/>
  <c r="A114" i="12"/>
  <c r="B114" i="12"/>
  <c r="C114" i="12"/>
  <c r="D114" i="12"/>
  <c r="E114" i="12"/>
  <c r="F114" i="12"/>
  <c r="G114" i="12"/>
  <c r="H114" i="12"/>
  <c r="I114" i="12"/>
  <c r="J114" i="12"/>
  <c r="K114" i="12"/>
  <c r="L114" i="12"/>
  <c r="M114" i="12"/>
  <c r="N114" i="12"/>
  <c r="A115" i="12"/>
  <c r="B115" i="12"/>
  <c r="C115" i="12"/>
  <c r="D115" i="12"/>
  <c r="E115" i="12"/>
  <c r="F115" i="12"/>
  <c r="G115" i="12"/>
  <c r="H115" i="12"/>
  <c r="I115" i="12"/>
  <c r="J115" i="12"/>
  <c r="K115" i="12"/>
  <c r="L115" i="12"/>
  <c r="M115" i="12"/>
  <c r="N115" i="12"/>
  <c r="A116" i="12"/>
  <c r="B116" i="12"/>
  <c r="C116" i="12"/>
  <c r="D116" i="12"/>
  <c r="E116" i="12"/>
  <c r="F116" i="12"/>
  <c r="G116" i="12"/>
  <c r="H116" i="12"/>
  <c r="I116" i="12"/>
  <c r="J116" i="12"/>
  <c r="K116" i="12"/>
  <c r="L116" i="12"/>
  <c r="M116" i="12"/>
  <c r="N116" i="12"/>
  <c r="A117" i="12"/>
  <c r="B117" i="12"/>
  <c r="C117" i="12"/>
  <c r="D117" i="12"/>
  <c r="E117" i="12"/>
  <c r="F117" i="12"/>
  <c r="G117" i="12"/>
  <c r="H117" i="12"/>
  <c r="I117" i="12"/>
  <c r="J117" i="12"/>
  <c r="K117" i="12"/>
  <c r="L117" i="12"/>
  <c r="M117" i="12"/>
  <c r="N117" i="12"/>
  <c r="A118" i="12"/>
  <c r="B118" i="12"/>
  <c r="C118" i="12"/>
  <c r="D118" i="12"/>
  <c r="E118" i="12"/>
  <c r="F118" i="12"/>
  <c r="G118" i="12"/>
  <c r="H118" i="12"/>
  <c r="I118" i="12"/>
  <c r="J118" i="12"/>
  <c r="K118" i="12"/>
  <c r="L118" i="12"/>
  <c r="M118" i="12"/>
  <c r="N118" i="12"/>
  <c r="A119" i="12"/>
  <c r="B119" i="12"/>
  <c r="C119" i="12"/>
  <c r="D119" i="12"/>
  <c r="E119" i="12"/>
  <c r="F119" i="12"/>
  <c r="G119" i="12"/>
  <c r="H119" i="12"/>
  <c r="I119" i="12"/>
  <c r="J119" i="12"/>
  <c r="K119" i="12"/>
  <c r="L119" i="12"/>
  <c r="M119" i="12"/>
  <c r="N119" i="12"/>
  <c r="A120" i="12"/>
  <c r="B120" i="12"/>
  <c r="C120" i="12"/>
  <c r="D120" i="12"/>
  <c r="E120" i="12"/>
  <c r="F120" i="12"/>
  <c r="G120" i="12"/>
  <c r="H120" i="12"/>
  <c r="I120" i="12"/>
  <c r="J120" i="12"/>
  <c r="K120" i="12"/>
  <c r="L120" i="12"/>
  <c r="M120" i="12"/>
  <c r="N120" i="12"/>
  <c r="A121" i="12"/>
  <c r="B121" i="12"/>
  <c r="C121" i="12"/>
  <c r="D121" i="12"/>
  <c r="E121" i="12"/>
  <c r="F121" i="12"/>
  <c r="G121" i="12"/>
  <c r="H121" i="12"/>
  <c r="I121" i="12"/>
  <c r="J121" i="12"/>
  <c r="K121" i="12"/>
  <c r="L121" i="12"/>
  <c r="M121" i="12"/>
  <c r="N121" i="12"/>
  <c r="A122" i="12"/>
  <c r="B122" i="12"/>
  <c r="C122" i="12"/>
  <c r="D122" i="12"/>
  <c r="E122" i="12"/>
  <c r="F122" i="12"/>
  <c r="G122" i="12"/>
  <c r="H122" i="12"/>
  <c r="I122" i="12"/>
  <c r="J122" i="12"/>
  <c r="K122" i="12"/>
  <c r="L122" i="12"/>
  <c r="M122" i="12"/>
  <c r="N122" i="12"/>
  <c r="A123" i="12"/>
  <c r="B123" i="12"/>
  <c r="C123" i="12"/>
  <c r="D123" i="12"/>
  <c r="A124" i="12"/>
  <c r="B124" i="12"/>
  <c r="C124" i="12"/>
  <c r="D124" i="12"/>
  <c r="E124" i="12"/>
  <c r="F124" i="12"/>
  <c r="G124" i="12"/>
  <c r="H124" i="12"/>
  <c r="I124" i="12"/>
  <c r="J124" i="12"/>
  <c r="K124" i="12"/>
  <c r="L124" i="12"/>
  <c r="M124" i="12"/>
  <c r="N124" i="12"/>
  <c r="A125" i="12"/>
  <c r="B125" i="12"/>
  <c r="C125" i="12"/>
  <c r="D125" i="12"/>
  <c r="E125" i="12"/>
  <c r="F125" i="12"/>
  <c r="G125" i="12"/>
  <c r="H125" i="12"/>
  <c r="I125" i="12"/>
  <c r="J125" i="12"/>
  <c r="K125" i="12"/>
  <c r="L125" i="12"/>
  <c r="M125" i="12"/>
  <c r="N125" i="12"/>
  <c r="A126" i="12"/>
  <c r="B126" i="12"/>
  <c r="C126" i="12"/>
  <c r="D126" i="12"/>
  <c r="E126" i="12"/>
  <c r="F126" i="12"/>
  <c r="G126" i="12"/>
  <c r="H126" i="12"/>
  <c r="I126" i="12"/>
  <c r="J126" i="12"/>
  <c r="K126" i="12"/>
  <c r="L126" i="12"/>
  <c r="M126" i="12"/>
  <c r="N126" i="12"/>
  <c r="A127" i="12"/>
  <c r="B127" i="12"/>
  <c r="C127" i="12"/>
  <c r="D127" i="12"/>
  <c r="E127" i="12"/>
  <c r="F127" i="12"/>
  <c r="G127" i="12"/>
  <c r="H127" i="12"/>
  <c r="I127" i="12"/>
  <c r="J127" i="12"/>
  <c r="K127" i="12"/>
  <c r="L127" i="12"/>
  <c r="M127" i="12"/>
  <c r="N127" i="12"/>
  <c r="A128" i="12"/>
  <c r="B128" i="12"/>
  <c r="C128" i="12"/>
  <c r="D128" i="12"/>
  <c r="E128" i="12"/>
  <c r="F128" i="12"/>
  <c r="G128" i="12"/>
  <c r="H128" i="12"/>
  <c r="I128" i="12"/>
  <c r="J128" i="12"/>
  <c r="K128" i="12"/>
  <c r="L128" i="12"/>
  <c r="M128" i="12"/>
  <c r="N128" i="12"/>
  <c r="A129" i="12"/>
  <c r="B129" i="12"/>
  <c r="C129" i="12"/>
  <c r="D129" i="12"/>
  <c r="E129" i="12"/>
  <c r="F129" i="12"/>
  <c r="G129" i="12"/>
  <c r="H129" i="12"/>
  <c r="I129" i="12"/>
  <c r="J129" i="12"/>
  <c r="K129" i="12"/>
  <c r="L129" i="12"/>
  <c r="M129" i="12"/>
  <c r="N129" i="12"/>
  <c r="A130" i="12"/>
  <c r="B130" i="12"/>
  <c r="C130" i="12"/>
  <c r="D130" i="12"/>
  <c r="E130" i="12"/>
  <c r="F130" i="12"/>
  <c r="G130" i="12"/>
  <c r="H130" i="12"/>
  <c r="I130" i="12"/>
  <c r="J130" i="12"/>
  <c r="K130" i="12"/>
  <c r="L130" i="12"/>
  <c r="M130" i="12"/>
  <c r="N130" i="12"/>
  <c r="A131" i="12"/>
  <c r="B131" i="12"/>
  <c r="C131" i="12"/>
  <c r="D131" i="12"/>
  <c r="E131" i="12"/>
  <c r="F131" i="12"/>
  <c r="G131" i="12"/>
  <c r="H131" i="12"/>
  <c r="I131" i="12"/>
  <c r="J131" i="12"/>
  <c r="K131" i="12"/>
  <c r="L131" i="12"/>
  <c r="M131" i="12"/>
  <c r="N131" i="12"/>
  <c r="A132" i="12"/>
  <c r="B132" i="12"/>
  <c r="C132" i="12"/>
  <c r="D132" i="12"/>
  <c r="E132" i="12"/>
  <c r="F132" i="12"/>
  <c r="G132" i="12"/>
  <c r="H132" i="12"/>
  <c r="I132" i="12"/>
  <c r="J132" i="12"/>
  <c r="K132" i="12"/>
  <c r="L132" i="12"/>
  <c r="M132" i="12"/>
  <c r="N132" i="12"/>
  <c r="A133" i="12"/>
  <c r="B133" i="12"/>
  <c r="C133" i="12"/>
  <c r="D133" i="12"/>
  <c r="E133" i="12"/>
  <c r="F133" i="12"/>
  <c r="G133" i="12"/>
  <c r="H133" i="12"/>
  <c r="I133" i="12"/>
  <c r="J133" i="12"/>
  <c r="K133" i="12"/>
  <c r="L133" i="12"/>
  <c r="M133" i="12"/>
  <c r="N133" i="12"/>
  <c r="A134" i="12"/>
  <c r="B134" i="12"/>
  <c r="C134" i="12"/>
  <c r="D134" i="12"/>
  <c r="E134" i="12"/>
  <c r="F134" i="12"/>
  <c r="G134" i="12"/>
  <c r="H134" i="12"/>
  <c r="I134" i="12"/>
  <c r="J134" i="12"/>
  <c r="K134" i="12"/>
  <c r="L134" i="12"/>
  <c r="M134" i="12"/>
  <c r="N134" i="12"/>
  <c r="A135" i="12"/>
  <c r="B135" i="12"/>
  <c r="C135" i="12"/>
  <c r="D135" i="12"/>
  <c r="E135" i="12"/>
  <c r="F135" i="12"/>
  <c r="G135" i="12"/>
  <c r="H135" i="12"/>
  <c r="I135" i="12"/>
  <c r="J135" i="12"/>
  <c r="K135" i="12"/>
  <c r="L135" i="12"/>
  <c r="M135" i="12"/>
  <c r="N135" i="12"/>
  <c r="A136" i="12"/>
  <c r="B136" i="12"/>
  <c r="C136" i="12"/>
  <c r="D136" i="12"/>
  <c r="E136" i="12"/>
  <c r="F136" i="12"/>
  <c r="G136" i="12"/>
  <c r="H136" i="12"/>
  <c r="I136" i="12"/>
  <c r="J136" i="12"/>
  <c r="K136" i="12"/>
  <c r="L136" i="12"/>
  <c r="M136" i="12"/>
  <c r="N136" i="12"/>
  <c r="A137" i="12"/>
  <c r="B137" i="12"/>
  <c r="C137" i="12"/>
  <c r="D137" i="12"/>
  <c r="E137" i="12"/>
  <c r="F137" i="12"/>
  <c r="G137" i="12"/>
  <c r="H137" i="12"/>
  <c r="I137" i="12"/>
  <c r="J137" i="12"/>
  <c r="K137" i="12"/>
  <c r="L137" i="12"/>
  <c r="M137" i="12"/>
  <c r="N137" i="12"/>
  <c r="A138" i="12"/>
  <c r="B138" i="12"/>
  <c r="C138" i="12"/>
  <c r="D138" i="12"/>
  <c r="E138" i="12"/>
  <c r="F138" i="12"/>
  <c r="G138" i="12"/>
  <c r="H138" i="12"/>
  <c r="I138" i="12"/>
  <c r="J138" i="12"/>
  <c r="K138" i="12"/>
  <c r="L138" i="12"/>
  <c r="M138" i="12"/>
  <c r="N138" i="12"/>
  <c r="A139" i="12"/>
  <c r="B139" i="12"/>
  <c r="C139" i="12"/>
  <c r="D139" i="12"/>
  <c r="E139" i="12"/>
  <c r="F139" i="12"/>
  <c r="G139" i="12"/>
  <c r="H139" i="12"/>
  <c r="I139" i="12"/>
  <c r="J139" i="12"/>
  <c r="K139" i="12"/>
  <c r="L139" i="12"/>
  <c r="M139" i="12"/>
  <c r="N139" i="12"/>
  <c r="A140" i="12"/>
  <c r="B140" i="12"/>
  <c r="C140" i="12"/>
  <c r="D140" i="12"/>
  <c r="E140" i="12"/>
  <c r="F140" i="12"/>
  <c r="G140" i="12"/>
  <c r="H140" i="12"/>
  <c r="I140" i="12"/>
  <c r="J140" i="12"/>
  <c r="K140" i="12"/>
  <c r="L140" i="12"/>
  <c r="M140" i="12"/>
  <c r="N140" i="12"/>
  <c r="A141" i="12"/>
  <c r="B141" i="12"/>
  <c r="C141" i="12"/>
  <c r="D141" i="12"/>
  <c r="E141" i="12"/>
  <c r="F141" i="12"/>
  <c r="G141" i="12"/>
  <c r="H141" i="12"/>
  <c r="I141" i="12"/>
  <c r="J141" i="12"/>
  <c r="K141" i="12"/>
  <c r="L141" i="12"/>
  <c r="M141" i="12"/>
  <c r="N141" i="12"/>
  <c r="A142" i="12"/>
  <c r="B142" i="12"/>
  <c r="C142" i="12"/>
  <c r="D142" i="12"/>
  <c r="E142" i="12"/>
  <c r="F142" i="12"/>
  <c r="G142" i="12"/>
  <c r="H142" i="12"/>
  <c r="I142" i="12"/>
  <c r="J142" i="12"/>
  <c r="K142" i="12"/>
  <c r="L142" i="12"/>
  <c r="M142" i="12"/>
  <c r="N142" i="12"/>
  <c r="A143" i="12"/>
  <c r="B143" i="12"/>
  <c r="C143" i="12"/>
  <c r="D143" i="12"/>
  <c r="E143" i="12"/>
  <c r="F143" i="12"/>
  <c r="G143" i="12"/>
  <c r="H143" i="12"/>
  <c r="I143" i="12"/>
  <c r="J143" i="12"/>
  <c r="K143" i="12"/>
  <c r="L143" i="12"/>
  <c r="M143" i="12"/>
  <c r="N143" i="12"/>
  <c r="A144" i="12"/>
  <c r="B144" i="12"/>
  <c r="C144" i="12"/>
  <c r="D144" i="12"/>
  <c r="E144" i="12"/>
  <c r="F144" i="12"/>
  <c r="G144" i="12"/>
  <c r="H144" i="12"/>
  <c r="I144" i="12"/>
  <c r="J144" i="12"/>
  <c r="K144" i="12"/>
  <c r="L144" i="12"/>
  <c r="M144" i="12"/>
  <c r="N144" i="12"/>
  <c r="A145" i="12"/>
  <c r="B145" i="12"/>
  <c r="C145" i="12"/>
  <c r="D145" i="12"/>
  <c r="E145" i="12"/>
  <c r="F145" i="12"/>
  <c r="G145" i="12"/>
  <c r="H145" i="12"/>
  <c r="I145" i="12"/>
  <c r="J145" i="12"/>
  <c r="K145" i="12"/>
  <c r="L145" i="12"/>
  <c r="M145" i="12"/>
  <c r="N145" i="12"/>
  <c r="A146" i="12"/>
  <c r="B146" i="12"/>
  <c r="C146" i="12"/>
  <c r="D146" i="12"/>
  <c r="E146" i="12"/>
  <c r="F146" i="12"/>
  <c r="G146" i="12"/>
  <c r="H146" i="12"/>
  <c r="I146" i="12"/>
  <c r="J146" i="12"/>
  <c r="K146" i="12"/>
  <c r="L146" i="12"/>
  <c r="M146" i="12"/>
  <c r="N146" i="12"/>
  <c r="A147" i="12"/>
  <c r="B147" i="12"/>
  <c r="C147" i="12"/>
  <c r="D147" i="12"/>
  <c r="E147" i="12"/>
  <c r="F147" i="12"/>
  <c r="G147" i="12"/>
  <c r="H147" i="12"/>
  <c r="I147" i="12"/>
  <c r="J147" i="12"/>
  <c r="K147" i="12"/>
  <c r="L147" i="12"/>
  <c r="M147" i="12"/>
  <c r="N147" i="12"/>
  <c r="A148" i="12"/>
  <c r="B148" i="12"/>
  <c r="C148" i="12"/>
  <c r="D148" i="12"/>
  <c r="E148" i="12"/>
  <c r="F148" i="12"/>
  <c r="G148" i="12"/>
  <c r="H148" i="12"/>
  <c r="I148" i="12"/>
  <c r="J148" i="12"/>
  <c r="K148" i="12"/>
  <c r="L148" i="12"/>
  <c r="M148" i="12"/>
  <c r="N148" i="12"/>
  <c r="A149" i="12"/>
  <c r="B149" i="12"/>
  <c r="C149" i="12"/>
  <c r="D149" i="12"/>
  <c r="E149" i="12"/>
  <c r="F149" i="12"/>
  <c r="G149" i="12"/>
  <c r="H149" i="12"/>
  <c r="I149" i="12"/>
  <c r="J149" i="12"/>
  <c r="K149" i="12"/>
  <c r="L149" i="12"/>
  <c r="M149" i="12"/>
  <c r="N149" i="12"/>
  <c r="A150" i="12"/>
  <c r="B150" i="12"/>
  <c r="C150" i="12"/>
  <c r="D150" i="12"/>
  <c r="E150" i="12"/>
  <c r="F150" i="12"/>
  <c r="G150" i="12"/>
  <c r="H150" i="12"/>
  <c r="I150" i="12"/>
  <c r="J150" i="12"/>
  <c r="K150" i="12"/>
  <c r="L150" i="12"/>
  <c r="M150" i="12"/>
  <c r="N150" i="12"/>
  <c r="A151" i="12"/>
  <c r="B151" i="12"/>
  <c r="C151" i="12"/>
  <c r="D151" i="12"/>
  <c r="E151" i="12"/>
  <c r="F151" i="12"/>
  <c r="G151" i="12"/>
  <c r="H151" i="12"/>
  <c r="I151" i="12"/>
  <c r="J151" i="12"/>
  <c r="K151" i="12"/>
  <c r="L151" i="12"/>
  <c r="M151" i="12"/>
  <c r="N151" i="12"/>
  <c r="A152" i="12"/>
  <c r="B152" i="12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A153" i="12"/>
  <c r="B153" i="12"/>
  <c r="C153" i="12"/>
  <c r="D153" i="12"/>
  <c r="E153" i="12"/>
  <c r="F153" i="12"/>
  <c r="G153" i="12"/>
  <c r="H153" i="12"/>
  <c r="I153" i="12"/>
  <c r="J153" i="12"/>
  <c r="K153" i="12"/>
  <c r="L153" i="12"/>
  <c r="M153" i="12"/>
  <c r="N153" i="12"/>
  <c r="A154" i="12"/>
  <c r="B154" i="12"/>
  <c r="C154" i="12"/>
  <c r="D154" i="12"/>
  <c r="E154" i="12"/>
  <c r="F154" i="12"/>
  <c r="G154" i="12"/>
  <c r="H154" i="12"/>
  <c r="I154" i="12"/>
  <c r="J154" i="12"/>
  <c r="K154" i="12"/>
  <c r="L154" i="12"/>
  <c r="M154" i="12"/>
  <c r="N154" i="12"/>
  <c r="A155" i="12"/>
  <c r="B155" i="12"/>
  <c r="C155" i="12"/>
  <c r="D155" i="12"/>
  <c r="E155" i="12"/>
  <c r="F155" i="12"/>
  <c r="G155" i="12"/>
  <c r="H155" i="12"/>
  <c r="I155" i="12"/>
  <c r="J155" i="12"/>
  <c r="K155" i="12"/>
  <c r="L155" i="12"/>
  <c r="M155" i="12"/>
  <c r="N155" i="12"/>
  <c r="A156" i="12"/>
  <c r="B156" i="12"/>
  <c r="C156" i="12"/>
  <c r="D156" i="12"/>
  <c r="E156" i="12"/>
  <c r="F156" i="12"/>
  <c r="G156" i="12"/>
  <c r="H156" i="12"/>
  <c r="I156" i="12"/>
  <c r="J156" i="12"/>
  <c r="K156" i="12"/>
  <c r="L156" i="12"/>
  <c r="M156" i="12"/>
  <c r="N156" i="12"/>
  <c r="A4" i="12"/>
  <c r="B4" i="12"/>
  <c r="C4" i="12"/>
  <c r="D4" i="12"/>
  <c r="A5" i="12"/>
  <c r="B5" i="12"/>
  <c r="C5" i="12"/>
  <c r="D5" i="12"/>
  <c r="E5" i="12"/>
  <c r="F5" i="12"/>
  <c r="G5" i="12"/>
  <c r="H5" i="12"/>
  <c r="I5" i="12"/>
  <c r="J5" i="12"/>
  <c r="K5" i="12"/>
  <c r="L5" i="12"/>
  <c r="M5" i="12"/>
  <c r="N5" i="12"/>
  <c r="A6" i="12"/>
  <c r="B6" i="12"/>
  <c r="C6" i="12"/>
  <c r="D6" i="12"/>
  <c r="E6" i="12"/>
  <c r="F6" i="12"/>
  <c r="G6" i="12"/>
  <c r="H6" i="12"/>
  <c r="I6" i="12"/>
  <c r="J6" i="12"/>
  <c r="K6" i="12"/>
  <c r="L6" i="12"/>
  <c r="M6" i="12"/>
  <c r="N6" i="12"/>
  <c r="A7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A8" i="12"/>
  <c r="B8" i="12"/>
  <c r="C8" i="12"/>
  <c r="D8" i="12"/>
  <c r="E8" i="12"/>
  <c r="F8" i="12"/>
  <c r="G8" i="12"/>
  <c r="H8" i="12"/>
  <c r="I8" i="12"/>
  <c r="J8" i="12"/>
  <c r="K8" i="12"/>
  <c r="L8" i="12"/>
  <c r="M8" i="12"/>
  <c r="N8" i="12"/>
  <c r="A9" i="12"/>
  <c r="B9" i="12"/>
  <c r="C9" i="12"/>
  <c r="D9" i="12"/>
  <c r="E9" i="12"/>
  <c r="F9" i="12"/>
  <c r="G9" i="12"/>
  <c r="H9" i="12"/>
  <c r="I9" i="12"/>
  <c r="J9" i="12"/>
  <c r="K9" i="12"/>
  <c r="L9" i="12"/>
  <c r="M9" i="12"/>
  <c r="N9" i="12"/>
  <c r="A10" i="12"/>
  <c r="B10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A11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A12" i="12"/>
  <c r="B12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A13" i="12"/>
  <c r="B13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A14" i="12"/>
  <c r="B14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A15" i="12"/>
  <c r="B15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A16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A17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A18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A19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A20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A21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A22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A23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A24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A25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A26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A27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A28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A29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A30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A31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A32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A33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A34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A35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A36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A37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A38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A39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A40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A41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A42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A43" i="12"/>
  <c r="B43" i="12"/>
  <c r="C43" i="12"/>
  <c r="D43" i="12"/>
  <c r="A44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A45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A46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A47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A48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A49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A50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A51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A52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A53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A54" i="12"/>
  <c r="B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A55" i="12"/>
  <c r="B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A56" i="12"/>
  <c r="B56" i="12"/>
  <c r="C56" i="12"/>
  <c r="D56" i="12"/>
  <c r="E56" i="12"/>
  <c r="F56" i="12"/>
  <c r="G56" i="12"/>
  <c r="H56" i="12"/>
  <c r="I56" i="12"/>
  <c r="J56" i="12"/>
  <c r="K56" i="12"/>
  <c r="L56" i="12"/>
  <c r="M56" i="12"/>
  <c r="N56" i="12"/>
  <c r="A57" i="12"/>
  <c r="B57" i="12"/>
  <c r="C57" i="12"/>
  <c r="D57" i="12"/>
  <c r="E57" i="12"/>
  <c r="F57" i="12"/>
  <c r="G57" i="12"/>
  <c r="H57" i="12"/>
  <c r="I57" i="12"/>
  <c r="J57" i="12"/>
  <c r="K57" i="12"/>
  <c r="L57" i="12"/>
  <c r="M57" i="12"/>
  <c r="N57" i="12"/>
  <c r="A58" i="12"/>
  <c r="B58" i="12"/>
  <c r="C58" i="12"/>
  <c r="D58" i="12"/>
  <c r="E58" i="12"/>
  <c r="F58" i="12"/>
  <c r="G58" i="12"/>
  <c r="H58" i="12"/>
  <c r="I58" i="12"/>
  <c r="J58" i="12"/>
  <c r="K58" i="12"/>
  <c r="L58" i="12"/>
  <c r="M58" i="12"/>
  <c r="N58" i="12"/>
  <c r="A59" i="12"/>
  <c r="B59" i="12"/>
  <c r="C59" i="12"/>
  <c r="D59" i="12"/>
  <c r="E59" i="12"/>
  <c r="F59" i="12"/>
  <c r="G59" i="12"/>
  <c r="H59" i="12"/>
  <c r="I59" i="12"/>
  <c r="J59" i="12"/>
  <c r="K59" i="12"/>
  <c r="L59" i="12"/>
  <c r="M59" i="12"/>
  <c r="N59" i="12"/>
  <c r="A60" i="12"/>
  <c r="B60" i="12"/>
  <c r="C60" i="12"/>
  <c r="D60" i="12"/>
  <c r="E60" i="12"/>
  <c r="F60" i="12"/>
  <c r="G60" i="12"/>
  <c r="H60" i="12"/>
  <c r="I60" i="12"/>
  <c r="J60" i="12"/>
  <c r="K60" i="12"/>
  <c r="L60" i="12"/>
  <c r="M60" i="12"/>
  <c r="N60" i="12"/>
  <c r="A61" i="12"/>
  <c r="B61" i="12"/>
  <c r="C61" i="12"/>
  <c r="D61" i="12"/>
  <c r="E61" i="12"/>
  <c r="F61" i="12"/>
  <c r="G61" i="12"/>
  <c r="H61" i="12"/>
  <c r="I61" i="12"/>
  <c r="J61" i="12"/>
  <c r="K61" i="12"/>
  <c r="L61" i="12"/>
  <c r="M61" i="12"/>
  <c r="N61" i="12"/>
  <c r="A62" i="12"/>
  <c r="B62" i="12"/>
  <c r="C62" i="12"/>
  <c r="D62" i="12"/>
  <c r="E62" i="12"/>
  <c r="F62" i="12"/>
  <c r="G62" i="12"/>
  <c r="H62" i="12"/>
  <c r="I62" i="12"/>
  <c r="J62" i="12"/>
  <c r="K62" i="12"/>
  <c r="L62" i="12"/>
  <c r="M62" i="12"/>
  <c r="N62" i="12"/>
  <c r="A63" i="12"/>
  <c r="B63" i="12"/>
  <c r="C63" i="12"/>
  <c r="D63" i="12"/>
  <c r="E63" i="12"/>
  <c r="F63" i="12"/>
  <c r="G63" i="12"/>
  <c r="H63" i="12"/>
  <c r="I63" i="12"/>
  <c r="J63" i="12"/>
  <c r="K63" i="12"/>
  <c r="L63" i="12"/>
  <c r="M63" i="12"/>
  <c r="N63" i="12"/>
  <c r="A64" i="12"/>
  <c r="B64" i="12"/>
  <c r="C64" i="12"/>
  <c r="D64" i="12"/>
  <c r="E64" i="12"/>
  <c r="F64" i="12"/>
  <c r="G64" i="12"/>
  <c r="H64" i="12"/>
  <c r="I64" i="12"/>
  <c r="J64" i="12"/>
  <c r="K64" i="12"/>
  <c r="L64" i="12"/>
  <c r="M64" i="12"/>
  <c r="N64" i="12"/>
  <c r="A65" i="12"/>
  <c r="B65" i="12"/>
  <c r="C65" i="12"/>
  <c r="D65" i="12"/>
  <c r="E65" i="12"/>
  <c r="F65" i="12"/>
  <c r="G65" i="12"/>
  <c r="H65" i="12"/>
  <c r="I65" i="12"/>
  <c r="J65" i="12"/>
  <c r="K65" i="12"/>
  <c r="L65" i="12"/>
  <c r="M65" i="12"/>
  <c r="N65" i="12"/>
  <c r="A66" i="12"/>
  <c r="B66" i="12"/>
  <c r="C66" i="12"/>
  <c r="D66" i="12"/>
  <c r="E66" i="12"/>
  <c r="F66" i="12"/>
  <c r="G66" i="12"/>
  <c r="H66" i="12"/>
  <c r="I66" i="12"/>
  <c r="J66" i="12"/>
  <c r="K66" i="12"/>
  <c r="L66" i="12"/>
  <c r="M66" i="12"/>
  <c r="N66" i="12"/>
  <c r="A67" i="12"/>
  <c r="B67" i="12"/>
  <c r="C67" i="12"/>
  <c r="D67" i="12"/>
  <c r="E67" i="12"/>
  <c r="F67" i="12"/>
  <c r="G67" i="12"/>
  <c r="H67" i="12"/>
  <c r="I67" i="12"/>
  <c r="J67" i="12"/>
  <c r="K67" i="12"/>
  <c r="L67" i="12"/>
  <c r="M67" i="12"/>
  <c r="N67" i="12"/>
  <c r="A68" i="12"/>
  <c r="B68" i="12"/>
  <c r="C68" i="12"/>
  <c r="D68" i="12"/>
  <c r="E68" i="12"/>
  <c r="F68" i="12"/>
  <c r="G68" i="12"/>
  <c r="H68" i="12"/>
  <c r="I68" i="12"/>
  <c r="J68" i="12"/>
  <c r="K68" i="12"/>
  <c r="L68" i="12"/>
  <c r="M68" i="12"/>
  <c r="N68" i="12"/>
  <c r="A69" i="12"/>
  <c r="B69" i="12"/>
  <c r="C69" i="12"/>
  <c r="D69" i="12"/>
  <c r="E69" i="12"/>
  <c r="F69" i="12"/>
  <c r="G69" i="12"/>
  <c r="H69" i="12"/>
  <c r="I69" i="12"/>
  <c r="J69" i="12"/>
  <c r="K69" i="12"/>
  <c r="L69" i="12"/>
  <c r="M69" i="12"/>
  <c r="N69" i="12"/>
  <c r="A70" i="12"/>
  <c r="B70" i="12"/>
  <c r="C70" i="12"/>
  <c r="D70" i="12"/>
  <c r="E70" i="12"/>
  <c r="F70" i="12"/>
  <c r="G70" i="12"/>
  <c r="H70" i="12"/>
  <c r="I70" i="12"/>
  <c r="J70" i="12"/>
  <c r="K70" i="12"/>
  <c r="L70" i="12"/>
  <c r="M70" i="12"/>
  <c r="N70" i="12"/>
  <c r="A71" i="12"/>
  <c r="B71" i="12"/>
  <c r="C71" i="12"/>
  <c r="D71" i="12"/>
  <c r="E71" i="12"/>
  <c r="F71" i="12"/>
  <c r="G71" i="12"/>
  <c r="H71" i="12"/>
  <c r="I71" i="12"/>
  <c r="J71" i="12"/>
  <c r="K71" i="12"/>
  <c r="L71" i="12"/>
  <c r="M71" i="12"/>
  <c r="N71" i="12"/>
  <c r="A7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A73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A74" i="12"/>
  <c r="B74" i="12"/>
  <c r="C74" i="12"/>
  <c r="D74" i="12"/>
  <c r="E74" i="12"/>
  <c r="F74" i="12"/>
  <c r="G74" i="12"/>
  <c r="H74" i="12"/>
  <c r="I74" i="12"/>
  <c r="J74" i="12"/>
  <c r="K74" i="12"/>
  <c r="L74" i="12"/>
  <c r="M74" i="12"/>
  <c r="N74" i="12"/>
  <c r="A75" i="12"/>
  <c r="B75" i="12"/>
  <c r="C75" i="12"/>
  <c r="D75" i="12"/>
  <c r="E75" i="12"/>
  <c r="F75" i="12"/>
  <c r="G75" i="12"/>
  <c r="H75" i="12"/>
  <c r="I75" i="12"/>
  <c r="J75" i="12"/>
  <c r="K75" i="12"/>
  <c r="L75" i="12"/>
  <c r="M75" i="12"/>
  <c r="N75" i="12"/>
  <c r="A76" i="12"/>
  <c r="B76" i="12"/>
  <c r="C76" i="12"/>
  <c r="D76" i="12"/>
  <c r="E76" i="12"/>
  <c r="F76" i="12"/>
  <c r="G76" i="12"/>
  <c r="H76" i="12"/>
  <c r="I76" i="12"/>
  <c r="J76" i="12"/>
  <c r="K76" i="12"/>
  <c r="L76" i="12"/>
  <c r="M76" i="12"/>
  <c r="N76" i="12"/>
  <c r="A77" i="12"/>
  <c r="B77" i="12"/>
  <c r="C77" i="12"/>
  <c r="D77" i="12"/>
  <c r="E77" i="12"/>
  <c r="F77" i="12"/>
  <c r="G77" i="12"/>
  <c r="H77" i="12"/>
  <c r="I77" i="12"/>
  <c r="J77" i="12"/>
  <c r="K77" i="12"/>
  <c r="L77" i="12"/>
  <c r="M77" i="12"/>
  <c r="N77" i="12"/>
  <c r="A78" i="12"/>
  <c r="B78" i="12"/>
  <c r="C78" i="12"/>
  <c r="D78" i="12"/>
  <c r="E78" i="12"/>
  <c r="F78" i="12"/>
  <c r="G78" i="12"/>
  <c r="H78" i="12"/>
  <c r="I78" i="12"/>
  <c r="J78" i="12"/>
  <c r="K78" i="12"/>
  <c r="L78" i="12"/>
  <c r="M78" i="12"/>
  <c r="N78" i="12"/>
  <c r="A79" i="12"/>
  <c r="B79" i="12"/>
  <c r="C79" i="12"/>
  <c r="D79" i="12"/>
  <c r="E79" i="12"/>
  <c r="F79" i="12"/>
  <c r="G79" i="12"/>
  <c r="H79" i="12"/>
  <c r="I79" i="12"/>
  <c r="J79" i="12"/>
  <c r="K79" i="12"/>
  <c r="L79" i="12"/>
  <c r="M79" i="12"/>
  <c r="N79" i="12"/>
  <c r="A80" i="12"/>
  <c r="B80" i="12"/>
  <c r="C80" i="12"/>
  <c r="D80" i="12"/>
  <c r="E80" i="12"/>
  <c r="F80" i="12"/>
  <c r="G80" i="12"/>
  <c r="H80" i="12"/>
  <c r="I80" i="12"/>
  <c r="J80" i="12"/>
  <c r="K80" i="12"/>
  <c r="L80" i="12"/>
  <c r="M80" i="12"/>
  <c r="N80" i="12"/>
  <c r="A81" i="12"/>
  <c r="B81" i="12"/>
  <c r="C81" i="12"/>
  <c r="D81" i="12"/>
  <c r="E81" i="12"/>
  <c r="F81" i="12"/>
  <c r="G81" i="12"/>
  <c r="H81" i="12"/>
  <c r="I81" i="12"/>
  <c r="J81" i="12"/>
  <c r="K81" i="12"/>
  <c r="L81" i="12"/>
  <c r="M81" i="12"/>
  <c r="N81" i="12"/>
  <c r="A82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A83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A84" i="12"/>
  <c r="B84" i="12"/>
  <c r="C84" i="12"/>
  <c r="D84" i="12"/>
  <c r="A85" i="12"/>
  <c r="B85" i="12"/>
  <c r="C85" i="12"/>
  <c r="D85" i="12"/>
  <c r="E85" i="12"/>
  <c r="F85" i="12"/>
  <c r="G85" i="12"/>
  <c r="H85" i="12"/>
  <c r="I85" i="12"/>
  <c r="J85" i="12"/>
  <c r="K85" i="12"/>
  <c r="L85" i="12"/>
  <c r="M85" i="12"/>
  <c r="N85" i="12"/>
  <c r="A86" i="12"/>
  <c r="B86" i="12"/>
  <c r="C86" i="12"/>
  <c r="D86" i="12"/>
  <c r="E86" i="12"/>
  <c r="F86" i="12"/>
  <c r="G86" i="12"/>
  <c r="H86" i="12"/>
  <c r="I86" i="12"/>
  <c r="J86" i="12"/>
  <c r="K86" i="12"/>
  <c r="L86" i="12"/>
  <c r="M86" i="12"/>
  <c r="N86" i="12"/>
  <c r="A87" i="12"/>
  <c r="B87" i="12"/>
  <c r="C87" i="12"/>
  <c r="D87" i="12"/>
  <c r="E87" i="12"/>
  <c r="F87" i="12"/>
  <c r="G87" i="12"/>
  <c r="H87" i="12"/>
  <c r="I87" i="12"/>
  <c r="J87" i="12"/>
  <c r="K87" i="12"/>
  <c r="L87" i="12"/>
  <c r="M87" i="12"/>
  <c r="N87" i="12"/>
  <c r="A88" i="12"/>
  <c r="B88" i="12"/>
  <c r="C88" i="12"/>
  <c r="D88" i="12"/>
  <c r="E88" i="12"/>
  <c r="F88" i="12"/>
  <c r="G88" i="12"/>
  <c r="H88" i="12"/>
  <c r="I88" i="12"/>
  <c r="J88" i="12"/>
  <c r="K88" i="12"/>
  <c r="L88" i="12"/>
  <c r="M88" i="12"/>
  <c r="N88" i="12"/>
  <c r="A89" i="12"/>
  <c r="B89" i="12"/>
  <c r="C89" i="12"/>
  <c r="D89" i="12"/>
  <c r="E89" i="12"/>
  <c r="F89" i="12"/>
  <c r="G89" i="12"/>
  <c r="H89" i="12"/>
  <c r="I89" i="12"/>
  <c r="J89" i="12"/>
  <c r="K89" i="12"/>
  <c r="L89" i="12"/>
  <c r="M89" i="12"/>
  <c r="N89" i="12"/>
  <c r="A90" i="12"/>
  <c r="B90" i="12"/>
  <c r="C90" i="12"/>
  <c r="D90" i="12"/>
  <c r="E90" i="12"/>
  <c r="F90" i="12"/>
  <c r="G90" i="12"/>
  <c r="H90" i="12"/>
  <c r="I90" i="12"/>
  <c r="J90" i="12"/>
  <c r="K90" i="12"/>
  <c r="L90" i="12"/>
  <c r="M90" i="12"/>
  <c r="N90" i="12"/>
  <c r="A91" i="12"/>
  <c r="B91" i="12"/>
  <c r="C91" i="12"/>
  <c r="D91" i="12"/>
  <c r="E91" i="12"/>
  <c r="F91" i="12"/>
  <c r="G91" i="12"/>
  <c r="H91" i="12"/>
  <c r="I91" i="12"/>
  <c r="J91" i="12"/>
  <c r="K91" i="12"/>
  <c r="L91" i="12"/>
  <c r="M91" i="12"/>
  <c r="N91" i="12"/>
  <c r="A92" i="12"/>
  <c r="B92" i="12"/>
  <c r="C92" i="12"/>
  <c r="D92" i="12"/>
  <c r="E92" i="12"/>
  <c r="F92" i="12"/>
  <c r="G92" i="12"/>
  <c r="H92" i="12"/>
  <c r="I92" i="12"/>
  <c r="J92" i="12"/>
  <c r="K92" i="12"/>
  <c r="L92" i="12"/>
  <c r="M92" i="12"/>
  <c r="N92" i="12"/>
  <c r="A93" i="12"/>
  <c r="B93" i="12"/>
  <c r="C93" i="12"/>
  <c r="D93" i="12"/>
  <c r="E93" i="12"/>
  <c r="F93" i="12"/>
  <c r="G93" i="12"/>
  <c r="H93" i="12"/>
  <c r="I93" i="12"/>
  <c r="J93" i="12"/>
  <c r="K93" i="12"/>
  <c r="L93" i="12"/>
  <c r="M93" i="12"/>
  <c r="N93" i="12"/>
  <c r="A94" i="12"/>
  <c r="B94" i="12"/>
  <c r="C94" i="12"/>
  <c r="D94" i="12"/>
  <c r="E94" i="12"/>
  <c r="F94" i="12"/>
  <c r="G94" i="12"/>
  <c r="H94" i="12"/>
  <c r="I94" i="12"/>
  <c r="J94" i="12"/>
  <c r="K94" i="12"/>
  <c r="L94" i="12"/>
  <c r="M94" i="12"/>
  <c r="N94" i="12"/>
  <c r="A95" i="12"/>
  <c r="B95" i="12"/>
  <c r="C95" i="12"/>
  <c r="D95" i="12"/>
  <c r="E95" i="12"/>
  <c r="F95" i="12"/>
  <c r="G95" i="12"/>
  <c r="H95" i="12"/>
  <c r="I95" i="12"/>
  <c r="J95" i="12"/>
  <c r="K95" i="12"/>
  <c r="L95" i="12"/>
  <c r="M95" i="12"/>
  <c r="N95" i="12"/>
  <c r="A96" i="12"/>
  <c r="B96" i="12"/>
  <c r="C96" i="12"/>
  <c r="D96" i="12"/>
  <c r="E96" i="12"/>
  <c r="F96" i="12"/>
  <c r="G96" i="12"/>
  <c r="H96" i="12"/>
  <c r="I96" i="12"/>
  <c r="J96" i="12"/>
  <c r="K96" i="12"/>
  <c r="L96" i="12"/>
  <c r="M96" i="12"/>
  <c r="N96" i="12"/>
  <c r="A97" i="12"/>
  <c r="B97" i="12"/>
  <c r="C97" i="12"/>
  <c r="D97" i="12"/>
  <c r="E97" i="12"/>
  <c r="F97" i="12"/>
  <c r="G97" i="12"/>
  <c r="H97" i="12"/>
  <c r="I97" i="12"/>
  <c r="J97" i="12"/>
  <c r="K97" i="12"/>
  <c r="L97" i="12"/>
  <c r="M97" i="12"/>
  <c r="N97" i="12"/>
  <c r="A98" i="12"/>
  <c r="B98" i="12"/>
  <c r="C98" i="12"/>
  <c r="D98" i="12"/>
  <c r="E98" i="12"/>
  <c r="F98" i="12"/>
  <c r="G98" i="12"/>
  <c r="H98" i="12"/>
  <c r="I98" i="12"/>
  <c r="J98" i="12"/>
  <c r="K98" i="12"/>
  <c r="L98" i="12"/>
  <c r="M98" i="12"/>
  <c r="N98" i="12"/>
  <c r="A99" i="12"/>
  <c r="B99" i="12"/>
  <c r="C99" i="12"/>
  <c r="D99" i="12"/>
  <c r="E99" i="12"/>
  <c r="F99" i="12"/>
  <c r="G99" i="12"/>
  <c r="H99" i="12"/>
  <c r="I99" i="12"/>
  <c r="J99" i="12"/>
  <c r="K99" i="12"/>
  <c r="L99" i="12"/>
  <c r="M99" i="12"/>
  <c r="N99" i="12"/>
  <c r="A100" i="12"/>
  <c r="B100" i="12"/>
  <c r="C100" i="12"/>
  <c r="D100" i="12"/>
  <c r="E100" i="12"/>
  <c r="F100" i="12"/>
  <c r="G100" i="12"/>
  <c r="H100" i="12"/>
  <c r="I100" i="12"/>
  <c r="J100" i="12"/>
  <c r="K100" i="12"/>
  <c r="L100" i="12"/>
  <c r="M100" i="12"/>
  <c r="N100" i="12"/>
  <c r="A101" i="12"/>
  <c r="B101" i="12"/>
  <c r="C101" i="12"/>
  <c r="D101" i="12"/>
  <c r="E101" i="12"/>
  <c r="F101" i="12"/>
  <c r="G101" i="12"/>
  <c r="H101" i="12"/>
  <c r="I101" i="12"/>
  <c r="J101" i="12"/>
  <c r="K101" i="12"/>
  <c r="L101" i="12"/>
  <c r="M101" i="12"/>
  <c r="N101" i="12"/>
  <c r="A102" i="12"/>
  <c r="B102" i="12"/>
  <c r="C102" i="12"/>
  <c r="D102" i="12"/>
  <c r="E102" i="12"/>
  <c r="F102" i="12"/>
  <c r="G102" i="12"/>
  <c r="H102" i="12"/>
  <c r="I102" i="12"/>
  <c r="J102" i="12"/>
  <c r="K102" i="12"/>
  <c r="L102" i="12"/>
  <c r="M102" i="12"/>
  <c r="N102" i="12"/>
  <c r="A103" i="12"/>
  <c r="B103" i="12"/>
  <c r="C103" i="12"/>
  <c r="D103" i="12"/>
  <c r="E103" i="12"/>
  <c r="F103" i="12"/>
  <c r="G103" i="12"/>
  <c r="H103" i="12"/>
  <c r="I103" i="12"/>
  <c r="J103" i="12"/>
  <c r="K103" i="12"/>
  <c r="L103" i="12"/>
  <c r="M103" i="12"/>
  <c r="N103" i="12"/>
  <c r="A104" i="12"/>
  <c r="B104" i="12"/>
  <c r="C104" i="12"/>
  <c r="D104" i="12"/>
  <c r="E104" i="12"/>
  <c r="F104" i="12"/>
  <c r="G104" i="12"/>
  <c r="H104" i="12"/>
  <c r="I104" i="12"/>
  <c r="J104" i="12"/>
  <c r="K104" i="12"/>
  <c r="L104" i="12"/>
  <c r="M104" i="12"/>
  <c r="N104" i="12"/>
  <c r="A105" i="12"/>
  <c r="B105" i="12"/>
  <c r="C105" i="12"/>
  <c r="D105" i="12"/>
  <c r="E105" i="12"/>
  <c r="F105" i="12"/>
  <c r="G105" i="12"/>
  <c r="H105" i="12"/>
  <c r="I105" i="12"/>
  <c r="J105" i="12"/>
  <c r="K105" i="12"/>
  <c r="L105" i="12"/>
  <c r="M105" i="12"/>
  <c r="N105" i="12"/>
  <c r="A106" i="12"/>
  <c r="B106" i="12"/>
  <c r="C106" i="12"/>
  <c r="D106" i="12"/>
  <c r="E106" i="12"/>
  <c r="F106" i="12"/>
  <c r="G106" i="12"/>
  <c r="H106" i="12"/>
  <c r="I106" i="12"/>
  <c r="J106" i="12"/>
  <c r="K106" i="12"/>
  <c r="L106" i="12"/>
  <c r="M106" i="12"/>
  <c r="N106" i="12"/>
  <c r="A107" i="12"/>
  <c r="B107" i="12"/>
  <c r="C107" i="12"/>
  <c r="D107" i="12"/>
  <c r="E107" i="12"/>
  <c r="F107" i="12"/>
  <c r="G107" i="12"/>
  <c r="H107" i="12"/>
  <c r="I107" i="12"/>
  <c r="J107" i="12"/>
  <c r="K107" i="12"/>
  <c r="L107" i="12"/>
  <c r="M107" i="12"/>
  <c r="N107" i="12"/>
  <c r="A108" i="12"/>
  <c r="B108" i="12"/>
  <c r="C108" i="12"/>
  <c r="D108" i="12"/>
  <c r="E108" i="12"/>
  <c r="F108" i="12"/>
  <c r="G108" i="12"/>
  <c r="H108" i="12"/>
  <c r="I108" i="12"/>
  <c r="J108" i="12"/>
  <c r="K108" i="12"/>
  <c r="L108" i="12"/>
  <c r="M108" i="12"/>
  <c r="N108" i="12"/>
  <c r="A109" i="12"/>
  <c r="B109" i="12"/>
  <c r="C109" i="12"/>
  <c r="D109" i="12"/>
  <c r="E109" i="12"/>
  <c r="F109" i="12"/>
  <c r="G109" i="12"/>
  <c r="H109" i="12"/>
  <c r="I109" i="12"/>
  <c r="J109" i="12"/>
  <c r="K109" i="12"/>
  <c r="L109" i="12"/>
  <c r="M109" i="12"/>
  <c r="N109" i="12"/>
  <c r="A110" i="12"/>
  <c r="B110" i="12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E156" i="10"/>
  <c r="F156" i="10"/>
  <c r="G156" i="10"/>
  <c r="H156" i="10"/>
  <c r="I156" i="10"/>
  <c r="J156" i="10"/>
  <c r="K156" i="10"/>
  <c r="L156" i="10"/>
  <c r="M156" i="10"/>
  <c r="N156" i="10"/>
  <c r="E155" i="10"/>
  <c r="F155" i="10"/>
  <c r="G155" i="10"/>
  <c r="H155" i="10"/>
  <c r="I155" i="10"/>
  <c r="J155" i="10"/>
  <c r="K155" i="10"/>
  <c r="L155" i="10"/>
  <c r="M155" i="10"/>
  <c r="N155" i="10"/>
  <c r="E154" i="10"/>
  <c r="F154" i="10"/>
  <c r="G154" i="10"/>
  <c r="H154" i="10"/>
  <c r="I154" i="10"/>
  <c r="J154" i="10"/>
  <c r="K154" i="10"/>
  <c r="L154" i="10"/>
  <c r="M154" i="10"/>
  <c r="N154" i="10"/>
  <c r="E153" i="10"/>
  <c r="F153" i="10"/>
  <c r="G153" i="10"/>
  <c r="H153" i="10"/>
  <c r="I153" i="10"/>
  <c r="J153" i="10"/>
  <c r="K153" i="10"/>
  <c r="L153" i="10"/>
  <c r="M153" i="10"/>
  <c r="N153" i="10"/>
  <c r="E152" i="10"/>
  <c r="F152" i="10"/>
  <c r="G152" i="10"/>
  <c r="H152" i="10"/>
  <c r="J152" i="10"/>
  <c r="K152" i="10"/>
  <c r="L152" i="10"/>
  <c r="M152" i="10"/>
  <c r="N152" i="10"/>
  <c r="E151" i="10"/>
  <c r="F151" i="10"/>
  <c r="G151" i="10"/>
  <c r="H151" i="10"/>
  <c r="I151" i="10"/>
  <c r="J151" i="10"/>
  <c r="K151" i="10"/>
  <c r="L151" i="10"/>
  <c r="M151" i="10"/>
  <c r="N151" i="10"/>
  <c r="E150" i="10"/>
  <c r="J150" i="10"/>
  <c r="K150" i="10"/>
  <c r="L150" i="10"/>
  <c r="M150" i="10"/>
  <c r="N150" i="10"/>
  <c r="E149" i="10"/>
  <c r="F149" i="10"/>
  <c r="G149" i="10"/>
  <c r="H149" i="10"/>
  <c r="I149" i="10"/>
  <c r="J149" i="10"/>
  <c r="K149" i="10"/>
  <c r="L149" i="10"/>
  <c r="M149" i="10"/>
  <c r="N149" i="10"/>
  <c r="E148" i="10"/>
  <c r="F148" i="10"/>
  <c r="G148" i="10"/>
  <c r="H148" i="10"/>
  <c r="J148" i="10"/>
  <c r="L148" i="10"/>
  <c r="M148" i="10"/>
  <c r="N148" i="10"/>
  <c r="E147" i="10"/>
  <c r="F147" i="10"/>
  <c r="G147" i="10"/>
  <c r="H147" i="10"/>
  <c r="I147" i="10"/>
  <c r="J147" i="10"/>
  <c r="K147" i="10"/>
  <c r="L147" i="10"/>
  <c r="M147" i="10"/>
  <c r="N147" i="10"/>
  <c r="E146" i="10"/>
  <c r="F146" i="10"/>
  <c r="G146" i="10"/>
  <c r="H146" i="10"/>
  <c r="I146" i="10"/>
  <c r="J146" i="10"/>
  <c r="K146" i="10"/>
  <c r="L146" i="10"/>
  <c r="N146" i="10"/>
  <c r="E145" i="10"/>
  <c r="F145" i="10"/>
  <c r="G145" i="10"/>
  <c r="I145" i="10"/>
  <c r="K145" i="10"/>
  <c r="L145" i="10"/>
  <c r="M145" i="10"/>
  <c r="N145" i="10"/>
  <c r="E144" i="10"/>
  <c r="F144" i="10"/>
  <c r="G144" i="10"/>
  <c r="H144" i="10"/>
  <c r="I144" i="10"/>
  <c r="J144" i="10"/>
  <c r="K144" i="10"/>
  <c r="L144" i="10"/>
  <c r="M144" i="10"/>
  <c r="N144" i="10"/>
  <c r="F143" i="10"/>
  <c r="G143" i="10"/>
  <c r="H143" i="10"/>
  <c r="K143" i="10"/>
  <c r="L143" i="10"/>
  <c r="M143" i="10"/>
  <c r="N143" i="10"/>
  <c r="E142" i="10"/>
  <c r="F142" i="10"/>
  <c r="G142" i="10"/>
  <c r="H142" i="10"/>
  <c r="I142" i="10"/>
  <c r="J142" i="10"/>
  <c r="K142" i="10"/>
  <c r="L142" i="10"/>
  <c r="N142" i="10"/>
  <c r="E141" i="10"/>
  <c r="F141" i="10"/>
  <c r="G141" i="10"/>
  <c r="H141" i="10"/>
  <c r="I141" i="10"/>
  <c r="L141" i="10"/>
  <c r="M141" i="10"/>
  <c r="N141" i="10"/>
  <c r="E140" i="10"/>
  <c r="F140" i="10"/>
  <c r="G140" i="10"/>
  <c r="E139" i="10"/>
  <c r="F139" i="10"/>
  <c r="G139" i="10"/>
  <c r="H139" i="10"/>
  <c r="I139" i="10"/>
  <c r="J139" i="10"/>
  <c r="K139" i="10"/>
  <c r="L139" i="10"/>
  <c r="M139" i="10"/>
  <c r="N139" i="10"/>
  <c r="E138" i="10"/>
  <c r="F138" i="10"/>
  <c r="G138" i="10"/>
  <c r="H138" i="10"/>
  <c r="I138" i="10"/>
  <c r="J138" i="10"/>
  <c r="K138" i="10"/>
  <c r="L138" i="10"/>
  <c r="M138" i="10"/>
  <c r="N138" i="10"/>
  <c r="E137" i="10"/>
  <c r="F137" i="10"/>
  <c r="G137" i="10"/>
  <c r="H137" i="10"/>
  <c r="I137" i="10"/>
  <c r="J137" i="10"/>
  <c r="K137" i="10"/>
  <c r="L137" i="10"/>
  <c r="M137" i="10"/>
  <c r="N137" i="10"/>
  <c r="E136" i="10"/>
  <c r="F136" i="10"/>
  <c r="G136" i="10"/>
  <c r="H136" i="10"/>
  <c r="I136" i="10"/>
  <c r="J136" i="10"/>
  <c r="K136" i="10"/>
  <c r="L136" i="10"/>
  <c r="M136" i="10"/>
  <c r="N136" i="10"/>
  <c r="E135" i="10"/>
  <c r="F135" i="10"/>
  <c r="G135" i="10"/>
  <c r="H135" i="10"/>
  <c r="I135" i="10"/>
  <c r="J135" i="10"/>
  <c r="K135" i="10"/>
  <c r="L135" i="10"/>
  <c r="M135" i="10"/>
  <c r="N135" i="10"/>
  <c r="E134" i="10"/>
  <c r="F134" i="10"/>
  <c r="G134" i="10"/>
  <c r="H134" i="10"/>
  <c r="I134" i="10"/>
  <c r="J134" i="10"/>
  <c r="K134" i="10"/>
  <c r="L134" i="10"/>
  <c r="M134" i="10"/>
  <c r="E133" i="10"/>
  <c r="F133" i="10"/>
  <c r="G133" i="10"/>
  <c r="H133" i="10"/>
  <c r="I133" i="10"/>
  <c r="L133" i="10"/>
  <c r="M133" i="10"/>
  <c r="N133" i="10"/>
  <c r="F132" i="10"/>
  <c r="G132" i="10"/>
  <c r="H132" i="10"/>
  <c r="K132" i="10"/>
  <c r="L132" i="10"/>
  <c r="M132" i="10"/>
  <c r="N132" i="10"/>
  <c r="E131" i="10"/>
  <c r="F131" i="10"/>
  <c r="G131" i="10"/>
  <c r="H131" i="10"/>
  <c r="I131" i="10"/>
  <c r="L131" i="10"/>
  <c r="M131" i="10"/>
  <c r="N131" i="10"/>
  <c r="E130" i="10"/>
  <c r="F130" i="10"/>
  <c r="G130" i="10"/>
  <c r="H130" i="10"/>
  <c r="I130" i="10"/>
  <c r="J130" i="10"/>
  <c r="K130" i="10"/>
  <c r="L130" i="10"/>
  <c r="M130" i="10"/>
  <c r="N130" i="10"/>
  <c r="E129" i="10"/>
  <c r="F129" i="10"/>
  <c r="G129" i="10"/>
  <c r="I129" i="10"/>
  <c r="K129" i="10"/>
  <c r="L129" i="10"/>
  <c r="M129" i="10"/>
  <c r="N129" i="10"/>
  <c r="E128" i="10"/>
  <c r="F128" i="10"/>
  <c r="G128" i="10"/>
  <c r="H128" i="10"/>
  <c r="I128" i="10"/>
  <c r="J128" i="10"/>
  <c r="K128" i="10"/>
  <c r="L128" i="10"/>
  <c r="E127" i="10"/>
  <c r="F127" i="10"/>
  <c r="G127" i="10"/>
  <c r="H127" i="10"/>
  <c r="I127" i="10"/>
  <c r="J127" i="10"/>
  <c r="K127" i="10"/>
  <c r="L127" i="10"/>
  <c r="M127" i="10"/>
  <c r="N127" i="10"/>
  <c r="E126" i="10"/>
  <c r="F126" i="10"/>
  <c r="G126" i="10"/>
  <c r="H126" i="10"/>
  <c r="I126" i="10"/>
  <c r="J126" i="10"/>
  <c r="K126" i="10"/>
  <c r="L126" i="10"/>
  <c r="M126" i="10"/>
  <c r="N126" i="10"/>
  <c r="E125" i="10"/>
  <c r="F125" i="10"/>
  <c r="G125" i="10"/>
  <c r="H125" i="10"/>
  <c r="I125" i="10"/>
  <c r="K125" i="10"/>
  <c r="L125" i="10"/>
  <c r="M125" i="10"/>
  <c r="N125" i="10"/>
  <c r="E124" i="10"/>
  <c r="F124" i="10"/>
  <c r="G124" i="10"/>
  <c r="H124" i="10"/>
  <c r="I124" i="10"/>
  <c r="J124" i="10"/>
  <c r="K124" i="10"/>
  <c r="L124" i="10"/>
  <c r="M124" i="10"/>
  <c r="N124" i="10"/>
  <c r="E122" i="10"/>
  <c r="F122" i="10"/>
  <c r="G122" i="10"/>
  <c r="H122" i="10"/>
  <c r="I122" i="10"/>
  <c r="J122" i="10"/>
  <c r="K122" i="10"/>
  <c r="L122" i="10"/>
  <c r="M122" i="10"/>
  <c r="N122" i="10"/>
  <c r="E121" i="10"/>
  <c r="F121" i="10"/>
  <c r="G121" i="10"/>
  <c r="H121" i="10"/>
  <c r="I121" i="10"/>
  <c r="J121" i="10"/>
  <c r="K121" i="10"/>
  <c r="L121" i="10"/>
  <c r="M121" i="10"/>
  <c r="N121" i="10"/>
  <c r="E120" i="10"/>
  <c r="F120" i="10"/>
  <c r="I120" i="10"/>
  <c r="J120" i="10"/>
  <c r="K120" i="10"/>
  <c r="L120" i="10"/>
  <c r="M120" i="10"/>
  <c r="N120" i="10"/>
  <c r="E119" i="10"/>
  <c r="F119" i="10"/>
  <c r="G119" i="10"/>
  <c r="H119" i="10"/>
  <c r="I119" i="10"/>
  <c r="K119" i="10"/>
  <c r="L119" i="10"/>
  <c r="M119" i="10"/>
  <c r="N119" i="10"/>
  <c r="E118" i="10"/>
  <c r="F118" i="10"/>
  <c r="G118" i="10"/>
  <c r="H118" i="10"/>
  <c r="K118" i="10"/>
  <c r="M118" i="10"/>
  <c r="N118" i="10"/>
  <c r="G117" i="10"/>
  <c r="H117" i="10"/>
  <c r="I117" i="10"/>
  <c r="J117" i="10"/>
  <c r="K117" i="10"/>
  <c r="L117" i="10"/>
  <c r="M117" i="10"/>
  <c r="N117" i="10"/>
  <c r="G116" i="10"/>
  <c r="H116" i="10"/>
  <c r="K116" i="10"/>
  <c r="L116" i="10"/>
  <c r="M116" i="10"/>
  <c r="N116" i="10"/>
  <c r="E115" i="10"/>
  <c r="F115" i="10"/>
  <c r="G115" i="10"/>
  <c r="H115" i="10"/>
  <c r="I115" i="10"/>
  <c r="J115" i="10"/>
  <c r="K115" i="10"/>
  <c r="L115" i="10"/>
  <c r="M115" i="10"/>
  <c r="N115" i="10"/>
  <c r="E114" i="10"/>
  <c r="F114" i="10"/>
  <c r="G114" i="10"/>
  <c r="H114" i="10"/>
  <c r="I114" i="10"/>
  <c r="L114" i="10"/>
  <c r="N114" i="10"/>
  <c r="E113" i="10"/>
  <c r="F113" i="10"/>
  <c r="G113" i="10"/>
  <c r="H113" i="10"/>
  <c r="I113" i="10"/>
  <c r="J113" i="10"/>
  <c r="K113" i="10"/>
  <c r="L113" i="10"/>
  <c r="M113" i="10"/>
  <c r="N113" i="10"/>
  <c r="E112" i="10"/>
  <c r="F112" i="10"/>
  <c r="G112" i="10"/>
  <c r="H112" i="10"/>
  <c r="I112" i="10"/>
  <c r="J112" i="10"/>
  <c r="K112" i="10"/>
  <c r="L112" i="10"/>
  <c r="M112" i="10"/>
  <c r="N112" i="10"/>
  <c r="E111" i="10"/>
  <c r="F111" i="10"/>
  <c r="G111" i="10"/>
  <c r="H111" i="10"/>
  <c r="I111" i="10"/>
  <c r="J111" i="10"/>
  <c r="K111" i="10"/>
  <c r="L111" i="10"/>
  <c r="M111" i="10"/>
  <c r="N111" i="10"/>
  <c r="E110" i="10"/>
  <c r="F110" i="10"/>
  <c r="G110" i="10"/>
  <c r="H110" i="10"/>
  <c r="I110" i="10"/>
  <c r="J110" i="10"/>
  <c r="K110" i="10"/>
  <c r="L110" i="10"/>
  <c r="M110" i="10"/>
  <c r="N110" i="10"/>
  <c r="E109" i="10"/>
  <c r="F109" i="10"/>
  <c r="G109" i="10"/>
  <c r="H109" i="10"/>
  <c r="I109" i="10"/>
  <c r="J109" i="10"/>
  <c r="K109" i="10"/>
  <c r="L109" i="10"/>
  <c r="M109" i="10"/>
  <c r="N109" i="10"/>
  <c r="E108" i="10"/>
  <c r="F108" i="10"/>
  <c r="G108" i="10"/>
  <c r="H108" i="10"/>
  <c r="I108" i="10"/>
  <c r="J108" i="10"/>
  <c r="K108" i="10"/>
  <c r="L108" i="10"/>
  <c r="M108" i="10"/>
  <c r="N108" i="10"/>
  <c r="E107" i="10"/>
  <c r="F107" i="10"/>
  <c r="G107" i="10"/>
  <c r="H107" i="10"/>
  <c r="I107" i="10"/>
  <c r="J107" i="10"/>
  <c r="K107" i="10"/>
  <c r="L107" i="10"/>
  <c r="M107" i="10"/>
  <c r="N107" i="10"/>
  <c r="E106" i="10"/>
  <c r="F106" i="10"/>
  <c r="G106" i="10"/>
  <c r="H106" i="10"/>
  <c r="I106" i="10"/>
  <c r="J106" i="10"/>
  <c r="K106" i="10"/>
  <c r="L106" i="10"/>
  <c r="M106" i="10"/>
  <c r="N106" i="10"/>
  <c r="E105" i="10"/>
  <c r="G105" i="10"/>
  <c r="H105" i="10"/>
  <c r="I105" i="10"/>
  <c r="J105" i="10"/>
  <c r="K105" i="10"/>
  <c r="L105" i="10"/>
  <c r="M105" i="10"/>
  <c r="N105" i="10"/>
  <c r="E104" i="10"/>
  <c r="F104" i="10"/>
  <c r="G104" i="10"/>
  <c r="H104" i="10"/>
  <c r="I104" i="10"/>
  <c r="J104" i="10"/>
  <c r="K104" i="10"/>
  <c r="L104" i="10"/>
  <c r="M104" i="10"/>
  <c r="N104" i="10"/>
  <c r="E103" i="10"/>
  <c r="F103" i="10"/>
  <c r="G103" i="10"/>
  <c r="H103" i="10"/>
  <c r="I103" i="10"/>
  <c r="J103" i="10"/>
  <c r="K103" i="10"/>
  <c r="L103" i="10"/>
  <c r="M103" i="10"/>
  <c r="N103" i="10"/>
  <c r="E102" i="10"/>
  <c r="F102" i="10"/>
  <c r="G102" i="10"/>
  <c r="H102" i="10"/>
  <c r="I102" i="10"/>
  <c r="J102" i="10"/>
  <c r="K102" i="10"/>
  <c r="L102" i="10"/>
  <c r="M102" i="10"/>
  <c r="N102" i="10"/>
  <c r="E101" i="10"/>
  <c r="F101" i="10"/>
  <c r="G101" i="10"/>
  <c r="H101" i="10"/>
  <c r="I101" i="10"/>
  <c r="J101" i="10"/>
  <c r="K101" i="10"/>
  <c r="L101" i="10"/>
  <c r="M101" i="10"/>
  <c r="N101" i="10"/>
  <c r="G100" i="10"/>
  <c r="I100" i="10"/>
  <c r="K100" i="10"/>
  <c r="L100" i="10"/>
  <c r="M100" i="10"/>
  <c r="N100" i="10"/>
  <c r="E99" i="10"/>
  <c r="F99" i="10"/>
  <c r="G99" i="10"/>
  <c r="H99" i="10"/>
  <c r="I99" i="10"/>
  <c r="K99" i="10"/>
  <c r="L99" i="10"/>
  <c r="M99" i="10"/>
  <c r="N99" i="10"/>
  <c r="E98" i="10"/>
  <c r="F98" i="10"/>
  <c r="G98" i="10"/>
  <c r="H98" i="10"/>
  <c r="I98" i="10"/>
  <c r="J98" i="10"/>
  <c r="K98" i="10"/>
  <c r="L98" i="10"/>
  <c r="M98" i="10"/>
  <c r="N98" i="10"/>
  <c r="E97" i="10"/>
  <c r="F97" i="10"/>
  <c r="G97" i="10"/>
  <c r="H97" i="10"/>
  <c r="I97" i="10"/>
  <c r="J97" i="10"/>
  <c r="K97" i="10"/>
  <c r="L97" i="10"/>
  <c r="M97" i="10"/>
  <c r="N97" i="10"/>
  <c r="E96" i="10"/>
  <c r="F96" i="10"/>
  <c r="G96" i="10"/>
  <c r="H96" i="10"/>
  <c r="I96" i="10"/>
  <c r="J96" i="10"/>
  <c r="K96" i="10"/>
  <c r="L96" i="10"/>
  <c r="M96" i="10"/>
  <c r="N96" i="10"/>
  <c r="E95" i="10"/>
  <c r="F95" i="10"/>
  <c r="G95" i="10"/>
  <c r="H95" i="10"/>
  <c r="I95" i="10"/>
  <c r="J95" i="10"/>
  <c r="K95" i="10"/>
  <c r="L95" i="10"/>
  <c r="M95" i="10"/>
  <c r="N95" i="10"/>
  <c r="E94" i="10"/>
  <c r="F94" i="10"/>
  <c r="G94" i="10"/>
  <c r="H94" i="10"/>
  <c r="I94" i="10"/>
  <c r="J94" i="10"/>
  <c r="K94" i="10"/>
  <c r="L94" i="10"/>
  <c r="M94" i="10"/>
  <c r="N94" i="10"/>
  <c r="E93" i="10"/>
  <c r="F93" i="10"/>
  <c r="G93" i="10"/>
  <c r="H93" i="10"/>
  <c r="I93" i="10"/>
  <c r="J93" i="10"/>
  <c r="K93" i="10"/>
  <c r="L93" i="10"/>
  <c r="M93" i="10"/>
  <c r="N93" i="10"/>
  <c r="E92" i="10"/>
  <c r="F92" i="10"/>
  <c r="G92" i="10"/>
  <c r="H92" i="10"/>
  <c r="I92" i="10"/>
  <c r="J92" i="10"/>
  <c r="K92" i="10"/>
  <c r="L92" i="10"/>
  <c r="M92" i="10"/>
  <c r="N92" i="10"/>
  <c r="E91" i="10"/>
  <c r="F91" i="10"/>
  <c r="G91" i="10"/>
  <c r="H91" i="10"/>
  <c r="I91" i="10"/>
  <c r="J91" i="10"/>
  <c r="K91" i="10"/>
  <c r="L91" i="10"/>
  <c r="M91" i="10"/>
  <c r="N91" i="10"/>
  <c r="F90" i="10"/>
  <c r="G90" i="10"/>
  <c r="H90" i="10"/>
  <c r="I90" i="10"/>
  <c r="J90" i="10"/>
  <c r="K90" i="10"/>
  <c r="M90" i="10"/>
  <c r="E89" i="10"/>
  <c r="F89" i="10"/>
  <c r="G89" i="10"/>
  <c r="H89" i="10"/>
  <c r="I89" i="10"/>
  <c r="J89" i="10"/>
  <c r="K89" i="10"/>
  <c r="L89" i="10"/>
  <c r="M89" i="10"/>
  <c r="N89" i="10"/>
  <c r="E88" i="10"/>
  <c r="F88" i="10"/>
  <c r="G88" i="10"/>
  <c r="H88" i="10"/>
  <c r="I88" i="10"/>
  <c r="K88" i="10"/>
  <c r="L88" i="10"/>
  <c r="M88" i="10"/>
  <c r="N88" i="10"/>
  <c r="E87" i="10"/>
  <c r="F87" i="10"/>
  <c r="G87" i="10"/>
  <c r="H87" i="10"/>
  <c r="K87" i="10"/>
  <c r="L87" i="10"/>
  <c r="M87" i="10"/>
  <c r="N87" i="10"/>
  <c r="E86" i="10"/>
  <c r="F86" i="10"/>
  <c r="G86" i="10"/>
  <c r="H86" i="10"/>
  <c r="I86" i="10"/>
  <c r="J86" i="10"/>
  <c r="K86" i="10"/>
  <c r="L86" i="10"/>
  <c r="M86" i="10"/>
  <c r="N86" i="10"/>
  <c r="E85" i="10"/>
  <c r="F85" i="10"/>
  <c r="G85" i="10"/>
  <c r="H85" i="10"/>
  <c r="I85" i="10"/>
  <c r="J85" i="10"/>
  <c r="K85" i="10"/>
  <c r="L85" i="10"/>
  <c r="M85" i="10"/>
  <c r="N85" i="10"/>
  <c r="E83" i="10"/>
  <c r="F83" i="10"/>
  <c r="G83" i="10"/>
  <c r="H83" i="10"/>
  <c r="I83" i="10"/>
  <c r="J83" i="10"/>
  <c r="K83" i="10"/>
  <c r="L83" i="10"/>
  <c r="M83" i="10"/>
  <c r="N83" i="10"/>
  <c r="E82" i="10"/>
  <c r="F82" i="10"/>
  <c r="G82" i="10"/>
  <c r="H82" i="10"/>
  <c r="I82" i="10"/>
  <c r="J82" i="10"/>
  <c r="K82" i="10"/>
  <c r="F81" i="10"/>
  <c r="G81" i="10"/>
  <c r="H81" i="10"/>
  <c r="I81" i="10"/>
  <c r="J81" i="10"/>
  <c r="K81" i="10"/>
  <c r="L81" i="10"/>
  <c r="M81" i="10"/>
  <c r="N81" i="10"/>
  <c r="E80" i="10"/>
  <c r="F80" i="10"/>
  <c r="G80" i="10"/>
  <c r="H80" i="10"/>
  <c r="I80" i="10"/>
  <c r="J80" i="10"/>
  <c r="K80" i="10"/>
  <c r="L80" i="10"/>
  <c r="M80" i="10"/>
  <c r="N80" i="10"/>
  <c r="E79" i="10"/>
  <c r="F79" i="10"/>
  <c r="G79" i="10"/>
  <c r="H79" i="10"/>
  <c r="I79" i="10"/>
  <c r="J79" i="10"/>
  <c r="K79" i="10"/>
  <c r="L79" i="10"/>
  <c r="M79" i="10"/>
  <c r="N79" i="10"/>
  <c r="E78" i="10"/>
  <c r="F78" i="10"/>
  <c r="G78" i="10"/>
  <c r="H78" i="10"/>
  <c r="I78" i="10"/>
  <c r="J78" i="10"/>
  <c r="N78" i="10"/>
  <c r="E77" i="10"/>
  <c r="F77" i="10"/>
  <c r="G77" i="10"/>
  <c r="H77" i="10"/>
  <c r="I77" i="10"/>
  <c r="J77" i="10"/>
  <c r="K77" i="10"/>
  <c r="L77" i="10"/>
  <c r="M77" i="10"/>
  <c r="N77" i="10"/>
  <c r="E76" i="10"/>
  <c r="F76" i="10"/>
  <c r="G76" i="10"/>
  <c r="H76" i="10"/>
  <c r="I76" i="10"/>
  <c r="J76" i="10"/>
  <c r="K76" i="10"/>
  <c r="L76" i="10"/>
  <c r="M76" i="10"/>
  <c r="N76" i="10"/>
  <c r="E75" i="10"/>
  <c r="F75" i="10"/>
  <c r="G75" i="10"/>
  <c r="H75" i="10"/>
  <c r="I75" i="10"/>
  <c r="J75" i="10"/>
  <c r="K75" i="10"/>
  <c r="L75" i="10"/>
  <c r="M75" i="10"/>
  <c r="N75" i="10"/>
  <c r="G74" i="10"/>
  <c r="H74" i="10"/>
  <c r="J74" i="10"/>
  <c r="K74" i="10"/>
  <c r="L74" i="10"/>
  <c r="M74" i="10"/>
  <c r="N74" i="10"/>
  <c r="E73" i="10"/>
  <c r="F73" i="10"/>
  <c r="G73" i="10"/>
  <c r="H73" i="10"/>
  <c r="I73" i="10"/>
  <c r="J73" i="10"/>
  <c r="K73" i="10"/>
  <c r="L73" i="10"/>
  <c r="M73" i="10"/>
  <c r="N73" i="10"/>
  <c r="E72" i="10"/>
  <c r="F72" i="10"/>
  <c r="G72" i="10"/>
  <c r="H72" i="10"/>
  <c r="J72" i="10"/>
  <c r="K72" i="10"/>
  <c r="L72" i="10"/>
  <c r="M72" i="10"/>
  <c r="N72" i="10"/>
  <c r="F71" i="10"/>
  <c r="G71" i="10"/>
  <c r="H71" i="10"/>
  <c r="I71" i="10"/>
  <c r="J71" i="10"/>
  <c r="K71" i="10"/>
  <c r="L71" i="10"/>
  <c r="M71" i="10"/>
  <c r="E70" i="10"/>
  <c r="F70" i="10"/>
  <c r="G70" i="10"/>
  <c r="H70" i="10"/>
  <c r="I70" i="10"/>
  <c r="J70" i="10"/>
  <c r="K70" i="10"/>
  <c r="L70" i="10"/>
  <c r="M70" i="10"/>
  <c r="N70" i="10"/>
  <c r="E69" i="10"/>
  <c r="F69" i="10"/>
  <c r="G69" i="10"/>
  <c r="H69" i="10"/>
  <c r="I69" i="10"/>
  <c r="J69" i="10"/>
  <c r="K69" i="10"/>
  <c r="L69" i="10"/>
  <c r="N69" i="10"/>
  <c r="E68" i="10"/>
  <c r="F68" i="10"/>
  <c r="G68" i="10"/>
  <c r="H68" i="10"/>
  <c r="I68" i="10"/>
  <c r="J68" i="10"/>
  <c r="K68" i="10"/>
  <c r="L68" i="10"/>
  <c r="M68" i="10"/>
  <c r="N68" i="10"/>
  <c r="E67" i="10"/>
  <c r="F67" i="10"/>
  <c r="G67" i="10"/>
  <c r="H67" i="10"/>
  <c r="I67" i="10"/>
  <c r="J67" i="10"/>
  <c r="K67" i="10"/>
  <c r="L67" i="10"/>
  <c r="M67" i="10"/>
  <c r="N67" i="10"/>
  <c r="E66" i="10"/>
  <c r="F66" i="10"/>
  <c r="G66" i="10"/>
  <c r="H66" i="10"/>
  <c r="I66" i="10"/>
  <c r="J66" i="10"/>
  <c r="K66" i="10"/>
  <c r="L66" i="10"/>
  <c r="M66" i="10"/>
  <c r="N66" i="10"/>
  <c r="E65" i="10"/>
  <c r="F65" i="10"/>
  <c r="G65" i="10"/>
  <c r="H65" i="10"/>
  <c r="I65" i="10"/>
  <c r="J65" i="10"/>
  <c r="K65" i="10"/>
  <c r="L65" i="10"/>
  <c r="M65" i="10"/>
  <c r="N65" i="10"/>
  <c r="E64" i="10"/>
  <c r="F64" i="10"/>
  <c r="G64" i="10"/>
  <c r="H64" i="10"/>
  <c r="I64" i="10"/>
  <c r="K64" i="10"/>
  <c r="L64" i="10"/>
  <c r="M64" i="10"/>
  <c r="N64" i="10"/>
  <c r="E63" i="10"/>
  <c r="F63" i="10"/>
  <c r="G63" i="10"/>
  <c r="H63" i="10"/>
  <c r="I63" i="10"/>
  <c r="J63" i="10"/>
  <c r="K63" i="10"/>
  <c r="L63" i="10"/>
  <c r="M63" i="10"/>
  <c r="N63" i="10"/>
  <c r="E62" i="10"/>
  <c r="F62" i="10"/>
  <c r="G62" i="10"/>
  <c r="H62" i="10"/>
  <c r="I62" i="10"/>
  <c r="J62" i="10"/>
  <c r="K62" i="10"/>
  <c r="L62" i="10"/>
  <c r="N62" i="10"/>
  <c r="G61" i="10"/>
  <c r="H61" i="10"/>
  <c r="I61" i="10"/>
  <c r="J61" i="10"/>
  <c r="K61" i="10"/>
  <c r="L61" i="10"/>
  <c r="M61" i="10"/>
  <c r="N61" i="10"/>
  <c r="E60" i="10"/>
  <c r="F60" i="10"/>
  <c r="G60" i="10"/>
  <c r="H60" i="10"/>
  <c r="I60" i="10"/>
  <c r="J60" i="10"/>
  <c r="K60" i="10"/>
  <c r="L60" i="10"/>
  <c r="M60" i="10"/>
  <c r="N60" i="10"/>
  <c r="E59" i="10"/>
  <c r="F59" i="10"/>
  <c r="G59" i="10"/>
  <c r="H59" i="10"/>
  <c r="I59" i="10"/>
  <c r="J59" i="10"/>
  <c r="K59" i="10"/>
  <c r="L59" i="10"/>
  <c r="M59" i="10"/>
  <c r="N59" i="10"/>
  <c r="E58" i="10"/>
  <c r="F58" i="10"/>
  <c r="G58" i="10"/>
  <c r="H58" i="10"/>
  <c r="I58" i="10"/>
  <c r="J58" i="10"/>
  <c r="K58" i="10"/>
  <c r="L58" i="10"/>
  <c r="M58" i="10"/>
  <c r="N58" i="10"/>
  <c r="E57" i="10"/>
  <c r="F57" i="10"/>
  <c r="G57" i="10"/>
  <c r="H57" i="10"/>
  <c r="I57" i="10"/>
  <c r="J57" i="10"/>
  <c r="K57" i="10"/>
  <c r="L57" i="10"/>
  <c r="M57" i="10"/>
  <c r="N57" i="10"/>
  <c r="H56" i="10"/>
  <c r="J56" i="10"/>
  <c r="K56" i="10"/>
  <c r="L56" i="10"/>
  <c r="M56" i="10"/>
  <c r="N56" i="10"/>
  <c r="E55" i="10"/>
  <c r="F55" i="10"/>
  <c r="G55" i="10"/>
  <c r="H55" i="10"/>
  <c r="I55" i="10"/>
  <c r="J55" i="10"/>
  <c r="K55" i="10"/>
  <c r="L55" i="10"/>
  <c r="M55" i="10"/>
  <c r="N55" i="10"/>
  <c r="E54" i="10"/>
  <c r="F54" i="10"/>
  <c r="G54" i="10"/>
  <c r="H54" i="10"/>
  <c r="I54" i="10"/>
  <c r="J54" i="10"/>
  <c r="K54" i="10"/>
  <c r="E53" i="10"/>
  <c r="F53" i="10"/>
  <c r="G53" i="10"/>
  <c r="H53" i="10"/>
  <c r="K53" i="10"/>
  <c r="L53" i="10"/>
  <c r="M53" i="10"/>
  <c r="N53" i="10"/>
  <c r="E52" i="10"/>
  <c r="F52" i="10"/>
  <c r="G52" i="10"/>
  <c r="H52" i="10"/>
  <c r="I52" i="10"/>
  <c r="K52" i="10"/>
  <c r="L52" i="10"/>
  <c r="M52" i="10"/>
  <c r="N52" i="10"/>
  <c r="E51" i="10"/>
  <c r="F51" i="10"/>
  <c r="G51" i="10"/>
  <c r="H51" i="10"/>
  <c r="I51" i="10"/>
  <c r="J51" i="10"/>
  <c r="K51" i="10"/>
  <c r="L51" i="10"/>
  <c r="M51" i="10"/>
  <c r="N51" i="10"/>
  <c r="E50" i="10"/>
  <c r="F50" i="10"/>
  <c r="G50" i="10"/>
  <c r="H50" i="10"/>
  <c r="I50" i="10"/>
  <c r="J50" i="10"/>
  <c r="K50" i="10"/>
  <c r="L50" i="10"/>
  <c r="M50" i="10"/>
  <c r="N50" i="10"/>
  <c r="E49" i="10"/>
  <c r="F49" i="10"/>
  <c r="G49" i="10"/>
  <c r="H49" i="10"/>
  <c r="I49" i="10"/>
  <c r="K49" i="10"/>
  <c r="L49" i="10"/>
  <c r="E48" i="10"/>
  <c r="F48" i="10"/>
  <c r="G48" i="10"/>
  <c r="H48" i="10"/>
  <c r="I48" i="10"/>
  <c r="J48" i="10"/>
  <c r="K48" i="10"/>
  <c r="L48" i="10"/>
  <c r="M48" i="10"/>
  <c r="N48" i="10"/>
  <c r="E47" i="10"/>
  <c r="F47" i="10"/>
  <c r="G47" i="10"/>
  <c r="H47" i="10"/>
  <c r="I47" i="10"/>
  <c r="K47" i="10"/>
  <c r="M47" i="10"/>
  <c r="N47" i="10"/>
  <c r="E46" i="10"/>
  <c r="F46" i="10"/>
  <c r="G46" i="10"/>
  <c r="H46" i="10"/>
  <c r="I46" i="10"/>
  <c r="J46" i="10"/>
  <c r="K46" i="10"/>
  <c r="L46" i="10"/>
  <c r="M46" i="10"/>
  <c r="N46" i="10"/>
  <c r="E45" i="10"/>
  <c r="F45" i="10"/>
  <c r="G45" i="10"/>
  <c r="H45" i="10"/>
  <c r="K45" i="10"/>
  <c r="L45" i="10"/>
  <c r="M45" i="10"/>
  <c r="N45" i="10"/>
  <c r="E44" i="10"/>
  <c r="F44" i="10"/>
  <c r="G44" i="10"/>
  <c r="H44" i="10"/>
  <c r="I44" i="10"/>
  <c r="J44" i="10"/>
  <c r="K44" i="10"/>
  <c r="L44" i="10"/>
  <c r="N44" i="10"/>
  <c r="E42" i="10"/>
  <c r="F42" i="10"/>
  <c r="H42" i="10"/>
  <c r="I42" i="10"/>
  <c r="J42" i="10"/>
  <c r="K42" i="10"/>
  <c r="L42" i="10"/>
  <c r="M42" i="10"/>
  <c r="N42" i="10"/>
  <c r="E41" i="10"/>
  <c r="G41" i="10"/>
  <c r="H41" i="10"/>
  <c r="I41" i="10"/>
  <c r="K41" i="10"/>
  <c r="L41" i="10"/>
  <c r="M41" i="10"/>
  <c r="N41" i="10"/>
  <c r="E40" i="10"/>
  <c r="F40" i="10"/>
  <c r="G40" i="10"/>
  <c r="H40" i="10"/>
  <c r="I40" i="10"/>
  <c r="J40" i="10"/>
  <c r="K40" i="10"/>
  <c r="L40" i="10"/>
  <c r="M40" i="10"/>
  <c r="N40" i="10"/>
  <c r="F39" i="10"/>
  <c r="G39" i="10"/>
  <c r="H39" i="10"/>
  <c r="I39" i="10"/>
  <c r="K39" i="10"/>
  <c r="L39" i="10"/>
  <c r="M39" i="10"/>
  <c r="N39" i="10"/>
  <c r="E38" i="10"/>
  <c r="F38" i="10"/>
  <c r="G38" i="10"/>
  <c r="H38" i="10"/>
  <c r="I38" i="10"/>
  <c r="J38" i="10"/>
  <c r="K38" i="10"/>
  <c r="L38" i="10"/>
  <c r="M38" i="10"/>
  <c r="N38" i="10"/>
  <c r="E37" i="10"/>
  <c r="F37" i="10"/>
  <c r="G37" i="10"/>
  <c r="H37" i="10"/>
  <c r="I37" i="10"/>
  <c r="J37" i="10"/>
  <c r="K37" i="10"/>
  <c r="L37" i="10"/>
  <c r="M37" i="10"/>
  <c r="N37" i="10"/>
  <c r="E36" i="10"/>
  <c r="F36" i="10"/>
  <c r="G36" i="10"/>
  <c r="H36" i="10"/>
  <c r="I36" i="10"/>
  <c r="J36" i="10"/>
  <c r="K36" i="10"/>
  <c r="L36" i="10"/>
  <c r="M36" i="10"/>
  <c r="N36" i="10"/>
  <c r="I35" i="10"/>
  <c r="M35" i="10"/>
  <c r="N35" i="10"/>
  <c r="E34" i="10"/>
  <c r="F34" i="10"/>
  <c r="G34" i="10"/>
  <c r="H34" i="10"/>
  <c r="I34" i="10"/>
  <c r="J34" i="10"/>
  <c r="K34" i="10"/>
  <c r="L34" i="10"/>
  <c r="M34" i="10"/>
  <c r="N34" i="10"/>
  <c r="E33" i="10"/>
  <c r="F33" i="10"/>
  <c r="G33" i="10"/>
  <c r="H33" i="10"/>
  <c r="I33" i="10"/>
  <c r="J33" i="10"/>
  <c r="K33" i="10"/>
  <c r="L33" i="10"/>
  <c r="M33" i="10"/>
  <c r="N33" i="10"/>
  <c r="E32" i="10"/>
  <c r="F32" i="10"/>
  <c r="G32" i="10"/>
  <c r="H32" i="10"/>
  <c r="I32" i="10"/>
  <c r="J32" i="10"/>
  <c r="K32" i="10"/>
  <c r="L32" i="10"/>
  <c r="M32" i="10"/>
  <c r="N32" i="10"/>
  <c r="E31" i="10"/>
  <c r="F31" i="10"/>
  <c r="G31" i="10"/>
  <c r="H31" i="10"/>
  <c r="I31" i="10"/>
  <c r="J31" i="10"/>
  <c r="K31" i="10"/>
  <c r="L31" i="10"/>
  <c r="N31" i="10"/>
  <c r="E30" i="10"/>
  <c r="F30" i="10"/>
  <c r="G30" i="10"/>
  <c r="H30" i="10"/>
  <c r="I30" i="10"/>
  <c r="J30" i="10"/>
  <c r="K30" i="10"/>
  <c r="L30" i="10"/>
  <c r="M30" i="10"/>
  <c r="N30" i="10"/>
  <c r="E29" i="10"/>
  <c r="F29" i="10"/>
  <c r="G29" i="10"/>
  <c r="H29" i="10"/>
  <c r="I29" i="10"/>
  <c r="J29" i="10"/>
  <c r="K29" i="10"/>
  <c r="L29" i="10"/>
  <c r="M29" i="10"/>
  <c r="N29" i="10"/>
  <c r="E28" i="10"/>
  <c r="F28" i="10"/>
  <c r="G28" i="10"/>
  <c r="H28" i="10"/>
  <c r="I28" i="10"/>
  <c r="J28" i="10"/>
  <c r="K28" i="10"/>
  <c r="L28" i="10"/>
  <c r="M28" i="10"/>
  <c r="N28" i="10"/>
  <c r="E27" i="10"/>
  <c r="F27" i="10"/>
  <c r="G27" i="10"/>
  <c r="H27" i="10"/>
  <c r="I27" i="10"/>
  <c r="J27" i="10"/>
  <c r="K27" i="10"/>
  <c r="L27" i="10"/>
  <c r="M27" i="10"/>
  <c r="N27" i="10"/>
  <c r="E26" i="10"/>
  <c r="F26" i="10"/>
  <c r="G26" i="10"/>
  <c r="H26" i="10"/>
  <c r="I26" i="10"/>
  <c r="J26" i="10"/>
  <c r="K26" i="10"/>
  <c r="L26" i="10"/>
  <c r="M26" i="10"/>
  <c r="N26" i="10"/>
  <c r="E25" i="10"/>
  <c r="F25" i="10"/>
  <c r="G25" i="10"/>
  <c r="H25" i="10"/>
  <c r="I25" i="10"/>
  <c r="J25" i="10"/>
  <c r="K25" i="10"/>
  <c r="L25" i="10"/>
  <c r="M25" i="10"/>
  <c r="N25" i="10"/>
  <c r="E24" i="10"/>
  <c r="F24" i="10"/>
  <c r="G24" i="10"/>
  <c r="H24" i="10"/>
  <c r="I24" i="10"/>
  <c r="J24" i="10"/>
  <c r="K24" i="10"/>
  <c r="L24" i="10"/>
  <c r="M24" i="10"/>
  <c r="N24" i="10"/>
  <c r="E23" i="10"/>
  <c r="F23" i="10"/>
  <c r="G23" i="10"/>
  <c r="H23" i="10"/>
  <c r="I23" i="10"/>
  <c r="J23" i="10"/>
  <c r="K23" i="10"/>
  <c r="L23" i="10"/>
  <c r="M23" i="10"/>
  <c r="N23" i="10"/>
  <c r="E22" i="10"/>
  <c r="F22" i="10"/>
  <c r="G22" i="10"/>
  <c r="H22" i="10"/>
  <c r="I22" i="10"/>
  <c r="J22" i="10"/>
  <c r="K22" i="10"/>
  <c r="L22" i="10"/>
  <c r="M22" i="10"/>
  <c r="N22" i="10"/>
  <c r="E21" i="10"/>
  <c r="F21" i="10"/>
  <c r="G21" i="10"/>
  <c r="H21" i="10"/>
  <c r="I21" i="10"/>
  <c r="J21" i="10"/>
  <c r="K21" i="10"/>
  <c r="L21" i="10"/>
  <c r="M21" i="10"/>
  <c r="N21" i="10"/>
  <c r="E20" i="10"/>
  <c r="F20" i="10"/>
  <c r="G20" i="10"/>
  <c r="H20" i="10"/>
  <c r="I20" i="10"/>
  <c r="J20" i="10"/>
  <c r="K20" i="10"/>
  <c r="L20" i="10"/>
  <c r="M20" i="10"/>
  <c r="N20" i="10"/>
  <c r="E19" i="10"/>
  <c r="F19" i="10"/>
  <c r="G19" i="10"/>
  <c r="H19" i="10"/>
  <c r="I19" i="10"/>
  <c r="J19" i="10"/>
  <c r="K19" i="10"/>
  <c r="L19" i="10"/>
  <c r="M19" i="10"/>
  <c r="N19" i="10"/>
  <c r="G18" i="10"/>
  <c r="H18" i="10"/>
  <c r="I18" i="10"/>
  <c r="K18" i="10"/>
  <c r="L18" i="10"/>
  <c r="M18" i="10"/>
  <c r="N18" i="10"/>
  <c r="E17" i="10"/>
  <c r="F17" i="10"/>
  <c r="G17" i="10"/>
  <c r="H17" i="10"/>
  <c r="I17" i="10"/>
  <c r="J17" i="10"/>
  <c r="K17" i="10"/>
  <c r="L17" i="10"/>
  <c r="M17" i="10"/>
  <c r="N17" i="10"/>
  <c r="E16" i="10"/>
  <c r="F16" i="10"/>
  <c r="G16" i="10"/>
  <c r="H16" i="10"/>
  <c r="I16" i="10"/>
  <c r="J16" i="10"/>
  <c r="K16" i="10"/>
  <c r="L16" i="10"/>
  <c r="M16" i="10"/>
  <c r="N16" i="10"/>
  <c r="E15" i="10"/>
  <c r="G15" i="10"/>
  <c r="H15" i="10"/>
  <c r="I15" i="10"/>
  <c r="K15" i="10"/>
  <c r="L15" i="10"/>
  <c r="M15" i="10"/>
  <c r="N15" i="10"/>
  <c r="E14" i="10"/>
  <c r="F14" i="10"/>
  <c r="G14" i="10"/>
  <c r="H14" i="10"/>
  <c r="I14" i="10"/>
  <c r="J14" i="10"/>
  <c r="K14" i="10"/>
  <c r="L14" i="10"/>
  <c r="M14" i="10"/>
  <c r="N14" i="10"/>
  <c r="E13" i="10"/>
  <c r="F13" i="10"/>
  <c r="G13" i="10"/>
  <c r="H13" i="10"/>
  <c r="I13" i="10"/>
  <c r="J13" i="10"/>
  <c r="K13" i="10"/>
  <c r="L13" i="10"/>
  <c r="M13" i="10"/>
  <c r="N13" i="10"/>
  <c r="E12" i="10"/>
  <c r="F12" i="10"/>
  <c r="G12" i="10"/>
  <c r="H12" i="10"/>
  <c r="I12" i="10"/>
  <c r="J12" i="10"/>
  <c r="K12" i="10"/>
  <c r="L12" i="10"/>
  <c r="M12" i="10"/>
  <c r="N12" i="10"/>
  <c r="E11" i="10"/>
  <c r="G11" i="10"/>
  <c r="I11" i="10"/>
  <c r="J11" i="10"/>
  <c r="K11" i="10"/>
  <c r="L11" i="10"/>
  <c r="M11" i="10"/>
  <c r="N11" i="10"/>
  <c r="E10" i="10"/>
  <c r="F10" i="10"/>
  <c r="G10" i="10"/>
  <c r="H10" i="10"/>
  <c r="I10" i="10"/>
  <c r="J10" i="10"/>
  <c r="K10" i="10"/>
  <c r="L10" i="10"/>
  <c r="M10" i="10"/>
  <c r="N10" i="10"/>
  <c r="E9" i="10"/>
  <c r="F9" i="10"/>
  <c r="G9" i="10"/>
  <c r="H9" i="10"/>
  <c r="I9" i="10"/>
  <c r="J9" i="10"/>
  <c r="K9" i="10"/>
  <c r="L9" i="10"/>
  <c r="M9" i="10"/>
  <c r="N9" i="10"/>
  <c r="E8" i="10"/>
  <c r="F8" i="10"/>
  <c r="G8" i="10"/>
  <c r="H8" i="10"/>
  <c r="I8" i="10"/>
  <c r="J8" i="10"/>
  <c r="K8" i="10"/>
  <c r="L8" i="10"/>
  <c r="M8" i="10"/>
  <c r="N8" i="10"/>
  <c r="E7" i="10"/>
  <c r="F7" i="10"/>
  <c r="G7" i="10"/>
  <c r="H7" i="10"/>
  <c r="I7" i="10"/>
  <c r="J7" i="10"/>
  <c r="K7" i="10"/>
  <c r="L7" i="10"/>
  <c r="M7" i="10"/>
  <c r="N7" i="10"/>
  <c r="E6" i="10"/>
  <c r="F6" i="10"/>
  <c r="G6" i="10"/>
  <c r="H6" i="10"/>
  <c r="I6" i="10"/>
  <c r="J6" i="10"/>
  <c r="K6" i="10"/>
  <c r="L6" i="10"/>
  <c r="M6" i="10"/>
  <c r="N6" i="10"/>
  <c r="E5" i="10"/>
  <c r="F5" i="10"/>
  <c r="G5" i="10"/>
  <c r="H5" i="10"/>
  <c r="I5" i="10"/>
  <c r="J5" i="10"/>
  <c r="K5" i="10"/>
  <c r="L5" i="10"/>
  <c r="M5" i="10"/>
  <c r="N5" i="10"/>
  <c r="G83" i="4"/>
  <c r="N155" i="4"/>
  <c r="M155" i="4"/>
  <c r="L155" i="4"/>
  <c r="K155" i="4"/>
  <c r="J155" i="4"/>
  <c r="I155" i="4"/>
  <c r="H155" i="4"/>
  <c r="G155" i="4"/>
  <c r="F155" i="4"/>
  <c r="E155" i="4"/>
  <c r="N154" i="4"/>
  <c r="M154" i="4"/>
  <c r="L154" i="4"/>
  <c r="K154" i="4"/>
  <c r="J154" i="4"/>
  <c r="I154" i="4"/>
  <c r="H154" i="4"/>
  <c r="G154" i="4"/>
  <c r="F154" i="4"/>
  <c r="E154" i="4"/>
  <c r="N153" i="4"/>
  <c r="M153" i="4"/>
  <c r="L153" i="4"/>
  <c r="K153" i="4"/>
  <c r="J153" i="4"/>
  <c r="I153" i="4"/>
  <c r="H153" i="4"/>
  <c r="G153" i="4"/>
  <c r="F153" i="4"/>
  <c r="E153" i="4"/>
  <c r="N152" i="4"/>
  <c r="M152" i="4"/>
  <c r="L152" i="4"/>
  <c r="K152" i="4"/>
  <c r="J152" i="4"/>
  <c r="I152" i="4"/>
  <c r="H152" i="4"/>
  <c r="G152" i="4"/>
  <c r="F152" i="4"/>
  <c r="E152" i="4"/>
  <c r="N151" i="4"/>
  <c r="M151" i="4"/>
  <c r="L151" i="4"/>
  <c r="K151" i="4"/>
  <c r="J151" i="4"/>
  <c r="I151" i="4"/>
  <c r="H151" i="4"/>
  <c r="G151" i="4"/>
  <c r="F151" i="4"/>
  <c r="E151" i="4"/>
  <c r="N150" i="4"/>
  <c r="M150" i="4"/>
  <c r="L150" i="4"/>
  <c r="K150" i="4"/>
  <c r="J150" i="4"/>
  <c r="I150" i="4"/>
  <c r="H150" i="4"/>
  <c r="G150" i="4"/>
  <c r="F150" i="4"/>
  <c r="E150" i="4"/>
  <c r="N149" i="4"/>
  <c r="M149" i="4"/>
  <c r="L149" i="4"/>
  <c r="K149" i="4"/>
  <c r="J149" i="4"/>
  <c r="I149" i="4"/>
  <c r="H149" i="4"/>
  <c r="N148" i="4"/>
  <c r="M148" i="4"/>
  <c r="L148" i="4"/>
  <c r="K148" i="4"/>
  <c r="J148" i="4"/>
  <c r="I148" i="4"/>
  <c r="H148" i="4"/>
  <c r="G148" i="4"/>
  <c r="F148" i="4"/>
  <c r="E148" i="4"/>
  <c r="N147" i="4"/>
  <c r="M147" i="4"/>
  <c r="L147" i="4"/>
  <c r="K147" i="4"/>
  <c r="J147" i="4"/>
  <c r="I147" i="4"/>
  <c r="H147" i="4"/>
  <c r="G147" i="4"/>
  <c r="F147" i="4"/>
  <c r="E147" i="4"/>
  <c r="N146" i="4"/>
  <c r="M146" i="4"/>
  <c r="L146" i="4"/>
  <c r="K146" i="4"/>
  <c r="J146" i="4"/>
  <c r="I146" i="4"/>
  <c r="H146" i="4"/>
  <c r="G146" i="4"/>
  <c r="F146" i="4"/>
  <c r="E146" i="4"/>
  <c r="N145" i="4"/>
  <c r="M145" i="4"/>
  <c r="L145" i="4"/>
  <c r="K145" i="4"/>
  <c r="J145" i="4"/>
  <c r="I145" i="4"/>
  <c r="H145" i="4"/>
  <c r="G145" i="4"/>
  <c r="F145" i="4"/>
  <c r="E145" i="4"/>
  <c r="N144" i="4"/>
  <c r="M144" i="4"/>
  <c r="L144" i="4"/>
  <c r="K144" i="4"/>
  <c r="J144" i="4"/>
  <c r="I144" i="4"/>
  <c r="H144" i="4"/>
  <c r="G144" i="4"/>
  <c r="F144" i="4"/>
  <c r="E144" i="4"/>
  <c r="N143" i="4"/>
  <c r="M143" i="4"/>
  <c r="L143" i="4"/>
  <c r="K143" i="4"/>
  <c r="J143" i="4"/>
  <c r="I143" i="4"/>
  <c r="H143" i="4"/>
  <c r="G143" i="4"/>
  <c r="F143" i="4"/>
  <c r="E143" i="4"/>
  <c r="N142" i="4"/>
  <c r="M142" i="4"/>
  <c r="L142" i="4"/>
  <c r="K142" i="4"/>
  <c r="J142" i="4"/>
  <c r="I142" i="4"/>
  <c r="H142" i="4"/>
  <c r="G142" i="4"/>
  <c r="F142" i="4"/>
  <c r="E142" i="4"/>
  <c r="N141" i="4"/>
  <c r="M141" i="4"/>
  <c r="L141" i="4"/>
  <c r="K141" i="4"/>
  <c r="J141" i="4"/>
  <c r="I141" i="4"/>
  <c r="H141" i="4"/>
  <c r="G141" i="4"/>
  <c r="F141" i="4"/>
  <c r="E141" i="4"/>
  <c r="N140" i="4"/>
  <c r="M140" i="4"/>
  <c r="L140" i="4"/>
  <c r="K140" i="4"/>
  <c r="J140" i="4"/>
  <c r="I140" i="4"/>
  <c r="H140" i="4"/>
  <c r="G140" i="4"/>
  <c r="F140" i="4"/>
  <c r="N139" i="4"/>
  <c r="M139" i="4"/>
  <c r="L139" i="4"/>
  <c r="K139" i="4"/>
  <c r="J139" i="4"/>
  <c r="I139" i="4"/>
  <c r="H139" i="4"/>
  <c r="G139" i="4"/>
  <c r="F139" i="4"/>
  <c r="E139" i="4"/>
  <c r="N138" i="4"/>
  <c r="M138" i="4"/>
  <c r="L138" i="4"/>
  <c r="K138" i="4"/>
  <c r="J138" i="4"/>
  <c r="I138" i="4"/>
  <c r="H138" i="4"/>
  <c r="G138" i="4"/>
  <c r="F138" i="4"/>
  <c r="E138" i="4"/>
  <c r="N137" i="4"/>
  <c r="M137" i="4"/>
  <c r="L137" i="4"/>
  <c r="K137" i="4"/>
  <c r="J137" i="4"/>
  <c r="I137" i="4"/>
  <c r="H137" i="4"/>
  <c r="G137" i="4"/>
  <c r="F137" i="4"/>
  <c r="E137" i="4"/>
  <c r="N136" i="4"/>
  <c r="M136" i="4"/>
  <c r="L136" i="4"/>
  <c r="K136" i="4"/>
  <c r="J136" i="4"/>
  <c r="I136" i="4"/>
  <c r="H136" i="4"/>
  <c r="G136" i="4"/>
  <c r="F136" i="4"/>
  <c r="E136" i="4"/>
  <c r="N135" i="4"/>
  <c r="M135" i="4"/>
  <c r="L135" i="4"/>
  <c r="K135" i="4"/>
  <c r="J135" i="4"/>
  <c r="I135" i="4"/>
  <c r="H135" i="4"/>
  <c r="G135" i="4"/>
  <c r="F135" i="4"/>
  <c r="E135" i="4"/>
  <c r="N134" i="4"/>
  <c r="M134" i="4"/>
  <c r="L134" i="4"/>
  <c r="K134" i="4"/>
  <c r="J134" i="4"/>
  <c r="I134" i="4"/>
  <c r="H134" i="4"/>
  <c r="G134" i="4"/>
  <c r="F134" i="4"/>
  <c r="E134" i="4"/>
  <c r="N133" i="4"/>
  <c r="M133" i="4"/>
  <c r="L133" i="4"/>
  <c r="K133" i="4"/>
  <c r="J133" i="4"/>
  <c r="I133" i="4"/>
  <c r="H133" i="4"/>
  <c r="G133" i="4"/>
  <c r="F133" i="4"/>
  <c r="N132" i="4"/>
  <c r="M132" i="4"/>
  <c r="L132" i="4"/>
  <c r="K132" i="4"/>
  <c r="J132" i="4"/>
  <c r="I132" i="4"/>
  <c r="H132" i="4"/>
  <c r="G132" i="4"/>
  <c r="F132" i="4"/>
  <c r="E132" i="4"/>
  <c r="N131" i="4"/>
  <c r="M131" i="4"/>
  <c r="L131" i="4"/>
  <c r="K131" i="4"/>
  <c r="J131" i="4"/>
  <c r="I131" i="4"/>
  <c r="H131" i="4"/>
  <c r="G131" i="4"/>
  <c r="F131" i="4"/>
  <c r="E131" i="4"/>
  <c r="N130" i="4"/>
  <c r="M130" i="4"/>
  <c r="L130" i="4"/>
  <c r="K130" i="4"/>
  <c r="J130" i="4"/>
  <c r="I130" i="4"/>
  <c r="H130" i="4"/>
  <c r="G130" i="4"/>
  <c r="F130" i="4"/>
  <c r="E130" i="4"/>
  <c r="N129" i="4"/>
  <c r="M129" i="4"/>
  <c r="L129" i="4"/>
  <c r="K129" i="4"/>
  <c r="J129" i="4"/>
  <c r="I129" i="4"/>
  <c r="H129" i="4"/>
  <c r="G129" i="4"/>
  <c r="F129" i="4"/>
  <c r="E129" i="4"/>
  <c r="N128" i="4"/>
  <c r="M128" i="4"/>
  <c r="L128" i="4"/>
  <c r="K128" i="4"/>
  <c r="J128" i="4"/>
  <c r="I128" i="4"/>
  <c r="H128" i="4"/>
  <c r="G128" i="4"/>
  <c r="F128" i="4"/>
  <c r="E128" i="4"/>
  <c r="N127" i="4"/>
  <c r="M127" i="4"/>
  <c r="L127" i="4"/>
  <c r="K127" i="4"/>
  <c r="J127" i="4"/>
  <c r="I127" i="4"/>
  <c r="H127" i="4"/>
  <c r="G127" i="4"/>
  <c r="F127" i="4"/>
  <c r="E127" i="4"/>
  <c r="N126" i="4"/>
  <c r="M126" i="4"/>
  <c r="L126" i="4"/>
  <c r="K126" i="4"/>
  <c r="J126" i="4"/>
  <c r="I126" i="4"/>
  <c r="H126" i="4"/>
  <c r="G126" i="4"/>
  <c r="F126" i="4"/>
  <c r="E126" i="4"/>
  <c r="N125" i="4"/>
  <c r="M125" i="4"/>
  <c r="L125" i="4"/>
  <c r="K125" i="4"/>
  <c r="J125" i="4"/>
  <c r="I125" i="4"/>
  <c r="H125" i="4"/>
  <c r="G125" i="4"/>
  <c r="F125" i="4"/>
  <c r="E125" i="4"/>
  <c r="N124" i="4"/>
  <c r="M124" i="4"/>
  <c r="L124" i="4"/>
  <c r="K124" i="4"/>
  <c r="J124" i="4"/>
  <c r="I124" i="4"/>
  <c r="H124" i="4"/>
  <c r="G124" i="4"/>
  <c r="F124" i="4"/>
  <c r="E124" i="4"/>
  <c r="N122" i="4"/>
  <c r="M122" i="4"/>
  <c r="L122" i="4"/>
  <c r="K122" i="4"/>
  <c r="J122" i="4"/>
  <c r="I122" i="4"/>
  <c r="H122" i="4"/>
  <c r="G122" i="4"/>
  <c r="F122" i="4"/>
  <c r="E122" i="4"/>
  <c r="N121" i="4"/>
  <c r="M121" i="4"/>
  <c r="L121" i="4"/>
  <c r="K121" i="4"/>
  <c r="J121" i="4"/>
  <c r="I121" i="4"/>
  <c r="H121" i="4"/>
  <c r="G121" i="4"/>
  <c r="F121" i="4"/>
  <c r="E121" i="4"/>
  <c r="N120" i="4"/>
  <c r="M120" i="4"/>
  <c r="L120" i="4"/>
  <c r="K120" i="4"/>
  <c r="J120" i="4"/>
  <c r="I120" i="4"/>
  <c r="H120" i="4"/>
  <c r="G120" i="4"/>
  <c r="F120" i="4"/>
  <c r="E120" i="4"/>
  <c r="N119" i="4"/>
  <c r="M119" i="4"/>
  <c r="L119" i="4"/>
  <c r="K119" i="4"/>
  <c r="J119" i="4"/>
  <c r="I119" i="4"/>
  <c r="H119" i="4"/>
  <c r="G119" i="4"/>
  <c r="F119" i="4"/>
  <c r="E119" i="4"/>
  <c r="N118" i="4"/>
  <c r="M118" i="4"/>
  <c r="L118" i="4"/>
  <c r="K118" i="4"/>
  <c r="J118" i="4"/>
  <c r="I118" i="4"/>
  <c r="H118" i="4"/>
  <c r="G118" i="4"/>
  <c r="F118" i="4"/>
  <c r="E118" i="4"/>
  <c r="M117" i="4"/>
  <c r="L117" i="4"/>
  <c r="K117" i="4"/>
  <c r="J117" i="4"/>
  <c r="I117" i="4"/>
  <c r="H117" i="4"/>
  <c r="G117" i="4"/>
  <c r="F117" i="4"/>
  <c r="E117" i="4"/>
  <c r="N116" i="4"/>
  <c r="M116" i="4"/>
  <c r="L116" i="4"/>
  <c r="K116" i="4"/>
  <c r="J116" i="4"/>
  <c r="I116" i="4"/>
  <c r="H116" i="4"/>
  <c r="G116" i="4"/>
  <c r="F116" i="4"/>
  <c r="E116" i="4"/>
  <c r="N115" i="4"/>
  <c r="M115" i="4"/>
  <c r="L115" i="4"/>
  <c r="K115" i="4"/>
  <c r="J115" i="4"/>
  <c r="I115" i="4"/>
  <c r="H115" i="4"/>
  <c r="G115" i="4"/>
  <c r="F115" i="4"/>
  <c r="E115" i="4"/>
  <c r="N114" i="4"/>
  <c r="M114" i="4"/>
  <c r="L114" i="4"/>
  <c r="K114" i="4"/>
  <c r="J114" i="4"/>
  <c r="I114" i="4"/>
  <c r="H114" i="4"/>
  <c r="G114" i="4"/>
  <c r="F114" i="4"/>
  <c r="E114" i="4"/>
  <c r="N113" i="4"/>
  <c r="M113" i="4"/>
  <c r="L113" i="4"/>
  <c r="K113" i="4"/>
  <c r="J113" i="4"/>
  <c r="I113" i="4"/>
  <c r="H113" i="4"/>
  <c r="G113" i="4"/>
  <c r="F113" i="4"/>
  <c r="E113" i="4"/>
  <c r="N112" i="4"/>
  <c r="M112" i="4"/>
  <c r="L112" i="4"/>
  <c r="K112" i="4"/>
  <c r="J112" i="4"/>
  <c r="I112" i="4"/>
  <c r="H112" i="4"/>
  <c r="G112" i="4"/>
  <c r="F112" i="4"/>
  <c r="E112" i="4"/>
  <c r="N111" i="4"/>
  <c r="M111" i="4"/>
  <c r="L111" i="4"/>
  <c r="K111" i="4"/>
  <c r="J111" i="4"/>
  <c r="I111" i="4"/>
  <c r="H111" i="4"/>
  <c r="G111" i="4"/>
  <c r="F111" i="4"/>
  <c r="E111" i="4"/>
  <c r="N110" i="4"/>
  <c r="M110" i="4"/>
  <c r="L110" i="4"/>
  <c r="K110" i="4"/>
  <c r="J110" i="4"/>
  <c r="I110" i="4"/>
  <c r="H110" i="4"/>
  <c r="G110" i="4"/>
  <c r="F110" i="4"/>
  <c r="E110" i="4"/>
  <c r="N109" i="4"/>
  <c r="M109" i="4"/>
  <c r="L109" i="4"/>
  <c r="K109" i="4"/>
  <c r="J109" i="4"/>
  <c r="I109" i="4"/>
  <c r="H109" i="4"/>
  <c r="G109" i="4"/>
  <c r="F109" i="4"/>
  <c r="E109" i="4"/>
  <c r="N108" i="4"/>
  <c r="M108" i="4"/>
  <c r="L108" i="4"/>
  <c r="K108" i="4"/>
  <c r="J108" i="4"/>
  <c r="I108" i="4"/>
  <c r="H108" i="4"/>
  <c r="G108" i="4"/>
  <c r="F108" i="4"/>
  <c r="E108" i="4"/>
  <c r="N107" i="4"/>
  <c r="M107" i="4"/>
  <c r="L107" i="4"/>
  <c r="K107" i="4"/>
  <c r="J107" i="4"/>
  <c r="I107" i="4"/>
  <c r="H107" i="4"/>
  <c r="G107" i="4"/>
  <c r="F107" i="4"/>
  <c r="E107" i="4"/>
  <c r="N106" i="4"/>
  <c r="M106" i="4"/>
  <c r="L106" i="4"/>
  <c r="K106" i="4"/>
  <c r="J106" i="4"/>
  <c r="I106" i="4"/>
  <c r="H106" i="4"/>
  <c r="G106" i="4"/>
  <c r="F106" i="4"/>
  <c r="E106" i="4"/>
  <c r="N105" i="4"/>
  <c r="M105" i="4"/>
  <c r="L105" i="4"/>
  <c r="K105" i="4"/>
  <c r="J105" i="4"/>
  <c r="I105" i="4"/>
  <c r="H105" i="4"/>
  <c r="G105" i="4"/>
  <c r="F105" i="4"/>
  <c r="E105" i="4"/>
  <c r="N104" i="4"/>
  <c r="M104" i="4"/>
  <c r="L104" i="4"/>
  <c r="K104" i="4"/>
  <c r="J104" i="4"/>
  <c r="I104" i="4"/>
  <c r="H104" i="4"/>
  <c r="G104" i="4"/>
  <c r="F104" i="4"/>
  <c r="E104" i="4"/>
  <c r="N103" i="4"/>
  <c r="M103" i="4"/>
  <c r="L103" i="4"/>
  <c r="K103" i="4"/>
  <c r="J103" i="4"/>
  <c r="I103" i="4"/>
  <c r="H103" i="4"/>
  <c r="G103" i="4"/>
  <c r="F103" i="4"/>
  <c r="E103" i="4"/>
  <c r="N102" i="4"/>
  <c r="M102" i="4"/>
  <c r="L102" i="4"/>
  <c r="K102" i="4"/>
  <c r="J102" i="4"/>
  <c r="I102" i="4"/>
  <c r="H102" i="4"/>
  <c r="G102" i="4"/>
  <c r="F102" i="4"/>
  <c r="E102" i="4"/>
  <c r="N101" i="4"/>
  <c r="M101" i="4"/>
  <c r="L101" i="4"/>
  <c r="K101" i="4"/>
  <c r="J101" i="4"/>
  <c r="I101" i="4"/>
  <c r="H101" i="4"/>
  <c r="G101" i="4"/>
  <c r="F101" i="4"/>
  <c r="E101" i="4"/>
  <c r="N100" i="4"/>
  <c r="M100" i="4"/>
  <c r="L100" i="4"/>
  <c r="K100" i="4"/>
  <c r="J100" i="4"/>
  <c r="I100" i="4"/>
  <c r="H100" i="4"/>
  <c r="G100" i="4"/>
  <c r="F100" i="4"/>
  <c r="E100" i="4"/>
  <c r="N99" i="4"/>
  <c r="M99" i="4"/>
  <c r="L99" i="4"/>
  <c r="K99" i="4"/>
  <c r="J99" i="4"/>
  <c r="I99" i="4"/>
  <c r="H99" i="4"/>
  <c r="G99" i="4"/>
  <c r="F99" i="4"/>
  <c r="E99" i="4"/>
  <c r="N98" i="4"/>
  <c r="M98" i="4"/>
  <c r="L98" i="4"/>
  <c r="K98" i="4"/>
  <c r="J98" i="4"/>
  <c r="I98" i="4"/>
  <c r="H98" i="4"/>
  <c r="G98" i="4"/>
  <c r="F98" i="4"/>
  <c r="E98" i="4"/>
  <c r="N97" i="4"/>
  <c r="M97" i="4"/>
  <c r="L97" i="4"/>
  <c r="K97" i="4"/>
  <c r="J97" i="4"/>
  <c r="I97" i="4"/>
  <c r="H97" i="4"/>
  <c r="G97" i="4"/>
  <c r="F97" i="4"/>
  <c r="E97" i="4"/>
  <c r="N96" i="4"/>
  <c r="M96" i="4"/>
  <c r="L96" i="4"/>
  <c r="K96" i="4"/>
  <c r="J96" i="4"/>
  <c r="I96" i="4"/>
  <c r="H96" i="4"/>
  <c r="G96" i="4"/>
  <c r="F96" i="4"/>
  <c r="E96" i="4"/>
  <c r="N95" i="4"/>
  <c r="M95" i="4"/>
  <c r="L95" i="4"/>
  <c r="K95" i="4"/>
  <c r="J95" i="4"/>
  <c r="I95" i="4"/>
  <c r="H95" i="4"/>
  <c r="G95" i="4"/>
  <c r="F95" i="4"/>
  <c r="E95" i="4"/>
  <c r="N94" i="4"/>
  <c r="M94" i="4"/>
  <c r="L94" i="4"/>
  <c r="K94" i="4"/>
  <c r="J94" i="4"/>
  <c r="I94" i="4"/>
  <c r="H94" i="4"/>
  <c r="G94" i="4"/>
  <c r="F94" i="4"/>
  <c r="E94" i="4"/>
  <c r="N93" i="4"/>
  <c r="M93" i="4"/>
  <c r="L93" i="4"/>
  <c r="K93" i="4"/>
  <c r="J93" i="4"/>
  <c r="I93" i="4"/>
  <c r="H93" i="4"/>
  <c r="G93" i="4"/>
  <c r="F93" i="4"/>
  <c r="E93" i="4"/>
  <c r="N92" i="4"/>
  <c r="M92" i="4"/>
  <c r="L92" i="4"/>
  <c r="K92" i="4"/>
  <c r="J92" i="4"/>
  <c r="I92" i="4"/>
  <c r="H92" i="4"/>
  <c r="G92" i="4"/>
  <c r="F92" i="4"/>
  <c r="E92" i="4"/>
  <c r="N91" i="4"/>
  <c r="M91" i="4"/>
  <c r="L91" i="4"/>
  <c r="K91" i="4"/>
  <c r="J91" i="4"/>
  <c r="I91" i="4"/>
  <c r="H91" i="4"/>
  <c r="G91" i="4"/>
  <c r="F91" i="4"/>
  <c r="E91" i="4"/>
  <c r="N90" i="4"/>
  <c r="M90" i="4"/>
  <c r="L90" i="4"/>
  <c r="K90" i="4"/>
  <c r="J90" i="4"/>
  <c r="I90" i="4"/>
  <c r="H90" i="4"/>
  <c r="G90" i="4"/>
  <c r="F90" i="4"/>
  <c r="E90" i="4"/>
  <c r="N89" i="4"/>
  <c r="M89" i="4"/>
  <c r="L89" i="4"/>
  <c r="K89" i="4"/>
  <c r="J89" i="4"/>
  <c r="I89" i="4"/>
  <c r="H89" i="4"/>
  <c r="G89" i="4"/>
  <c r="F89" i="4"/>
  <c r="E89" i="4"/>
  <c r="N88" i="4"/>
  <c r="M88" i="4"/>
  <c r="L88" i="4"/>
  <c r="K88" i="4"/>
  <c r="J88" i="4"/>
  <c r="I88" i="4"/>
  <c r="H88" i="4"/>
  <c r="G88" i="4"/>
  <c r="F88" i="4"/>
  <c r="E88" i="4"/>
  <c r="N87" i="4"/>
  <c r="M87" i="4"/>
  <c r="L87" i="4"/>
  <c r="K87" i="4"/>
  <c r="J87" i="4"/>
  <c r="I87" i="4"/>
  <c r="H87" i="4"/>
  <c r="G87" i="4"/>
  <c r="F87" i="4"/>
  <c r="E87" i="4"/>
  <c r="N86" i="4"/>
  <c r="M86" i="4"/>
  <c r="L86" i="4"/>
  <c r="K86" i="4"/>
  <c r="J86" i="4"/>
  <c r="I86" i="4"/>
  <c r="H86" i="4"/>
  <c r="G86" i="4"/>
  <c r="F86" i="4"/>
  <c r="E86" i="4"/>
  <c r="N85" i="4"/>
  <c r="M85" i="4"/>
  <c r="L85" i="4"/>
  <c r="K85" i="4"/>
  <c r="J85" i="4"/>
  <c r="I85" i="4"/>
  <c r="H85" i="4"/>
  <c r="G85" i="4"/>
  <c r="F85" i="4"/>
  <c r="E85" i="4"/>
  <c r="N83" i="4"/>
  <c r="M83" i="4"/>
  <c r="L83" i="4"/>
  <c r="K83" i="4"/>
  <c r="J83" i="4"/>
  <c r="I83" i="4"/>
  <c r="H83" i="4"/>
  <c r="F83" i="4"/>
  <c r="E83" i="4"/>
  <c r="N82" i="4"/>
  <c r="M82" i="4"/>
  <c r="L82" i="4"/>
  <c r="K82" i="4"/>
  <c r="J82" i="4"/>
  <c r="I82" i="4"/>
  <c r="H82" i="4"/>
  <c r="G82" i="4"/>
  <c r="F82" i="4"/>
  <c r="E82" i="4"/>
  <c r="N81" i="4"/>
  <c r="M81" i="4"/>
  <c r="L81" i="4"/>
  <c r="K81" i="4"/>
  <c r="J81" i="4"/>
  <c r="I81" i="4"/>
  <c r="H81" i="4"/>
  <c r="G81" i="4"/>
  <c r="F81" i="4"/>
  <c r="E81" i="4"/>
  <c r="N80" i="4"/>
  <c r="M80" i="4"/>
  <c r="L80" i="4"/>
  <c r="K80" i="4"/>
  <c r="J80" i="4"/>
  <c r="I80" i="4"/>
  <c r="H80" i="4"/>
  <c r="G80" i="4"/>
  <c r="F80" i="4"/>
  <c r="E80" i="4"/>
  <c r="N79" i="4"/>
  <c r="M79" i="4"/>
  <c r="L79" i="4"/>
  <c r="K79" i="4"/>
  <c r="J79" i="4"/>
  <c r="I79" i="4"/>
  <c r="N78" i="4"/>
  <c r="M78" i="4"/>
  <c r="L78" i="4"/>
  <c r="K78" i="4"/>
  <c r="N77" i="4"/>
  <c r="M77" i="4"/>
  <c r="L77" i="4"/>
  <c r="K77" i="4"/>
  <c r="J77" i="4"/>
  <c r="I77" i="4"/>
  <c r="H77" i="4"/>
  <c r="G77" i="4"/>
  <c r="F77" i="4"/>
  <c r="E77" i="4"/>
  <c r="N76" i="4"/>
  <c r="M76" i="4"/>
  <c r="L76" i="4"/>
  <c r="K76" i="4"/>
  <c r="J76" i="4"/>
  <c r="I76" i="4"/>
  <c r="H76" i="4"/>
  <c r="G76" i="4"/>
  <c r="F76" i="4"/>
  <c r="E76" i="4"/>
  <c r="N75" i="4"/>
  <c r="M75" i="4"/>
  <c r="L75" i="4"/>
  <c r="K75" i="4"/>
  <c r="J75" i="4"/>
  <c r="I75" i="4"/>
  <c r="H75" i="4"/>
  <c r="G75" i="4"/>
  <c r="F75" i="4"/>
  <c r="E75" i="4"/>
  <c r="N74" i="4"/>
  <c r="M74" i="4"/>
  <c r="L74" i="4"/>
  <c r="K74" i="4"/>
  <c r="J74" i="4"/>
  <c r="I74" i="4"/>
  <c r="H74" i="4"/>
  <c r="G74" i="4"/>
  <c r="F74" i="4"/>
  <c r="E74" i="4"/>
  <c r="N73" i="4"/>
  <c r="M73" i="4"/>
  <c r="L73" i="4"/>
  <c r="K73" i="4"/>
  <c r="J73" i="4"/>
  <c r="I73" i="4"/>
  <c r="H73" i="4"/>
  <c r="G73" i="4"/>
  <c r="F73" i="4"/>
  <c r="E73" i="4"/>
  <c r="N72" i="4"/>
  <c r="M72" i="4"/>
  <c r="L72" i="4"/>
  <c r="K72" i="4"/>
  <c r="J72" i="4"/>
  <c r="I72" i="4"/>
  <c r="H72" i="4"/>
  <c r="G72" i="4"/>
  <c r="F72" i="4"/>
  <c r="E72" i="4"/>
  <c r="N71" i="4"/>
  <c r="M71" i="4"/>
  <c r="L71" i="4"/>
  <c r="K71" i="4"/>
  <c r="J71" i="4"/>
  <c r="I71" i="4"/>
  <c r="H71" i="4"/>
  <c r="G71" i="4"/>
  <c r="F71" i="4"/>
  <c r="E71" i="4"/>
  <c r="N70" i="4"/>
  <c r="M70" i="4"/>
  <c r="L70" i="4"/>
  <c r="K70" i="4"/>
  <c r="J70" i="4"/>
  <c r="I70" i="4"/>
  <c r="H70" i="4"/>
  <c r="G70" i="4"/>
  <c r="F70" i="4"/>
  <c r="E70" i="4"/>
  <c r="N69" i="4"/>
  <c r="M69" i="4"/>
  <c r="L69" i="4"/>
  <c r="K69" i="4"/>
  <c r="J69" i="4"/>
  <c r="I69" i="4"/>
  <c r="H69" i="4"/>
  <c r="G69" i="4"/>
  <c r="F69" i="4"/>
  <c r="E69" i="4"/>
  <c r="N68" i="4"/>
  <c r="M68" i="4"/>
  <c r="L68" i="4"/>
  <c r="K68" i="4"/>
  <c r="J68" i="4"/>
  <c r="I68" i="4"/>
  <c r="H68" i="4"/>
  <c r="G68" i="4"/>
  <c r="F68" i="4"/>
  <c r="E68" i="4"/>
  <c r="N67" i="4"/>
  <c r="M67" i="4"/>
  <c r="L67" i="4"/>
  <c r="K67" i="4"/>
  <c r="J67" i="4"/>
  <c r="I67" i="4"/>
  <c r="H67" i="4"/>
  <c r="G67" i="4"/>
  <c r="F67" i="4"/>
  <c r="E67" i="4"/>
  <c r="N66" i="4"/>
  <c r="M66" i="4"/>
  <c r="L66" i="4"/>
  <c r="K66" i="4"/>
  <c r="J66" i="4"/>
  <c r="I66" i="4"/>
  <c r="H66" i="4"/>
  <c r="G66" i="4"/>
  <c r="F66" i="4"/>
  <c r="E66" i="4"/>
  <c r="N65" i="4"/>
  <c r="M65" i="4"/>
  <c r="L65" i="4"/>
  <c r="K65" i="4"/>
  <c r="J65" i="4"/>
  <c r="I65" i="4"/>
  <c r="H65" i="4"/>
  <c r="G65" i="4"/>
  <c r="F65" i="4"/>
  <c r="E65" i="4"/>
  <c r="N64" i="4"/>
  <c r="M64" i="4"/>
  <c r="L64" i="4"/>
  <c r="K64" i="4"/>
  <c r="J64" i="4"/>
  <c r="I64" i="4"/>
  <c r="H64" i="4"/>
  <c r="G64" i="4"/>
  <c r="F64" i="4"/>
  <c r="E64" i="4"/>
  <c r="N63" i="4"/>
  <c r="M63" i="4"/>
  <c r="L63" i="4"/>
  <c r="K63" i="4"/>
  <c r="J63" i="4"/>
  <c r="I63" i="4"/>
  <c r="H63" i="4"/>
  <c r="G63" i="4"/>
  <c r="F63" i="4"/>
  <c r="E63" i="4"/>
  <c r="N62" i="4"/>
  <c r="M62" i="4"/>
  <c r="L62" i="4"/>
  <c r="K62" i="4"/>
  <c r="J62" i="4"/>
  <c r="I62" i="4"/>
  <c r="H62" i="4"/>
  <c r="G62" i="4"/>
  <c r="F62" i="4"/>
  <c r="E62" i="4"/>
  <c r="N61" i="4"/>
  <c r="M61" i="4"/>
  <c r="L61" i="4"/>
  <c r="K61" i="4"/>
  <c r="J61" i="4"/>
  <c r="I61" i="4"/>
  <c r="H61" i="4"/>
  <c r="G61" i="4"/>
  <c r="F61" i="4"/>
  <c r="E61" i="4"/>
  <c r="N60" i="4"/>
  <c r="M60" i="4"/>
  <c r="L60" i="4"/>
  <c r="K60" i="4"/>
  <c r="J60" i="4"/>
  <c r="I60" i="4"/>
  <c r="H60" i="4"/>
  <c r="G60" i="4"/>
  <c r="F60" i="4"/>
  <c r="E60" i="4"/>
  <c r="N59" i="4"/>
  <c r="M59" i="4"/>
  <c r="N58" i="4"/>
  <c r="M58" i="4"/>
  <c r="L58" i="4"/>
  <c r="K58" i="4"/>
  <c r="J58" i="4"/>
  <c r="I58" i="4"/>
  <c r="H58" i="4"/>
  <c r="G58" i="4"/>
  <c r="F58" i="4"/>
  <c r="E58" i="4"/>
  <c r="N57" i="4"/>
  <c r="M57" i="4"/>
  <c r="L57" i="4"/>
  <c r="K57" i="4"/>
  <c r="J57" i="4"/>
  <c r="I57" i="4"/>
  <c r="H57" i="4"/>
  <c r="G57" i="4"/>
  <c r="F57" i="4"/>
  <c r="E57" i="4"/>
  <c r="N56" i="4"/>
  <c r="M56" i="4"/>
  <c r="L56" i="4"/>
  <c r="K56" i="4"/>
  <c r="J56" i="4"/>
  <c r="I56" i="4"/>
  <c r="H56" i="4"/>
  <c r="G56" i="4"/>
  <c r="F56" i="4"/>
  <c r="E56" i="4"/>
  <c r="N55" i="4"/>
  <c r="M55" i="4"/>
  <c r="L55" i="4"/>
  <c r="N54" i="4"/>
  <c r="M54" i="4"/>
  <c r="L54" i="4"/>
  <c r="K54" i="4"/>
  <c r="J54" i="4"/>
  <c r="I54" i="4"/>
  <c r="H54" i="4"/>
  <c r="G54" i="4"/>
  <c r="F54" i="4"/>
  <c r="N53" i="4"/>
  <c r="M53" i="4"/>
  <c r="L53" i="4"/>
  <c r="K53" i="4"/>
  <c r="J53" i="4"/>
  <c r="I53" i="4"/>
  <c r="H53" i="4"/>
  <c r="G53" i="4"/>
  <c r="F53" i="4"/>
  <c r="E53" i="4"/>
  <c r="N52" i="4"/>
  <c r="M52" i="4"/>
  <c r="L52" i="4"/>
  <c r="K52" i="4"/>
  <c r="J52" i="4"/>
  <c r="I52" i="4"/>
  <c r="H52" i="4"/>
  <c r="G52" i="4"/>
  <c r="F52" i="4"/>
  <c r="E52" i="4"/>
  <c r="N51" i="4"/>
  <c r="M51" i="4"/>
  <c r="L51" i="4"/>
  <c r="K51" i="4"/>
  <c r="J51" i="4"/>
  <c r="I51" i="4"/>
  <c r="H51" i="4"/>
  <c r="G51" i="4"/>
  <c r="F51" i="4"/>
  <c r="E51" i="4"/>
  <c r="N50" i="4"/>
  <c r="M50" i="4"/>
  <c r="L50" i="4"/>
  <c r="K50" i="4"/>
  <c r="J50" i="4"/>
  <c r="I50" i="4"/>
  <c r="H50" i="4"/>
  <c r="G50" i="4"/>
  <c r="F50" i="4"/>
  <c r="E50" i="4"/>
  <c r="N49" i="4"/>
  <c r="M49" i="4"/>
  <c r="L49" i="4"/>
  <c r="K49" i="4"/>
  <c r="J49" i="4"/>
  <c r="I49" i="4"/>
  <c r="H49" i="4"/>
  <c r="G49" i="4"/>
  <c r="F49" i="4"/>
  <c r="E49" i="4"/>
  <c r="N48" i="4"/>
  <c r="M48" i="4"/>
  <c r="L48" i="4"/>
  <c r="K48" i="4"/>
  <c r="J48" i="4"/>
  <c r="I48" i="4"/>
  <c r="H48" i="4"/>
  <c r="G48" i="4"/>
  <c r="F48" i="4"/>
  <c r="E48" i="4"/>
  <c r="N47" i="4"/>
  <c r="M47" i="4"/>
  <c r="L47" i="4"/>
  <c r="K47" i="4"/>
  <c r="J47" i="4"/>
  <c r="I47" i="4"/>
  <c r="H47" i="4"/>
  <c r="G47" i="4"/>
  <c r="F47" i="4"/>
  <c r="E47" i="4"/>
  <c r="N46" i="4"/>
  <c r="M46" i="4"/>
  <c r="L46" i="4"/>
  <c r="K46" i="4"/>
  <c r="J46" i="4"/>
  <c r="I46" i="4"/>
  <c r="H46" i="4"/>
  <c r="G46" i="4"/>
  <c r="F46" i="4"/>
  <c r="E46" i="4"/>
  <c r="N45" i="4"/>
  <c r="M45" i="4"/>
  <c r="L45" i="4"/>
  <c r="K45" i="4"/>
  <c r="J45" i="4"/>
  <c r="I45" i="4"/>
  <c r="H45" i="4"/>
  <c r="G45" i="4"/>
  <c r="F45" i="4"/>
  <c r="E45" i="4"/>
  <c r="N44" i="4"/>
  <c r="M44" i="4"/>
  <c r="L44" i="4"/>
  <c r="K44" i="4"/>
  <c r="J44" i="4"/>
  <c r="I44" i="4"/>
  <c r="H44" i="4"/>
  <c r="G44" i="4"/>
  <c r="F44" i="4"/>
  <c r="E44" i="4"/>
  <c r="N42" i="4"/>
  <c r="M42" i="4"/>
  <c r="L42" i="4"/>
  <c r="K42" i="4"/>
  <c r="J42" i="4"/>
  <c r="I42" i="4"/>
  <c r="H42" i="4"/>
  <c r="G42" i="4"/>
  <c r="F42" i="4"/>
  <c r="E42" i="4"/>
  <c r="N41" i="4"/>
  <c r="M41" i="4"/>
  <c r="L41" i="4"/>
  <c r="K41" i="4"/>
  <c r="J41" i="4"/>
  <c r="I41" i="4"/>
  <c r="H41" i="4"/>
  <c r="G41" i="4"/>
  <c r="F41" i="4"/>
  <c r="E41" i="4"/>
  <c r="N40" i="4"/>
  <c r="M40" i="4"/>
  <c r="L40" i="4"/>
  <c r="K40" i="4"/>
  <c r="J40" i="4"/>
  <c r="I40" i="4"/>
  <c r="H40" i="4"/>
  <c r="G40" i="4"/>
  <c r="F40" i="4"/>
  <c r="E40" i="4"/>
  <c r="N39" i="4"/>
  <c r="M39" i="4"/>
  <c r="L39" i="4"/>
  <c r="K39" i="4"/>
  <c r="J39" i="4"/>
  <c r="I39" i="4"/>
  <c r="H39" i="4"/>
  <c r="G39" i="4"/>
  <c r="F39" i="4"/>
  <c r="E39" i="4"/>
  <c r="N38" i="4"/>
  <c r="M38" i="4"/>
  <c r="L38" i="4"/>
  <c r="K38" i="4"/>
  <c r="J38" i="4"/>
  <c r="I38" i="4"/>
  <c r="H38" i="4"/>
  <c r="G38" i="4"/>
  <c r="F38" i="4"/>
  <c r="E38" i="4"/>
  <c r="N37" i="4"/>
  <c r="M37" i="4"/>
  <c r="L37" i="4"/>
  <c r="K37" i="4"/>
  <c r="J37" i="4"/>
  <c r="I37" i="4"/>
  <c r="H37" i="4"/>
  <c r="G37" i="4"/>
  <c r="F37" i="4"/>
  <c r="E37" i="4"/>
  <c r="N36" i="4"/>
  <c r="M36" i="4"/>
  <c r="L36" i="4"/>
  <c r="K36" i="4"/>
  <c r="J36" i="4"/>
  <c r="I36" i="4"/>
  <c r="H36" i="4"/>
  <c r="G36" i="4"/>
  <c r="F36" i="4"/>
  <c r="E36" i="4"/>
  <c r="N35" i="4"/>
  <c r="M35" i="4"/>
  <c r="L35" i="4"/>
  <c r="K35" i="4"/>
  <c r="J35" i="4"/>
  <c r="I35" i="4"/>
  <c r="H35" i="4"/>
  <c r="G35" i="4"/>
  <c r="F35" i="4"/>
  <c r="E35" i="4"/>
  <c r="N34" i="4"/>
  <c r="M34" i="4"/>
  <c r="L34" i="4"/>
  <c r="K34" i="4"/>
  <c r="J34" i="4"/>
  <c r="I34" i="4"/>
  <c r="H34" i="4"/>
  <c r="G34" i="4"/>
  <c r="F34" i="4"/>
  <c r="E34" i="4"/>
  <c r="N33" i="4"/>
  <c r="M33" i="4"/>
  <c r="L33" i="4"/>
  <c r="K33" i="4"/>
  <c r="J33" i="4"/>
  <c r="I33" i="4"/>
  <c r="H33" i="4"/>
  <c r="G33" i="4"/>
  <c r="F33" i="4"/>
  <c r="N32" i="4"/>
  <c r="M32" i="4"/>
  <c r="L32" i="4"/>
  <c r="K32" i="4"/>
  <c r="J32" i="4"/>
  <c r="I32" i="4"/>
  <c r="H32" i="4"/>
  <c r="N31" i="4"/>
  <c r="M31" i="4"/>
  <c r="L31" i="4"/>
  <c r="K31" i="4"/>
  <c r="J31" i="4"/>
  <c r="N30" i="4"/>
  <c r="M30" i="4"/>
  <c r="L30" i="4"/>
  <c r="K30" i="4"/>
  <c r="J30" i="4"/>
  <c r="I30" i="4"/>
  <c r="H30" i="4"/>
  <c r="G30" i="4"/>
  <c r="F30" i="4"/>
  <c r="E30" i="4"/>
  <c r="N29" i="4"/>
  <c r="M29" i="4"/>
  <c r="L29" i="4"/>
  <c r="K29" i="4"/>
  <c r="J29" i="4"/>
  <c r="I29" i="4"/>
  <c r="H29" i="4"/>
  <c r="G29" i="4"/>
  <c r="F29" i="4"/>
  <c r="E29" i="4"/>
  <c r="N28" i="4"/>
  <c r="M28" i="4"/>
  <c r="L28" i="4"/>
  <c r="K28" i="4"/>
  <c r="J28" i="4"/>
  <c r="I28" i="4"/>
  <c r="H28" i="4"/>
  <c r="G28" i="4"/>
  <c r="F28" i="4"/>
  <c r="E28" i="4"/>
  <c r="N27" i="4"/>
  <c r="M27" i="4"/>
  <c r="N26" i="4"/>
  <c r="M26" i="4"/>
  <c r="L26" i="4"/>
  <c r="K26" i="4"/>
  <c r="J26" i="4"/>
  <c r="I26" i="4"/>
  <c r="H26" i="4"/>
  <c r="G26" i="4"/>
  <c r="N25" i="4"/>
  <c r="M25" i="4"/>
  <c r="L25" i="4"/>
  <c r="K25" i="4"/>
  <c r="J25" i="4"/>
  <c r="I25" i="4"/>
  <c r="H25" i="4"/>
  <c r="G25" i="4"/>
  <c r="F25" i="4"/>
  <c r="E25" i="4"/>
  <c r="N24" i="4"/>
  <c r="M24" i="4"/>
  <c r="L24" i="4"/>
  <c r="K24" i="4"/>
  <c r="J24" i="4"/>
  <c r="I24" i="4"/>
  <c r="H24" i="4"/>
  <c r="G24" i="4"/>
  <c r="F24" i="4"/>
  <c r="E24" i="4"/>
  <c r="N23" i="4"/>
  <c r="M23" i="4"/>
  <c r="L23" i="4"/>
  <c r="K23" i="4"/>
  <c r="J23" i="4"/>
  <c r="I23" i="4"/>
  <c r="H23" i="4"/>
  <c r="G23" i="4"/>
  <c r="F23" i="4"/>
  <c r="N22" i="4"/>
  <c r="M22" i="4"/>
  <c r="L22" i="4"/>
  <c r="K22" i="4"/>
  <c r="J22" i="4"/>
  <c r="I22" i="4"/>
  <c r="H22" i="4"/>
  <c r="G22" i="4"/>
  <c r="F22" i="4"/>
  <c r="E22" i="4"/>
  <c r="N21" i="4"/>
  <c r="M21" i="4"/>
  <c r="L21" i="4"/>
  <c r="K21" i="4"/>
  <c r="J21" i="4"/>
  <c r="I21" i="4"/>
  <c r="H21" i="4"/>
  <c r="G21" i="4"/>
  <c r="F21" i="4"/>
  <c r="E21" i="4"/>
  <c r="N20" i="4"/>
  <c r="M20" i="4"/>
  <c r="L20" i="4"/>
  <c r="K20" i="4"/>
  <c r="J20" i="4"/>
  <c r="I20" i="4"/>
  <c r="H20" i="4"/>
  <c r="G20" i="4"/>
  <c r="N18" i="4"/>
  <c r="M18" i="4"/>
  <c r="L18" i="4"/>
  <c r="K18" i="4"/>
  <c r="J18" i="4"/>
  <c r="I18" i="4"/>
  <c r="H18" i="4"/>
  <c r="G18" i="4"/>
  <c r="F18" i="4"/>
  <c r="E18" i="4"/>
  <c r="N17" i="4"/>
  <c r="M17" i="4"/>
  <c r="L17" i="4"/>
  <c r="K17" i="4"/>
  <c r="J17" i="4"/>
  <c r="I17" i="4"/>
  <c r="H17" i="4"/>
  <c r="G17" i="4"/>
  <c r="F17" i="4"/>
  <c r="E17" i="4"/>
  <c r="N16" i="4"/>
  <c r="M16" i="4"/>
  <c r="L16" i="4"/>
  <c r="K16" i="4"/>
  <c r="J16" i="4"/>
  <c r="I16" i="4"/>
  <c r="H16" i="4"/>
  <c r="G16" i="4"/>
  <c r="F16" i="4"/>
  <c r="E16" i="4"/>
  <c r="M15" i="4"/>
  <c r="L15" i="4"/>
  <c r="K15" i="4"/>
  <c r="J15" i="4"/>
  <c r="I15" i="4"/>
  <c r="H15" i="4"/>
  <c r="G15" i="4"/>
  <c r="F15" i="4"/>
  <c r="E15" i="4"/>
  <c r="N14" i="4"/>
  <c r="M14" i="4"/>
  <c r="L14" i="4"/>
  <c r="K14" i="4"/>
  <c r="J14" i="4"/>
  <c r="I14" i="4"/>
  <c r="H14" i="4"/>
  <c r="G14" i="4"/>
  <c r="F14" i="4"/>
  <c r="E14" i="4"/>
  <c r="N13" i="4"/>
  <c r="M13" i="4"/>
  <c r="L13" i="4"/>
  <c r="K13" i="4"/>
  <c r="J13" i="4"/>
  <c r="I13" i="4"/>
  <c r="H13" i="4"/>
  <c r="G13" i="4"/>
  <c r="F13" i="4"/>
  <c r="E13" i="4"/>
  <c r="N12" i="4"/>
  <c r="M12" i="4"/>
  <c r="L12" i="4"/>
  <c r="K12" i="4"/>
  <c r="J12" i="4"/>
  <c r="I12" i="4"/>
  <c r="H12" i="4"/>
  <c r="G12" i="4"/>
  <c r="F12" i="4"/>
  <c r="E12" i="4"/>
  <c r="N11" i="4"/>
  <c r="M11" i="4"/>
  <c r="L11" i="4"/>
  <c r="K11" i="4"/>
  <c r="J11" i="4"/>
  <c r="I11" i="4"/>
  <c r="H11" i="4"/>
  <c r="G11" i="4"/>
  <c r="F11" i="4"/>
  <c r="E11" i="4"/>
  <c r="N10" i="4"/>
  <c r="M10" i="4"/>
  <c r="L10" i="4"/>
  <c r="K10" i="4"/>
  <c r="J10" i="4"/>
  <c r="I10" i="4"/>
  <c r="H10" i="4"/>
  <c r="G10" i="4"/>
  <c r="F10" i="4"/>
  <c r="E10" i="4"/>
  <c r="N9" i="4"/>
  <c r="M9" i="4"/>
  <c r="L9" i="4"/>
  <c r="K9" i="4"/>
  <c r="J9" i="4"/>
  <c r="I9" i="4"/>
  <c r="H9" i="4"/>
  <c r="G9" i="4"/>
  <c r="F9" i="4"/>
  <c r="E9" i="4"/>
  <c r="N8" i="4"/>
  <c r="M8" i="4"/>
  <c r="L8" i="4"/>
  <c r="K8" i="4"/>
  <c r="J8" i="4"/>
  <c r="I8" i="4"/>
  <c r="H8" i="4"/>
  <c r="G8" i="4"/>
  <c r="F8" i="4"/>
  <c r="E8" i="4"/>
  <c r="N7" i="4"/>
  <c r="M7" i="4"/>
  <c r="L7" i="4"/>
  <c r="K7" i="4"/>
  <c r="J7" i="4"/>
  <c r="I7" i="4"/>
  <c r="H7" i="4"/>
  <c r="G7" i="4"/>
  <c r="F7" i="4"/>
  <c r="E7" i="4"/>
  <c r="N6" i="4"/>
  <c r="M6" i="4"/>
  <c r="L6" i="4"/>
  <c r="K6" i="4"/>
  <c r="J6" i="4"/>
  <c r="I6" i="4"/>
  <c r="H6" i="4"/>
  <c r="G6" i="4"/>
  <c r="F6" i="4"/>
  <c r="E6" i="4"/>
  <c r="N5" i="4"/>
  <c r="M5" i="4"/>
  <c r="L5" i="4"/>
  <c r="K5" i="4"/>
  <c r="J5" i="4"/>
  <c r="I5" i="4"/>
  <c r="H5" i="4"/>
  <c r="G5" i="4"/>
  <c r="F5" i="4"/>
  <c r="E5" i="4"/>
  <c r="Q81" i="13" l="1"/>
  <c r="S81" i="13" s="1"/>
  <c r="P81" i="13"/>
  <c r="R81" i="13" s="1"/>
  <c r="T81" i="13" s="1"/>
  <c r="P94" i="13"/>
  <c r="R94" i="13" s="1"/>
  <c r="Q94" i="13"/>
  <c r="S94" i="13" s="1"/>
  <c r="Q98" i="13"/>
  <c r="S98" i="13" s="1"/>
  <c r="P98" i="13"/>
  <c r="R98" i="13" s="1"/>
  <c r="T98" i="13" s="1"/>
  <c r="Q100" i="13"/>
  <c r="S100" i="13" s="1"/>
  <c r="P100" i="13"/>
  <c r="R100" i="13" s="1"/>
  <c r="T100" i="13" s="1"/>
  <c r="P119" i="13"/>
  <c r="R119" i="13" s="1"/>
  <c r="Q119" i="13"/>
  <c r="S119" i="13" s="1"/>
  <c r="Q123" i="13"/>
  <c r="S123" i="13" s="1"/>
  <c r="P123" i="13"/>
  <c r="R123" i="13" s="1"/>
  <c r="T123" i="13" s="1"/>
  <c r="Q128" i="13"/>
  <c r="S128" i="13" s="1"/>
  <c r="P128" i="13"/>
  <c r="R128" i="13" s="1"/>
  <c r="T128" i="13" s="1"/>
  <c r="P154" i="13"/>
  <c r="R154" i="13"/>
  <c r="S154" i="13"/>
  <c r="N154" i="13"/>
  <c r="Q159" i="13"/>
  <c r="S159" i="13" s="1"/>
  <c r="P159" i="13"/>
  <c r="R159" i="13" s="1"/>
  <c r="T159" i="13" s="1"/>
  <c r="P164" i="13"/>
  <c r="R164" i="13" s="1"/>
  <c r="Q164" i="13"/>
  <c r="S164" i="13" s="1"/>
  <c r="N173" i="13"/>
  <c r="Q173" i="13"/>
  <c r="S173" i="13" s="1"/>
  <c r="T173" i="13" s="1"/>
  <c r="Q176" i="13"/>
  <c r="S176" i="13" s="1"/>
  <c r="P176" i="13"/>
  <c r="R176" i="13" s="1"/>
  <c r="T176" i="13" s="1"/>
  <c r="Q191" i="13"/>
  <c r="S191" i="13" s="1"/>
  <c r="P191" i="13"/>
  <c r="R191" i="13" s="1"/>
  <c r="T191" i="13" s="1"/>
  <c r="Q195" i="13"/>
  <c r="S195" i="13" s="1"/>
  <c r="T195" i="13" s="1"/>
  <c r="N195" i="13"/>
  <c r="Q208" i="13"/>
  <c r="S208" i="13" s="1"/>
  <c r="P208" i="13"/>
  <c r="R208" i="13" s="1"/>
  <c r="T208" i="13" s="1"/>
  <c r="Q212" i="13"/>
  <c r="S212" i="13" s="1"/>
  <c r="P212" i="13"/>
  <c r="R212" i="13" s="1"/>
  <c r="T212" i="13" s="1"/>
  <c r="Q214" i="13"/>
  <c r="S214" i="13" s="1"/>
  <c r="P214" i="13"/>
  <c r="R214" i="13" s="1"/>
  <c r="T214" i="13" s="1"/>
  <c r="P220" i="13"/>
  <c r="R220" i="13" s="1"/>
  <c r="Q220" i="13"/>
  <c r="S220" i="13" s="1"/>
  <c r="Q429" i="13"/>
  <c r="S429" i="13" s="1"/>
  <c r="P429" i="13"/>
  <c r="R429" i="13" s="1"/>
  <c r="T429" i="13" s="1"/>
  <c r="Q583" i="13"/>
  <c r="S583" i="13" s="1"/>
  <c r="P583" i="13"/>
  <c r="R583" i="13" s="1"/>
  <c r="T583" i="13" s="1"/>
  <c r="P592" i="13"/>
  <c r="R592" i="13" s="1"/>
  <c r="Q592" i="13"/>
  <c r="S592" i="13" s="1"/>
  <c r="P593" i="13"/>
  <c r="R593" i="13" s="1"/>
  <c r="Q593" i="13"/>
  <c r="S593" i="13" s="1"/>
  <c r="Q603" i="13"/>
  <c r="S603" i="13" s="1"/>
  <c r="P603" i="13"/>
  <c r="R603" i="13" s="1"/>
  <c r="T603" i="13" s="1"/>
  <c r="P604" i="13"/>
  <c r="R604" i="13" s="1"/>
  <c r="Q604" i="13"/>
  <c r="S604" i="13" s="1"/>
  <c r="P607" i="13"/>
  <c r="R607" i="13" s="1"/>
  <c r="Q607" i="13"/>
  <c r="S607" i="13" s="1"/>
  <c r="P611" i="13"/>
  <c r="R611" i="13" s="1"/>
  <c r="Q611" i="13"/>
  <c r="S611" i="13" s="1"/>
  <c r="Q614" i="13"/>
  <c r="S614" i="13" s="1"/>
  <c r="P614" i="13"/>
  <c r="R614" i="13" s="1"/>
  <c r="Q625" i="13"/>
  <c r="S625" i="13" s="1"/>
  <c r="P625" i="13"/>
  <c r="R625" i="13" s="1"/>
  <c r="T625" i="13" s="1"/>
  <c r="Q636" i="13"/>
  <c r="S636" i="13" s="1"/>
  <c r="P636" i="13"/>
  <c r="R636" i="13" s="1"/>
  <c r="T636" i="13" s="1"/>
  <c r="P645" i="13"/>
  <c r="R645" i="13" s="1"/>
  <c r="Q645" i="13"/>
  <c r="S645" i="13" s="1"/>
  <c r="P647" i="13"/>
  <c r="R647" i="13" s="1"/>
  <c r="Q647" i="13"/>
  <c r="S647" i="13" s="1"/>
  <c r="Q649" i="13"/>
  <c r="S649" i="13" s="1"/>
  <c r="P649" i="13"/>
  <c r="R649" i="13" s="1"/>
  <c r="T649" i="13" s="1"/>
  <c r="P662" i="13"/>
  <c r="R662" i="13" s="1"/>
  <c r="Q662" i="13"/>
  <c r="S662" i="13" s="1"/>
  <c r="P666" i="13"/>
  <c r="R666" i="13" s="1"/>
  <c r="Q666" i="13"/>
  <c r="S666" i="13" s="1"/>
  <c r="N668" i="13"/>
  <c r="S668" i="13"/>
  <c r="P668" i="13"/>
  <c r="R668" i="13" s="1"/>
  <c r="T668" i="13" s="1"/>
  <c r="P788" i="13"/>
  <c r="R788" i="13" s="1"/>
  <c r="Q788" i="13"/>
  <c r="S788" i="13" s="1"/>
  <c r="P789" i="13"/>
  <c r="R789" i="13" s="1"/>
  <c r="Q789" i="13"/>
  <c r="S789" i="13" s="1"/>
  <c r="P790" i="13"/>
  <c r="R790" i="13" s="1"/>
  <c r="Q790" i="13"/>
  <c r="S790" i="13" s="1"/>
  <c r="P791" i="13"/>
  <c r="R791" i="13" s="1"/>
  <c r="Q791" i="13"/>
  <c r="S791" i="13" s="1"/>
  <c r="P793" i="13"/>
  <c r="R793" i="13" s="1"/>
  <c r="Q793" i="13"/>
  <c r="S793" i="13" s="1"/>
  <c r="P794" i="13"/>
  <c r="R794" i="13" s="1"/>
  <c r="Q794" i="13"/>
  <c r="S794" i="13" s="1"/>
  <c r="Q797" i="13"/>
  <c r="S797" i="13" s="1"/>
  <c r="P797" i="13"/>
  <c r="R797" i="13" s="1"/>
  <c r="T797" i="13" s="1"/>
  <c r="Q799" i="13"/>
  <c r="S799" i="13" s="1"/>
  <c r="P799" i="13"/>
  <c r="R799" i="13" s="1"/>
  <c r="T799" i="13" s="1"/>
  <c r="Q801" i="13"/>
  <c r="S801" i="13" s="1"/>
  <c r="P801" i="13"/>
  <c r="R801" i="13" s="1"/>
  <c r="T801" i="13" s="1"/>
  <c r="Q804" i="13"/>
  <c r="S804" i="13" s="1"/>
  <c r="P804" i="13"/>
  <c r="R804" i="13" s="1"/>
  <c r="T804" i="13" s="1"/>
  <c r="P808" i="13"/>
  <c r="R808" i="13" s="1"/>
  <c r="Q808" i="13"/>
  <c r="S808" i="13" s="1"/>
  <c r="P816" i="13"/>
  <c r="R816" i="13" s="1"/>
  <c r="Q816" i="13"/>
  <c r="S816" i="13" s="1"/>
  <c r="P818" i="13"/>
  <c r="R818" i="13" s="1"/>
  <c r="Q818" i="13"/>
  <c r="S818" i="13" s="1"/>
  <c r="Q819" i="13"/>
  <c r="S819" i="13" s="1"/>
  <c r="P819" i="13"/>
  <c r="R819" i="13" s="1"/>
  <c r="T819" i="13" s="1"/>
  <c r="Q824" i="13"/>
  <c r="S824" i="13" s="1"/>
  <c r="P824" i="13"/>
  <c r="R824" i="13" s="1"/>
  <c r="T824" i="13" s="1"/>
  <c r="P825" i="13"/>
  <c r="R825" i="13" s="1"/>
  <c r="Q825" i="13"/>
  <c r="S825" i="13" s="1"/>
  <c r="P832" i="13"/>
  <c r="R832" i="13" s="1"/>
  <c r="Q832" i="13"/>
  <c r="S832" i="13" s="1"/>
  <c r="Q837" i="13"/>
  <c r="S837" i="13" s="1"/>
  <c r="P837" i="13"/>
  <c r="R837" i="13" s="1"/>
  <c r="T837" i="13" s="1"/>
  <c r="P839" i="13"/>
  <c r="R839" i="13" s="1"/>
  <c r="Q839" i="13"/>
  <c r="S839" i="13" s="1"/>
  <c r="Q843" i="13"/>
  <c r="S843" i="13" s="1"/>
  <c r="P843" i="13"/>
  <c r="R843" i="13" s="1"/>
  <c r="T843" i="13" s="1"/>
  <c r="Q844" i="13"/>
  <c r="S844" i="13" s="1"/>
  <c r="P844" i="13"/>
  <c r="R844" i="13" s="1"/>
  <c r="T844" i="13" s="1"/>
  <c r="P846" i="13"/>
  <c r="R846" i="13" s="1"/>
  <c r="Q846" i="13"/>
  <c r="S846" i="13" s="1"/>
  <c r="Q848" i="13"/>
  <c r="S848" i="13" s="1"/>
  <c r="P848" i="13"/>
  <c r="R848" i="13" s="1"/>
  <c r="T848" i="13" s="1"/>
  <c r="Q849" i="13"/>
  <c r="S849" i="13" s="1"/>
  <c r="P849" i="13"/>
  <c r="R849" i="13" s="1"/>
  <c r="T849" i="13" s="1"/>
  <c r="Q851" i="13"/>
  <c r="S851" i="13" s="1"/>
  <c r="P851" i="13"/>
  <c r="R851" i="13" s="1"/>
  <c r="P852" i="13"/>
  <c r="R852" i="13" s="1"/>
  <c r="Q852" i="13"/>
  <c r="S852" i="13" s="1"/>
  <c r="P853" i="13"/>
  <c r="R853" i="13" s="1"/>
  <c r="Q853" i="13"/>
  <c r="S853" i="13" s="1"/>
  <c r="P856" i="13"/>
  <c r="R856" i="13" s="1"/>
  <c r="Q856" i="13"/>
  <c r="S856" i="13" s="1"/>
  <c r="Q859" i="13"/>
  <c r="S859" i="13" s="1"/>
  <c r="P859" i="13"/>
  <c r="R859" i="13" s="1"/>
  <c r="T859" i="13" s="1"/>
  <c r="P860" i="13"/>
  <c r="R860" i="13" s="1"/>
  <c r="Q860" i="13"/>
  <c r="S860" i="13" s="1"/>
  <c r="Q867" i="13"/>
  <c r="S867" i="13" s="1"/>
  <c r="P867" i="13"/>
  <c r="R867" i="13" s="1"/>
  <c r="T867" i="13" s="1"/>
  <c r="P871" i="13"/>
  <c r="R871" i="13" s="1"/>
  <c r="Q871" i="13"/>
  <c r="S871" i="13" s="1"/>
  <c r="Q875" i="13"/>
  <c r="S875" i="13" s="1"/>
  <c r="P875" i="13"/>
  <c r="R875" i="13" s="1"/>
  <c r="T875" i="13" s="1"/>
  <c r="P876" i="13"/>
  <c r="R876" i="13" s="1"/>
  <c r="Q876" i="13"/>
  <c r="S876" i="13" s="1"/>
  <c r="P887" i="13"/>
  <c r="R887" i="13" s="1"/>
  <c r="Q887" i="13"/>
  <c r="S887" i="13" s="1"/>
  <c r="P888" i="13"/>
  <c r="R888" i="13" s="1"/>
  <c r="Q888" i="13"/>
  <c r="S888" i="13" s="1"/>
  <c r="P890" i="13"/>
  <c r="R890" i="13" s="1"/>
  <c r="T890" i="13" s="1"/>
  <c r="Q890" i="13"/>
  <c r="S890" i="13" s="1"/>
  <c r="P892" i="13"/>
  <c r="R892" i="13" s="1"/>
  <c r="Q892" i="13"/>
  <c r="S892" i="13" s="1"/>
  <c r="P902" i="13"/>
  <c r="R902" i="13" s="1"/>
  <c r="T902" i="13" s="1"/>
  <c r="Q902" i="13"/>
  <c r="S902" i="13" s="1"/>
  <c r="Q908" i="13"/>
  <c r="S908" i="13" s="1"/>
  <c r="P908" i="13"/>
  <c r="R908" i="13" s="1"/>
  <c r="T908" i="13" s="1"/>
  <c r="Q912" i="13"/>
  <c r="S912" i="13" s="1"/>
  <c r="P912" i="13"/>
  <c r="R912" i="13" s="1"/>
  <c r="T912" i="13" s="1"/>
  <c r="P913" i="13"/>
  <c r="R913" i="13" s="1"/>
  <c r="Q913" i="13"/>
  <c r="S913" i="13" s="1"/>
  <c r="Q918" i="13"/>
  <c r="S918" i="13" s="1"/>
  <c r="P918" i="13"/>
  <c r="R918" i="13" s="1"/>
  <c r="T918" i="13" s="1"/>
  <c r="P930" i="13"/>
  <c r="R930" i="13" s="1"/>
  <c r="Q930" i="13"/>
  <c r="S930" i="13" s="1"/>
  <c r="P945" i="13"/>
  <c r="R945" i="13" s="1"/>
  <c r="T945" i="13" s="1"/>
  <c r="Q945" i="13"/>
  <c r="S945" i="13" s="1"/>
  <c r="Q950" i="13"/>
  <c r="S950" i="13" s="1"/>
  <c r="P950" i="13"/>
  <c r="R950" i="13" s="1"/>
  <c r="T950" i="13" s="1"/>
  <c r="P956" i="13"/>
  <c r="R956" i="13" s="1"/>
  <c r="T956" i="13" s="1"/>
  <c r="Q956" i="13"/>
  <c r="S956" i="13" s="1"/>
  <c r="Q967" i="13"/>
  <c r="S967" i="13" s="1"/>
  <c r="P967" i="13"/>
  <c r="R967" i="13" s="1"/>
  <c r="T967" i="13" s="1"/>
  <c r="Q974" i="13"/>
  <c r="S974" i="13" s="1"/>
  <c r="P974" i="13"/>
  <c r="R974" i="13" s="1"/>
  <c r="T974" i="13" s="1"/>
  <c r="P975" i="13"/>
  <c r="R975" i="13" s="1"/>
  <c r="T975" i="13" s="1"/>
  <c r="Q975" i="13"/>
  <c r="S975" i="13" s="1"/>
  <c r="Q982" i="13"/>
  <c r="S982" i="13" s="1"/>
  <c r="P982" i="13"/>
  <c r="R982" i="13" s="1"/>
  <c r="T982" i="13" s="1"/>
  <c r="Q989" i="13"/>
  <c r="S989" i="13" s="1"/>
  <c r="P989" i="13"/>
  <c r="R989" i="13" s="1"/>
  <c r="T989" i="13" s="1"/>
  <c r="Q995" i="13"/>
  <c r="S995" i="13" s="1"/>
  <c r="P995" i="13"/>
  <c r="R995" i="13" s="1"/>
  <c r="T995" i="13" s="1"/>
  <c r="P998" i="13"/>
  <c r="R998" i="13" s="1"/>
  <c r="Q998" i="13"/>
  <c r="S998" i="13" s="1"/>
  <c r="P999" i="13"/>
  <c r="R999" i="13" s="1"/>
  <c r="Q999" i="13"/>
  <c r="S999" i="13" s="1"/>
  <c r="P1006" i="13"/>
  <c r="R1006" i="13" s="1"/>
  <c r="Q1006" i="13"/>
  <c r="S1006" i="13" s="1"/>
  <c r="Q1012" i="13"/>
  <c r="S1012" i="13" s="1"/>
  <c r="P1012" i="13"/>
  <c r="R1012" i="13" s="1"/>
  <c r="T1012" i="13" s="1"/>
  <c r="P1013" i="13"/>
  <c r="R1013" i="13" s="1"/>
  <c r="Q1013" i="13"/>
  <c r="S1013" i="13" s="1"/>
  <c r="P1014" i="13"/>
  <c r="R1014" i="13" s="1"/>
  <c r="Q1014" i="13"/>
  <c r="S1014" i="13" s="1"/>
  <c r="Q1034" i="13"/>
  <c r="S1034" i="13" s="1"/>
  <c r="P1034" i="13"/>
  <c r="R1034" i="13" s="1"/>
  <c r="T1034" i="13" s="1"/>
  <c r="Q1035" i="13"/>
  <c r="S1035" i="13" s="1"/>
  <c r="P1035" i="13"/>
  <c r="R1035" i="13" s="1"/>
  <c r="T1035" i="13" s="1"/>
  <c r="Q1038" i="13"/>
  <c r="S1038" i="13" s="1"/>
  <c r="P1038" i="13"/>
  <c r="R1038" i="13" s="1"/>
  <c r="T1038" i="13" s="1"/>
  <c r="P1048" i="13"/>
  <c r="R1048" i="13" s="1"/>
  <c r="Q1048" i="13"/>
  <c r="S1048" i="13" s="1"/>
  <c r="Q1052" i="13"/>
  <c r="S1052" i="13" s="1"/>
  <c r="P1052" i="13"/>
  <c r="R1052" i="13" s="1"/>
  <c r="T1052" i="13" s="1"/>
  <c r="P1053" i="13"/>
  <c r="R1053" i="13" s="1"/>
  <c r="Q1053" i="13"/>
  <c r="S1053" i="13" s="1"/>
  <c r="P1058" i="13"/>
  <c r="R1058" i="13" s="1"/>
  <c r="Q1058" i="13"/>
  <c r="S1058" i="13" s="1"/>
  <c r="P1063" i="13"/>
  <c r="R1063" i="13" s="1"/>
  <c r="Q1063" i="13"/>
  <c r="S1063" i="13" s="1"/>
  <c r="P1065" i="13"/>
  <c r="R1065" i="13" s="1"/>
  <c r="Q1065" i="13"/>
  <c r="S1065" i="13" s="1"/>
  <c r="P1075" i="13"/>
  <c r="R1075" i="13" s="1"/>
  <c r="Q1075" i="13"/>
  <c r="S1075" i="13" s="1"/>
  <c r="Q1090" i="13"/>
  <c r="S1090" i="13" s="1"/>
  <c r="P1090" i="13"/>
  <c r="R1090" i="13" s="1"/>
  <c r="T1090" i="13" s="1"/>
  <c r="P1096" i="13"/>
  <c r="R1096" i="13" s="1"/>
  <c r="Q1096" i="13"/>
  <c r="S1096" i="13" s="1"/>
  <c r="P1108" i="13"/>
  <c r="R1108" i="13" s="1"/>
  <c r="Q1108" i="13"/>
  <c r="S1108" i="13" s="1"/>
  <c r="P1109" i="13"/>
  <c r="R1109" i="13" s="1"/>
  <c r="Q1109" i="13"/>
  <c r="S1109" i="13" s="1"/>
  <c r="N1110" i="13"/>
  <c r="P1110" i="13"/>
  <c r="R1110" i="13" s="1"/>
  <c r="T1110" i="13" s="1"/>
  <c r="S1110" i="13"/>
  <c r="T1077" i="13"/>
  <c r="T807" i="13"/>
  <c r="T831" i="13"/>
  <c r="T834" i="13"/>
  <c r="T1062" i="13"/>
  <c r="T924" i="13"/>
  <c r="T143" i="13"/>
  <c r="T1086" i="13"/>
  <c r="T77" i="13"/>
  <c r="T1040" i="13"/>
  <c r="T94" i="13" l="1"/>
  <c r="T119" i="13"/>
  <c r="T154" i="13"/>
  <c r="T164" i="13"/>
  <c r="T220" i="13"/>
  <c r="T592" i="13"/>
  <c r="T593" i="13"/>
  <c r="T604" i="13"/>
  <c r="T607" i="13"/>
  <c r="T611" i="13"/>
  <c r="T614" i="13"/>
  <c r="T645" i="13"/>
  <c r="T647" i="13"/>
  <c r="T662" i="13"/>
  <c r="T666" i="13"/>
  <c r="T788" i="13"/>
  <c r="T789" i="13"/>
  <c r="T790" i="13"/>
  <c r="T791" i="13"/>
  <c r="T793" i="13"/>
  <c r="T794" i="13"/>
  <c r="T808" i="13"/>
  <c r="T816" i="13"/>
  <c r="T818" i="13"/>
  <c r="T825" i="13"/>
  <c r="T832" i="13"/>
  <c r="T839" i="13"/>
  <c r="T846" i="13"/>
  <c r="T888" i="13"/>
  <c r="T913" i="13"/>
  <c r="T930" i="13"/>
  <c r="T851" i="13"/>
  <c r="T852" i="13"/>
  <c r="T853" i="13"/>
  <c r="T856" i="13"/>
  <c r="T860" i="13"/>
  <c r="T871" i="13"/>
  <c r="T876" i="13"/>
  <c r="T887" i="13"/>
  <c r="T892" i="13"/>
  <c r="T998" i="13"/>
  <c r="T999" i="13"/>
  <c r="T1006" i="13"/>
  <c r="T1013" i="13"/>
  <c r="T1014" i="13"/>
  <c r="T1048" i="13"/>
  <c r="T1053" i="13"/>
  <c r="T1058" i="13"/>
  <c r="T1063" i="13"/>
  <c r="T1065" i="13"/>
  <c r="T1075" i="13"/>
  <c r="T1096" i="13"/>
  <c r="T1108" i="13"/>
  <c r="T110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tc={2850E1A5-41F0-48C8-906F-CAA4D3C58390}</author>
    <author>tc={7A3B356A-EAE4-441B-921A-EE5C8C14F1F6}</author>
    <author>tc={8414DA28-03C7-4959-8226-CFC8ABC81DCC}</author>
    <author>tc={F58A58A1-0FEC-4051-9AC2-4E43266280A2}</author>
    <author>tc={63B3A2B4-B4D7-48BF-8B3F-324149F93FCD}</author>
    <author>tc={9176F2E1-95FB-4A2E-9140-4990F953BF63}</author>
    <author>tc={BE16E2FF-6101-4E85-B554-904E2387887B}</author>
    <author>tc={A09E8D07-F61A-4ED6-B4B6-67B1877AF745}</author>
    <author>tc={A041B09C-5C19-4963-9683-D0F877EA7412}</author>
    <author>tc={D542F886-6FCF-4BA5-BD54-C990E6BBB239}</author>
    <author>tc={2B72A372-54AB-42C8-B2DD-0516936D030D}</author>
    <author>tc={A74316A0-DD5B-483F-AC10-3B460DF991AD}</author>
  </authors>
  <commentList>
    <comment ref="F11" authorId="0" shapeId="0" xr:uid="{2850E1A5-41F0-48C8-906F-CAA4D3C58390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+67% — likely merger-related share increase (Banco BPM)</t>
      </text>
    </comment>
    <comment ref="G11" authorId="1" shapeId="0" xr:uid="{7A3B356A-EAE4-441B-921A-EE5C8C14F1F6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+85% — likely merger-related share increase (Banco BPM)</t>
      </text>
    </comment>
    <comment ref="K12" authorId="2" shapeId="0" xr:uid="{8414DA28-03C7-4959-8226-CFC8ABC81DCC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+108% — likely merger-related share increase (BPER Banca)</t>
      </text>
    </comment>
    <comment ref="L31" authorId="3" shapeId="0" xr:uid="{F58A58A1-0FEC-4051-9AC2-4E43266280A2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+57% — likely merger-related share increase (Nexi)</t>
      </text>
    </comment>
    <comment ref="L35" authorId="4" shapeId="0" xr:uid="{63B3A2B4-B4D7-48BF-8B3F-324149F9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+376% — likely reverse stock split adjustment or capital increase (Saipem)</t>
      </text>
    </comment>
    <comment ref="M35" authorId="5" shapeId="0" xr:uid="{9176F2E1-95FB-4A2E-9140-4990F953BF63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+112% — likely capital increase (Saipem)</t>
      </text>
    </comment>
    <comment ref="K37" authorId="6" shapeId="0" xr:uid="{BE16E2FF-6101-4E85-B554-904E2387887B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+98% — FCA/PSA merger creating Stellantis</t>
      </text>
    </comment>
    <comment ref="I93" authorId="7" shapeId="0" xr:uid="{A09E8D07-F61A-4ED6-B4B6-67B1877AF745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+67% — Essilor/Luxottica merger</t>
      </text>
    </comment>
    <comment ref="K110" authorId="8" shapeId="0" xr:uid="{A041B09C-5C19-4963-9683-D0F877EA7412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+98% — FCA/PSA merger creating Stellantis</t>
      </text>
    </comment>
    <comment ref="F138" authorId="9" shapeId="0" xr:uid="{D542F886-6FCF-4BA5-BD54-C990E6BBB239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+51% — likely capital increase (ACS)</t>
      </text>
    </comment>
    <comment ref="J141" authorId="10" shapeId="0" xr:uid="{2B72A372-54AB-42C8-B2DD-0516936D030D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+73% — likely COVID-era capital raise (IAG)</t>
      </text>
    </comment>
    <comment ref="F142" authorId="11" shapeId="0" xr:uid="{A74316A0-DD5B-483F-AC10-3B460DF991AD}">
      <text>
        <t>[Threaded comment]
Your version of Excel allows you to read this threaded comment; however, any edits to it will get removed if the file is opened in a newer version of Excel. Learn more: https://go.microsoft.com/fwlink/?linkid=870924
Comment:
    YoY +61% — likely capital increase (Merlin Properties)</t>
      </text>
    </comment>
  </commentList>
</comments>
</file>

<file path=xl/sharedStrings.xml><?xml version="1.0" encoding="utf-8"?>
<sst xmlns="http://schemas.openxmlformats.org/spreadsheetml/2006/main" count="12219" uniqueCount="690">
  <si>
    <t>BUYBACK ANALYSIS - European Markets</t>
  </si>
  <si>
    <t>Project: Do Buybacks Explain European Stock Returns Better Than Earnings Growth?</t>
  </si>
  <si>
    <t>INDEXES COVERED:</t>
  </si>
  <si>
    <t xml:space="preserve">  • FTSE MIB (Italy) — 41 companies</t>
  </si>
  <si>
    <t xml:space="preserve">  • DAX 40 (Germany) — 40 companies</t>
  </si>
  <si>
    <t xml:space="preserve">  • CAC 40 (France) — 40 companies</t>
  </si>
  <si>
    <t xml:space="preserve">  • IBEX 35 (Spain) — 35 companies</t>
  </si>
  <si>
    <t xml:space="preserve">  Total: 156 companies</t>
  </si>
  <si>
    <t>SHEETS:</t>
  </si>
  <si>
    <t xml:space="preserve">  1. Net Income — Annual net income in € millions</t>
  </si>
  <si>
    <t xml:space="preserve">  2. Avg Shares Outstanding — Weighted average shares outstanding in millions</t>
  </si>
  <si>
    <t xml:space="preserve">  3. Stock Price Return — Annual price return (excluding dividends), as decimal (e.g. 0.15 = 15%)</t>
  </si>
  <si>
    <t xml:space="preserve">  4. Market Cap — Year-end market capitalization in € millions</t>
  </si>
  <si>
    <t>PERIOD: 2015–2025 (11 years)</t>
  </si>
  <si>
    <t>DERIVED METRICS (to compute from this data):</t>
  </si>
  <si>
    <t xml:space="preserve">  • EPS = Net Income / Avg Shares Outstanding</t>
  </si>
  <si>
    <t xml:space="preserve">  • EPS Growth (%) = year-over-year change in EPS</t>
  </si>
  <si>
    <t xml:space="preserve">  • Net Income Growth (%) = year-over-year change in Net Income</t>
  </si>
  <si>
    <t xml:space="preserve">  • Share Count Change (%) = year-over-year change in shares outstanding (negative = buyback)</t>
  </si>
  <si>
    <t xml:space="preserve">  • Buyback Yield = (Share Count Reduction × Avg Price) / Market Cap</t>
  </si>
  <si>
    <t>DATA SOURCES:</t>
  </si>
  <si>
    <t xml:space="preserve">  • Wisesheets (company filings), Macrotrends, Yahoo Finance, company annual reports</t>
  </si>
  <si>
    <t>NOTES:</t>
  </si>
  <si>
    <t xml:space="preserve">  • Blue cells in data sheets are input fields</t>
  </si>
  <si>
    <t xml:space="preserve">  • Some companies may not have data for all years (e.g. IPO after 2015)</t>
  </si>
  <si>
    <t xml:space="preserve">  • Tickers use Yahoo Finance format for easy data retrieval</t>
  </si>
  <si>
    <t xml:space="preserve">  • Stellantis and STMicroelectronics appear in both Italy and France indexes — handle as needed</t>
  </si>
  <si>
    <t>Net Income (€ millions)</t>
  </si>
  <si>
    <t>Values to be filled manually. Blue cells = data input fields.</t>
  </si>
  <si>
    <t>Ticker</t>
  </si>
  <si>
    <t>Company</t>
  </si>
  <si>
    <t>Country</t>
  </si>
  <si>
    <t>Index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</si>
  <si>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</si>
  <si>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</si>
  <si>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</si>
  <si>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</si>
  <si>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</si>
  <si>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</si>
  <si>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</si>
  <si>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</si>
  <si>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</si>
  <si>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</si>
  <si>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FTSE MIB</t>
  </si>
  <si>
    <t>A2A.MI</t>
  </si>
  <si>
    <t>A2A</t>
  </si>
  <si>
    <t>Italy</t>
  </si>
  <si>
    <t>AMP.MI</t>
  </si>
  <si>
    <t>Amplifon</t>
  </si>
  <si>
    <t>G.MI</t>
  </si>
  <si>
    <t>Assicurazioni Generali</t>
  </si>
  <si>
    <t>AZM.MI</t>
  </si>
  <si>
    <t>Azimut Holding</t>
  </si>
  <si>
    <t>BGN.MI</t>
  </si>
  <si>
    <t>Banca Generali</t>
  </si>
  <si>
    <t>BMED.MI</t>
  </si>
  <si>
    <t>Banca Mediolanum</t>
  </si>
  <si>
    <t>BAMI.MI</t>
  </si>
  <si>
    <t>Banco BPM</t>
  </si>
  <si>
    <t>BPE.MI</t>
  </si>
  <si>
    <t>BPER Banca</t>
  </si>
  <si>
    <t>BZU.MI</t>
  </si>
  <si>
    <t>Buzzi</t>
  </si>
  <si>
    <t>CPR.MI</t>
  </si>
  <si>
    <t>Campari Group</t>
  </si>
  <si>
    <t>CNHI.MI</t>
  </si>
  <si>
    <t>CNH Industrial</t>
  </si>
  <si>
    <t>DIA.MI</t>
  </si>
  <si>
    <t>DiaSorin</t>
  </si>
  <si>
    <t>ENEL.MI</t>
  </si>
  <si>
    <t>Enel</t>
  </si>
  <si>
    <t>ENI.MI</t>
  </si>
  <si>
    <t>Eni</t>
  </si>
  <si>
    <t>EXO.MI</t>
  </si>
  <si>
    <t>Exor</t>
  </si>
  <si>
    <t>RACE.MI</t>
  </si>
  <si>
    <t>Ferrari</t>
  </si>
  <si>
    <t>FBK.MI</t>
  </si>
  <si>
    <t>FinecoBank</t>
  </si>
  <si>
    <t>HER.MI</t>
  </si>
  <si>
    <t>Hera Group</t>
  </si>
  <si>
    <t>INW.MI</t>
  </si>
  <si>
    <t>Infrastrutture Wireless Italiane</t>
  </si>
  <si>
    <t>IP.MI</t>
  </si>
  <si>
    <t>Interpump Group</t>
  </si>
  <si>
    <t>ISP.MI</t>
  </si>
  <si>
    <t>Intesa Sanpaolo</t>
  </si>
  <si>
    <t>IG.MI</t>
  </si>
  <si>
    <t>Italgas</t>
  </si>
  <si>
    <t>IVG.MI</t>
  </si>
  <si>
    <t>Iveco</t>
  </si>
  <si>
    <t>LDO.MI</t>
  </si>
  <si>
    <t>Leonardo</t>
  </si>
  <si>
    <t>MB.MI</t>
  </si>
  <si>
    <t>Mediobanca</t>
  </si>
  <si>
    <t>MONC.MI</t>
  </si>
  <si>
    <t>Moncler</t>
  </si>
  <si>
    <t>NEXI.MI</t>
  </si>
  <si>
    <t>Nexi</t>
  </si>
  <si>
    <t>PIRC.MI</t>
  </si>
  <si>
    <t>Pirelli</t>
  </si>
  <si>
    <t>PST.MI</t>
  </si>
  <si>
    <t>Poste Italiane</t>
  </si>
  <si>
    <t>PRY.MI</t>
  </si>
  <si>
    <t>Prysmian Group</t>
  </si>
  <si>
    <t>SPM.MI</t>
  </si>
  <si>
    <t>Saipem</t>
  </si>
  <si>
    <t>SRG.MI</t>
  </si>
  <si>
    <t>Snam</t>
  </si>
  <si>
    <t>STLAM.MI</t>
  </si>
  <si>
    <t>Stellantis</t>
  </si>
  <si>
    <t>STMMI.MI</t>
  </si>
  <si>
    <t>STMicroelectronics</t>
  </si>
  <si>
    <t>TEN.MI</t>
  </si>
  <si>
    <t>Tenaris</t>
  </si>
  <si>
    <t>TRN.MI</t>
  </si>
  <si>
    <t>Terna</t>
  </si>
  <si>
    <t>UCG.MI</t>
  </si>
  <si>
    <t>UniCredit</t>
  </si>
  <si>
    <t>UNI.MI</t>
  </si>
  <si>
    <t>Unipol</t>
  </si>
  <si>
    <t>DAX 40</t>
  </si>
  <si>
    <t>ADS.DE</t>
  </si>
  <si>
    <t>Adidas</t>
  </si>
  <si>
    <t>Germany</t>
  </si>
  <si>
    <t>AIR.DE</t>
  </si>
  <si>
    <t>Airbus</t>
  </si>
  <si>
    <t>ALV.DE</t>
  </si>
  <si>
    <t>Allianz</t>
  </si>
  <si>
    <t>BAS.DE</t>
  </si>
  <si>
    <t>BASF</t>
  </si>
  <si>
    <t>BMW.DE</t>
  </si>
  <si>
    <t>BMW</t>
  </si>
  <si>
    <t>BAYN.DE</t>
  </si>
  <si>
    <t>Bayer</t>
  </si>
  <si>
    <t>BEI.DE</t>
  </si>
  <si>
    <t>Beiersdorf</t>
  </si>
  <si>
    <t>BNR.DE</t>
  </si>
  <si>
    <t>Brenntag</t>
  </si>
  <si>
    <t>CBK.DE</t>
  </si>
  <si>
    <t>Commerzbank</t>
  </si>
  <si>
    <t>CON.DE</t>
  </si>
  <si>
    <t>Continental</t>
  </si>
  <si>
    <t>1COV.DE</t>
  </si>
  <si>
    <t>Covestro</t>
  </si>
  <si>
    <t>DTG.DE</t>
  </si>
  <si>
    <t>Daimler Truck</t>
  </si>
  <si>
    <t>DBK.DE</t>
  </si>
  <si>
    <t>Deutsche Bank</t>
  </si>
  <si>
    <t>DB1.DE</t>
  </si>
  <si>
    <t>Deutsche Boerse</t>
  </si>
  <si>
    <t>DHL.DE</t>
  </si>
  <si>
    <t>Deutsche Post (DHL)</t>
  </si>
  <si>
    <t>P911.DE</t>
  </si>
  <si>
    <t>Porsche AG</t>
  </si>
  <si>
    <t>DTE.DE</t>
  </si>
  <si>
    <t>Deutsche Telekom</t>
  </si>
  <si>
    <t>EOAN.DE</t>
  </si>
  <si>
    <t>E.ON</t>
  </si>
  <si>
    <t>FRE.DE</t>
  </si>
  <si>
    <t>Fresenius</t>
  </si>
  <si>
    <t>HNR1.DE</t>
  </si>
  <si>
    <t>Hannover Rueck</t>
  </si>
  <si>
    <t>HEI.DE</t>
  </si>
  <si>
    <t>Heidelberg Materials</t>
  </si>
  <si>
    <t>HEN3.DE</t>
  </si>
  <si>
    <t>Henkel</t>
  </si>
  <si>
    <t>IFX.DE</t>
  </si>
  <si>
    <t>Infineon</t>
  </si>
  <si>
    <t>MBG.DE</t>
  </si>
  <si>
    <t>Mercedes-Benz</t>
  </si>
  <si>
    <t>MRK.DE</t>
  </si>
  <si>
    <t>Merck KGaA</t>
  </si>
  <si>
    <t>MTX.DE</t>
  </si>
  <si>
    <t>MTU Aero Engines</t>
  </si>
  <si>
    <t>MUV2.DE</t>
  </si>
  <si>
    <t>Munich Re</t>
  </si>
  <si>
    <t>PAH3.DE</t>
  </si>
  <si>
    <t>Porsche Automobil Holding</t>
  </si>
  <si>
    <t>QIA.DE</t>
  </si>
  <si>
    <t>Qiagen</t>
  </si>
  <si>
    <t>RHM.DE</t>
  </si>
  <si>
    <t>Rheinmetall</t>
  </si>
  <si>
    <t>RWE.DE</t>
  </si>
  <si>
    <t>RWE</t>
  </si>
  <si>
    <t>SAP.DE</t>
  </si>
  <si>
    <t>SAP</t>
  </si>
  <si>
    <t>SRT3.DE</t>
  </si>
  <si>
    <t>Sartorius</t>
  </si>
  <si>
    <t>SIE.DE</t>
  </si>
  <si>
    <t>Siemens</t>
  </si>
  <si>
    <t>ENR.DE</t>
  </si>
  <si>
    <t>Siemens Energy</t>
  </si>
  <si>
    <t>SHL.DE</t>
  </si>
  <si>
    <t>Siemens Healthineers</t>
  </si>
  <si>
    <t>SY1.DE</t>
  </si>
  <si>
    <t>Symrise</t>
  </si>
  <si>
    <t>VOW3.DE</t>
  </si>
  <si>
    <t>Volkswagen</t>
  </si>
  <si>
    <t>VNA.DE</t>
  </si>
  <si>
    <t>Vonovia</t>
  </si>
  <si>
    <t>ZAL.DE</t>
  </si>
  <si>
    <t>Zalando</t>
  </si>
  <si>
    <t>CAC 40</t>
  </si>
  <si>
    <t>MC.PA</t>
  </si>
  <si>
    <t>LVMH</t>
  </si>
  <si>
    <t>France</t>
  </si>
  <si>
    <t>SU.PA</t>
  </si>
  <si>
    <t>Schneider Electric</t>
  </si>
  <si>
    <t>AIR.PA</t>
  </si>
  <si>
    <t>TTE.PA</t>
  </si>
  <si>
    <t>TotalEnergies</t>
  </si>
  <si>
    <t>SAN.PA</t>
  </si>
  <si>
    <t>Sanofi</t>
  </si>
  <si>
    <t>SAF.PA</t>
  </si>
  <si>
    <t>Safran</t>
  </si>
  <si>
    <t>AI.PA</t>
  </si>
  <si>
    <t>Air Liquide</t>
  </si>
  <si>
    <t>OR.PA</t>
  </si>
  <si>
    <t>L'Oreal</t>
  </si>
  <si>
    <t>EL.PA</t>
  </si>
  <si>
    <t>EssilorLuxottica</t>
  </si>
  <si>
    <t>BNP.PA</t>
  </si>
  <si>
    <t>BNP Paribas</t>
  </si>
  <si>
    <t>CS.PA</t>
  </si>
  <si>
    <t>AXA</t>
  </si>
  <si>
    <t>RMS.PA</t>
  </si>
  <si>
    <t>Hermes</t>
  </si>
  <si>
    <t>DG.PA</t>
  </si>
  <si>
    <t>Vinci</t>
  </si>
  <si>
    <t>BN.PA</t>
  </si>
  <si>
    <t>Danone</t>
  </si>
  <si>
    <t>GLE.PA</t>
  </si>
  <si>
    <t>Societe Generale</t>
  </si>
  <si>
    <t>ENGI.PA</t>
  </si>
  <si>
    <t>Engie</t>
  </si>
  <si>
    <t>SGO.PA</t>
  </si>
  <si>
    <t>Saint-Gobain</t>
  </si>
  <si>
    <t>LR.PA</t>
  </si>
  <si>
    <t>Legrand</t>
  </si>
  <si>
    <t>ORA.PA</t>
  </si>
  <si>
    <t>Orange</t>
  </si>
  <si>
    <t>KER.PA</t>
  </si>
  <si>
    <t>Kering</t>
  </si>
  <si>
    <t>PUB.PA</t>
  </si>
  <si>
    <t>Publicis Groupe</t>
  </si>
  <si>
    <t>HO.PA</t>
  </si>
  <si>
    <t>Thales</t>
  </si>
  <si>
    <t>CAP.PA</t>
  </si>
  <si>
    <t>Capgemini</t>
  </si>
  <si>
    <t>ML.PA</t>
  </si>
  <si>
    <t>Michelin</t>
  </si>
  <si>
    <t>VIE.PA</t>
  </si>
  <si>
    <t>Veolia</t>
  </si>
  <si>
    <t>STLAP.PA</t>
  </si>
  <si>
    <t>RI.PA</t>
  </si>
  <si>
    <t>Pernod Ricard</t>
  </si>
  <si>
    <t>DSY.PA</t>
  </si>
  <si>
    <t>Dassault Systemes</t>
  </si>
  <si>
    <t>ACA.PA</t>
  </si>
  <si>
    <t>Credit Agricole</t>
  </si>
  <si>
    <t>URW.PA</t>
  </si>
  <si>
    <t>Unibail-Rodamco-Westfield</t>
  </si>
  <si>
    <t>TEP.PA</t>
  </si>
  <si>
    <t>Teleperformance</t>
  </si>
  <si>
    <t>ERA.PA</t>
  </si>
  <si>
    <t>Eramet</t>
  </si>
  <si>
    <t>STM.PA</t>
  </si>
  <si>
    <t>ArcelorMittal</t>
  </si>
  <si>
    <t>RNO.PA</t>
  </si>
  <si>
    <t>Renault</t>
  </si>
  <si>
    <t>SW.PA</t>
  </si>
  <si>
    <t>Sodexo</t>
  </si>
  <si>
    <t>CA.PA</t>
  </si>
  <si>
    <t>Carrefour</t>
  </si>
  <si>
    <t>EDEN.PA</t>
  </si>
  <si>
    <t>Edenred</t>
  </si>
  <si>
    <t>BIM.PA</t>
  </si>
  <si>
    <t>bioMerieux</t>
  </si>
  <si>
    <t>IBEX 35</t>
  </si>
  <si>
    <t>ITX.MC</t>
  </si>
  <si>
    <t>Inditex</t>
  </si>
  <si>
    <t>Spain</t>
  </si>
  <si>
    <t>SAN.MC</t>
  </si>
  <si>
    <t>Banco Santander</t>
  </si>
  <si>
    <t>IBE.MC</t>
  </si>
  <si>
    <t>Iberdrola</t>
  </si>
  <si>
    <t>BBVA.MC</t>
  </si>
  <si>
    <t>BBVA</t>
  </si>
  <si>
    <t>TEF.MC</t>
  </si>
  <si>
    <t>Telefonica</t>
  </si>
  <si>
    <t>FER.MC</t>
  </si>
  <si>
    <t>Ferrovial</t>
  </si>
  <si>
    <t>CABK.MC</t>
  </si>
  <si>
    <t>CaixaBank</t>
  </si>
  <si>
    <t>AMS.MC</t>
  </si>
  <si>
    <t>Amadeus IT</t>
  </si>
  <si>
    <t>REP.MC</t>
  </si>
  <si>
    <t>Repsol</t>
  </si>
  <si>
    <t>AENA.MC</t>
  </si>
  <si>
    <t>Aena</t>
  </si>
  <si>
    <t>ENG.MC</t>
  </si>
  <si>
    <t>Enagas</t>
  </si>
  <si>
    <t>RED.MC</t>
  </si>
  <si>
    <t>Redeia (REE)</t>
  </si>
  <si>
    <t>MAP.MC</t>
  </si>
  <si>
    <t>MAPFRE</t>
  </si>
  <si>
    <t>ANA.MC</t>
  </si>
  <si>
    <t>Acciona</t>
  </si>
  <si>
    <t>ACS.MC</t>
  </si>
  <si>
    <t>ACS</t>
  </si>
  <si>
    <t>GRF.MC</t>
  </si>
  <si>
    <t>Grifols</t>
  </si>
  <si>
    <t>CLNX.MC</t>
  </si>
  <si>
    <t>Cellnex Telecom</t>
  </si>
  <si>
    <t>IAG.MC</t>
  </si>
  <si>
    <t>IAG</t>
  </si>
  <si>
    <t>MRL.MC</t>
  </si>
  <si>
    <t>Merlin Properties</t>
  </si>
  <si>
    <t>MTS.MC</t>
  </si>
  <si>
    <t>SAB.MC</t>
  </si>
  <si>
    <t>Banco Sabadell</t>
  </si>
  <si>
    <t>NTGY.MC</t>
  </si>
  <si>
    <t>Naturgy</t>
  </si>
  <si>
    <t>COL.MC</t>
  </si>
  <si>
    <t>Inmobiliaria Colonial</t>
  </si>
  <si>
    <t>LOG.MC</t>
  </si>
  <si>
    <t>Logista</t>
  </si>
  <si>
    <t>SCYR.MC</t>
  </si>
  <si>
    <t>Sacyr</t>
  </si>
  <si>
    <t>UNI.MC</t>
  </si>
  <si>
    <t>Unicaja</t>
  </si>
  <si>
    <t>PHM.MC</t>
  </si>
  <si>
    <t>Pharma Mar</t>
  </si>
  <si>
    <t>BKT.MC</t>
  </si>
  <si>
    <t>Bankinter</t>
  </si>
  <si>
    <t>ACX.MC</t>
  </si>
  <si>
    <t>Acerinox</t>
  </si>
  <si>
    <t>ROVI.MC</t>
  </si>
  <si>
    <t>Laboratorios Rovi</t>
  </si>
  <si>
    <t>SLR.MC</t>
  </si>
  <si>
    <t>Solaria Energia</t>
  </si>
  <si>
    <t>ELE.MC</t>
  </si>
  <si>
    <t>Endesa</t>
  </si>
  <si>
    <t>SGRE.MC</t>
  </si>
  <si>
    <t>Puig Brands</t>
  </si>
  <si>
    <t>Weighted Avg Shares Outstanding (millions)</t>
  </si>
  <si>
    <t>Annual Stock Price Return (%)</t>
  </si>
  <si>
    <t>Market Capitalization (€ millions)</t>
  </si>
  <si>
    <t>Unavailable</t>
  </si>
  <si>
    <t>2023 data not available yet.</t>
  </si>
  <si>
    <t>2024 data not available yet.</t>
  </si>
  <si>
    <t>Dividends Per Share (€)</t>
  </si>
  <si>
    <t>Year-End Closing Stock Prices (€)</t>
  </si>
  <si>
    <t>Last Trading Day</t>
  </si>
  <si>
    <t>12/30/2014</t>
  </si>
  <si>
    <t>12/30/2015</t>
  </si>
  <si>
    <t>12/30/2016</t>
  </si>
  <si>
    <t>12/29/2017</t>
  </si>
  <si>
    <t>12/28/2018</t>
  </si>
  <si>
    <t>12/30/2019</t>
  </si>
  <si>
    <t>12/30/2020</t>
  </si>
  <si>
    <t>12/30/2021</t>
  </si>
  <si>
    <t>12/30/2022</t>
  </si>
  <si>
    <t>12/29/2023</t>
  </si>
  <si>
    <t>12/30/2024</t>
  </si>
  <si>
    <t>Sheet</t>
  </si>
  <si>
    <t>Year</t>
  </si>
  <si>
    <t>Value</t>
  </si>
  <si>
    <t>Flag Type</t>
  </si>
  <si>
    <t>Reason</t>
  </si>
  <si>
    <t>Net Income</t>
  </si>
  <si>
    <t>YoY Outlier</t>
  </si>
  <si>
    <t>YoY change 207%</t>
  </si>
  <si>
    <t>YoY change 203%</t>
  </si>
  <si>
    <t>Sign change; YoY change -491%</t>
  </si>
  <si>
    <t>Sign change; YoY change -256%</t>
  </si>
  <si>
    <t>Sign change</t>
  </si>
  <si>
    <t>Sign change; YoY change -1441%</t>
  </si>
  <si>
    <t>YoY change 2625%</t>
  </si>
  <si>
    <t>YoY change 1134%</t>
  </si>
  <si>
    <t>Sign change; YoY change -217%</t>
  </si>
  <si>
    <t>YoY change 262%</t>
  </si>
  <si>
    <t>Sign change; YoY change -479%</t>
  </si>
  <si>
    <t>Sign change; YoY change -330%</t>
  </si>
  <si>
    <t>Sign change; YoY change -5934%</t>
  </si>
  <si>
    <t>YoY change 271%</t>
  </si>
  <si>
    <t>Sign change; YoY change -834%</t>
  </si>
  <si>
    <t>YoY change 610%</t>
  </si>
  <si>
    <t>Sign change; YoY change -1240%</t>
  </si>
  <si>
    <t>YoY change 440%</t>
  </si>
  <si>
    <t>YoY change 48866%</t>
  </si>
  <si>
    <t>YoY change 647%</t>
  </si>
  <si>
    <t>YoY change 885%</t>
  </si>
  <si>
    <t>Sign change; YoY change -271%</t>
  </si>
  <si>
    <t>Sign change; YoY change -796%</t>
  </si>
  <si>
    <t>YoY change 208%</t>
  </si>
  <si>
    <t>Sign change; YoY change -652%</t>
  </si>
  <si>
    <t>YoY change 245%</t>
  </si>
  <si>
    <t>Sign change; YoY change -1119%</t>
  </si>
  <si>
    <t>Sign change; YoY change -460%</t>
  </si>
  <si>
    <t>Sign change; YoY change -475%</t>
  </si>
  <si>
    <t>YoY change 477%</t>
  </si>
  <si>
    <t>YoY change 228%</t>
  </si>
  <si>
    <t>Sign change; YoY change -740%</t>
  </si>
  <si>
    <t>YoY change 315%</t>
  </si>
  <si>
    <t>YoY change 454%</t>
  </si>
  <si>
    <t>Sign change; YoY change -549%</t>
  </si>
  <si>
    <t>YoY change 234%</t>
  </si>
  <si>
    <t>YoY change 931%</t>
  </si>
  <si>
    <t>YoY change 252%</t>
  </si>
  <si>
    <t>Sign change; YoY change -2072%</t>
  </si>
  <si>
    <t>YoY change 378%</t>
  </si>
  <si>
    <t>YoY change 361%</t>
  </si>
  <si>
    <t>YoY change 776%</t>
  </si>
  <si>
    <t>Sign change; YoY change -278%</t>
  </si>
  <si>
    <t>YoY change 218%</t>
  </si>
  <si>
    <t>Sign change; YoY change -721%</t>
  </si>
  <si>
    <t>YoY change 516%</t>
  </si>
  <si>
    <t>Sign change; YoY change -603%</t>
  </si>
  <si>
    <t>Sign change; YoY change -495%</t>
  </si>
  <si>
    <t>YoY change 371%</t>
  </si>
  <si>
    <t>YoY change 596%</t>
  </si>
  <si>
    <t>YoY change 43100%</t>
  </si>
  <si>
    <t>YoY change 7749%</t>
  </si>
  <si>
    <t>Sign change; YoY change -268%</t>
  </si>
  <si>
    <t>Sign change; YoY change -259%</t>
  </si>
  <si>
    <t>YoY change 277%</t>
  </si>
  <si>
    <t>YoY change 254%</t>
  </si>
  <si>
    <t>YoY change 870%</t>
  </si>
  <si>
    <t>Sign change; YoY change -492%</t>
  </si>
  <si>
    <t>YoY change 839%</t>
  </si>
  <si>
    <t>YoY change 394%</t>
  </si>
  <si>
    <t>Sign change; YoY change -321%</t>
  </si>
  <si>
    <t>YoY change 338%</t>
  </si>
  <si>
    <t>Sign change; YoY change -524%</t>
  </si>
  <si>
    <t>Sign change; YoY change -5819%</t>
  </si>
  <si>
    <t>Sign change; YoY change -240%</t>
  </si>
  <si>
    <t>YoY change 1604%</t>
  </si>
  <si>
    <t>Sign change; YoY change -2286%</t>
  </si>
  <si>
    <t>Sign change; YoY change -301%</t>
  </si>
  <si>
    <t>Sign change; YoY change -727%</t>
  </si>
  <si>
    <t>Sign change; YoY change -275%</t>
  </si>
  <si>
    <t>Sign change; YoY change -312%</t>
  </si>
  <si>
    <t>YoY change 1477%</t>
  </si>
  <si>
    <t>YoY change 251%</t>
  </si>
  <si>
    <t>YoY change 453%</t>
  </si>
  <si>
    <t>YoY change 821%</t>
  </si>
  <si>
    <t>Sign change; YoY change -264%</t>
  </si>
  <si>
    <t>YoY change 297%</t>
  </si>
  <si>
    <t>Sign change; YoY change -754%</t>
  </si>
  <si>
    <t>Sign change; YoY change -1014%</t>
  </si>
  <si>
    <t>Sign change; YoY change -213%</t>
  </si>
  <si>
    <t>Sign change; YoY change -447%</t>
  </si>
  <si>
    <t>YoY change 267%</t>
  </si>
  <si>
    <t>YoY change 386%</t>
  </si>
  <si>
    <t>YoY change 5579%</t>
  </si>
  <si>
    <t>Sign change; YoY change -750%</t>
  </si>
  <si>
    <t>YoY change 400%</t>
  </si>
  <si>
    <t>Sign change; YoY change -701%</t>
  </si>
  <si>
    <t>Sign change; YoY change -235%</t>
  </si>
  <si>
    <t>YoY change 257%</t>
  </si>
  <si>
    <t>YoY change 414%</t>
  </si>
  <si>
    <t>Sign change; YoY change -258%</t>
  </si>
  <si>
    <t>Sign change; YoY change -383%</t>
  </si>
  <si>
    <t>YoY change 604%</t>
  </si>
  <si>
    <t>YoY change 278%</t>
  </si>
  <si>
    <t>Sign change; YoY change -567%</t>
  </si>
  <si>
    <t>Sign change; YoY change -224%</t>
  </si>
  <si>
    <t>Sign change; YoY change -263%</t>
  </si>
  <si>
    <t>Sign change; YoY change -1106%</t>
  </si>
  <si>
    <t>YoY change 431%</t>
  </si>
  <si>
    <t>YoY change 632%</t>
  </si>
  <si>
    <t>Sign change; YoY change -504%</t>
  </si>
  <si>
    <t>YoY change 1087%</t>
  </si>
  <si>
    <t>YoY change 809%</t>
  </si>
  <si>
    <t>Sign change; YoY change -440%</t>
  </si>
  <si>
    <t>Sign change; YoY change -3644%</t>
  </si>
  <si>
    <t>YoY change 26385%</t>
  </si>
  <si>
    <t>Sign change; YoY change -308%</t>
  </si>
  <si>
    <t>Sign change; YoY change -2307%</t>
  </si>
  <si>
    <t>YoY change 654%</t>
  </si>
  <si>
    <t>Sign change; YoY change -2154%</t>
  </si>
  <si>
    <t>Sign change; YoY change -231%</t>
  </si>
  <si>
    <t>Sign change; YoY change -630%</t>
  </si>
  <si>
    <t>YoY change 1330%</t>
  </si>
  <si>
    <t>Sign change; YoY change -466%</t>
  </si>
  <si>
    <t>Sign change; YoY change -1595%</t>
  </si>
  <si>
    <t>YoY change 2198%</t>
  </si>
  <si>
    <t>YoY change 320%</t>
  </si>
  <si>
    <t>YoY change 1066%</t>
  </si>
  <si>
    <t>YoY change 715%</t>
  </si>
  <si>
    <t>Avg Shares Outstanding</t>
  </si>
  <si>
    <t>Shares changed 67%</t>
  </si>
  <si>
    <t>Shares changed 85%</t>
  </si>
  <si>
    <t>Shares changed 108%</t>
  </si>
  <si>
    <t>Shares changed 45%</t>
  </si>
  <si>
    <t>Shares changed 33%</t>
  </si>
  <si>
    <t>Shares changed 57%</t>
  </si>
  <si>
    <t>Shares changed 376%</t>
  </si>
  <si>
    <t>Shares changed 112%</t>
  </si>
  <si>
    <t>Shares changed 98%</t>
  </si>
  <si>
    <t>Shares changed -37%</t>
  </si>
  <si>
    <t>Shares changed 51%</t>
  </si>
  <si>
    <t>Shares changed -33%</t>
  </si>
  <si>
    <t>Shares changed 47%</t>
  </si>
  <si>
    <t>Shares changed 73%</t>
  </si>
  <si>
    <t>Shares changed 41%</t>
  </si>
  <si>
    <t>Shares changed 61%</t>
  </si>
  <si>
    <t>Shares changed 30%</t>
  </si>
  <si>
    <t>Stock Price Return</t>
  </si>
  <si>
    <t>Absolute Outlier</t>
  </si>
  <si>
    <t>Return below -70% (-75.9%)</t>
  </si>
  <si>
    <t>Return below -70% (-75.6%)</t>
  </si>
  <si>
    <t>Return above +150% (319.8%)</t>
  </si>
  <si>
    <t>Return below -70% (-100.0%)</t>
  </si>
  <si>
    <t>Return above +150% (230.3%)</t>
  </si>
  <si>
    <t>Return above +150% (248.2%)</t>
  </si>
  <si>
    <t>P-E Ratio</t>
  </si>
  <si>
    <t>P/E above 60 (75.4)</t>
  </si>
  <si>
    <t>P/E above 60 (67.6)</t>
  </si>
  <si>
    <t>P/E above 60 (130.9); YoY change 3299%</t>
  </si>
  <si>
    <t>P/E above 60 (170.4); YoY change 1010%</t>
  </si>
  <si>
    <t>P/E above 60 (62.3)</t>
  </si>
  <si>
    <t>P/E above 60 (336.2); YoY change 2695%</t>
  </si>
  <si>
    <t>YoY change -312%</t>
  </si>
  <si>
    <t>P/E above 60 (15274.2); YoY change 497149%</t>
  </si>
  <si>
    <t>YoY change -590%</t>
  </si>
  <si>
    <t>P/E above 60 (71.8)</t>
  </si>
  <si>
    <t>P/E above 60 (260.9)</t>
  </si>
  <si>
    <t>P/E above 60 (212.7)</t>
  </si>
  <si>
    <t>P/E above 60 (80.2)</t>
  </si>
  <si>
    <t>P/E above 60 (309.5)</t>
  </si>
  <si>
    <t>P/E above 60 (69.0)</t>
  </si>
  <si>
    <t>YoY change -534%</t>
  </si>
  <si>
    <t>YoY change -520%</t>
  </si>
  <si>
    <t>P/E above 60 (103.8); YoY change 785%</t>
  </si>
  <si>
    <t>YoY change -740%</t>
  </si>
  <si>
    <t>YoY change -586%</t>
  </si>
  <si>
    <t>P/E above 60 (780.5); YoY change 24953%</t>
  </si>
  <si>
    <t>P/E above 60 (82.6)</t>
  </si>
  <si>
    <t>P/E above 60 (89.9)</t>
  </si>
  <si>
    <t>P/E above 60 (381.0); YoY change -318%</t>
  </si>
  <si>
    <t>YoY change -386%</t>
  </si>
  <si>
    <t>YoY change -345%</t>
  </si>
  <si>
    <t>P/E above 60 (134.6); YoY change 364%</t>
  </si>
  <si>
    <t>P/E above 60 (92.0)</t>
  </si>
  <si>
    <t>P/E above 60 (193.5)</t>
  </si>
  <si>
    <t>YoY change -1619%</t>
  </si>
  <si>
    <t>P/E above 60 (101.6)</t>
  </si>
  <si>
    <t>YoY change -953%</t>
  </si>
  <si>
    <t>P/E above 60 (99.8); YoY change 669%</t>
  </si>
  <si>
    <t>YoY change -1474%</t>
  </si>
  <si>
    <t>YoY change -418%</t>
  </si>
  <si>
    <t>YoY change 390%</t>
  </si>
  <si>
    <t>P/E above 60 (61.6); YoY change 363%</t>
  </si>
  <si>
    <t>P/E above 60 (82.9)</t>
  </si>
  <si>
    <t>P/E above 60 (81.3)</t>
  </si>
  <si>
    <t>P/E above 60 (74.0); YoY change 565%</t>
  </si>
  <si>
    <t>P/E above 60 (86.7)</t>
  </si>
  <si>
    <t>P/E above 60 (185.2)</t>
  </si>
  <si>
    <t>P/E above 60 (118.6); YoY change 304%</t>
  </si>
  <si>
    <t>P/E above 60 (3737.7); YoY change 28297%</t>
  </si>
  <si>
    <t>YoY change -526%</t>
  </si>
  <si>
    <t>YoY change 450%</t>
  </si>
  <si>
    <t>P/E above 60 (88.2)</t>
  </si>
  <si>
    <t>P/E above 60 (73.1)</t>
  </si>
  <si>
    <t>P/E above 60 (95.4)</t>
  </si>
  <si>
    <t>P/E above 60 (115.1); YoY change 316%</t>
  </si>
  <si>
    <t>P/E above 60 (176.7)</t>
  </si>
  <si>
    <t>P/E above 60 (97.5); YoY change 529%</t>
  </si>
  <si>
    <t>YoY change -1163%</t>
  </si>
  <si>
    <t>P/E above 60 (74.4)</t>
  </si>
  <si>
    <t>P/E above 60 (105.4)</t>
  </si>
  <si>
    <t>P/E above 60 (110.5)</t>
  </si>
  <si>
    <t>P/E above 60 (112.2)</t>
  </si>
  <si>
    <t>P/E above 60 (100.9)</t>
  </si>
  <si>
    <t>P/E above 60 (78.1)</t>
  </si>
  <si>
    <t>P/E above 60 (508.3); YoY change 550%</t>
  </si>
  <si>
    <t>P/E above 60 (65.6)</t>
  </si>
  <si>
    <t>P/E above 60 (140.3); YoY change 481%</t>
  </si>
  <si>
    <t>P/E above 60 (1068.2); YoY change 661%</t>
  </si>
  <si>
    <t>P/E above 60 (654.1); YoY change 1095%</t>
  </si>
  <si>
    <t>P/E above 60 (66.3)</t>
  </si>
  <si>
    <t>P/E above 60 (65.7)</t>
  </si>
  <si>
    <t>P/E above 60 (231.5); YoY change 2592%</t>
  </si>
  <si>
    <t>P/E above 60 (107.3); YoY change 1902%</t>
  </si>
  <si>
    <t>P/E above 60 (348.2); YoY change 11076%</t>
  </si>
  <si>
    <t>P/E above 60 (111.9)</t>
  </si>
  <si>
    <t>P/E above 60 (61.8)</t>
  </si>
  <si>
    <t>P/E above 60 (88.1)</t>
  </si>
  <si>
    <t>P/E above 60 (88.6)</t>
  </si>
  <si>
    <t>YoY change -531%</t>
  </si>
  <si>
    <t>P/E above 60 (69.4); YoY change -1316%</t>
  </si>
  <si>
    <t>YoY change -509%</t>
  </si>
  <si>
    <t>YoY change 484%</t>
  </si>
  <si>
    <t>P/E above 60 (110.1); YoY change 480%</t>
  </si>
  <si>
    <t>P/E above 60 (60.5)</t>
  </si>
  <si>
    <t>YoY change -873%</t>
  </si>
  <si>
    <t>YoY change -368%</t>
  </si>
  <si>
    <t>P/E above 60 (70.2); YoY change 412%</t>
  </si>
  <si>
    <t>P/E above 60 (69.3)</t>
  </si>
  <si>
    <t>P/E above 60 (73.6); YoY change -330%</t>
  </si>
  <si>
    <t>P/E above 60 (94.2); YoY change 459%</t>
  </si>
  <si>
    <t>YoY change 356%</t>
  </si>
  <si>
    <t>P/E above 60 (177.0); YoY change 405%</t>
  </si>
  <si>
    <t>P/E above 60 (79.7)</t>
  </si>
  <si>
    <t>P/E above 60 (152.5)</t>
  </si>
  <si>
    <t>YoY change -656%</t>
  </si>
  <si>
    <t>P/E above 60 (64.8); YoY change 515%</t>
  </si>
  <si>
    <t>YoY change -1341%</t>
  </si>
  <si>
    <t>YoY change 733%</t>
  </si>
  <si>
    <t>P/E above 60 (987.1); YoY change 13059%</t>
  </si>
  <si>
    <t>P/E above 60 (64.8); YoY change 829%</t>
  </si>
  <si>
    <t>P/E above 60 (64.4); YoY change 617%</t>
  </si>
  <si>
    <t>YoY change -385%</t>
  </si>
  <si>
    <t>YoY change -716%</t>
  </si>
  <si>
    <t>YoY change -302%</t>
  </si>
  <si>
    <t>YoY change 520%</t>
  </si>
  <si>
    <t>P/E above 60 (664.7); YoY change 2727%</t>
  </si>
  <si>
    <t>P/E above 60 (97.1)</t>
  </si>
  <si>
    <t>P/E above 60 (147.3); YoY change 881%</t>
  </si>
  <si>
    <t>P/E above 60 (175.2)</t>
  </si>
  <si>
    <t>P/E above 60 (87.6)</t>
  </si>
  <si>
    <t>Dividends Per Share</t>
  </si>
  <si>
    <t>DPS dropped -100%</t>
  </si>
  <si>
    <t>DPS increased 1401%</t>
  </si>
  <si>
    <t>Zero or negative dividend</t>
  </si>
  <si>
    <t>DPS increased 217%</t>
  </si>
  <si>
    <t>DPS increased 317%</t>
  </si>
  <si>
    <t>DPS increased 400%</t>
  </si>
  <si>
    <t>DPS increased 567%</t>
  </si>
  <si>
    <t>DPS increased 231%</t>
  </si>
  <si>
    <t>DPS increased 244%</t>
  </si>
  <si>
    <t>DPS dropped -83%</t>
  </si>
  <si>
    <t>DPS increased 286%</t>
  </si>
  <si>
    <t>DPS increased 348%</t>
  </si>
  <si>
    <t>DPS increased 205%</t>
  </si>
  <si>
    <t>DPS dropped -95%</t>
  </si>
  <si>
    <t>DPS increased 233%</t>
  </si>
  <si>
    <t>DPS increased 267%</t>
  </si>
  <si>
    <t>DPS increased 270%</t>
  </si>
  <si>
    <t>DPS dropped -99%</t>
  </si>
  <si>
    <t>DPS increased 3025%</t>
  </si>
  <si>
    <t>DPS dropped -87%</t>
  </si>
  <si>
    <t>DPS dropped -97%</t>
  </si>
  <si>
    <t>DPS increased 1112%</t>
  </si>
  <si>
    <t>DPS increased 448%</t>
  </si>
  <si>
    <t>DPS dropped -82%</t>
  </si>
  <si>
    <t>DPS increased 390%</t>
  </si>
  <si>
    <t>DPS increased 640%</t>
  </si>
  <si>
    <t>DPS increased 226%</t>
  </si>
  <si>
    <t>DPS increased 446%</t>
  </si>
  <si>
    <t>DPS increased 297%</t>
  </si>
  <si>
    <t>DPS dropped -86%</t>
  </si>
  <si>
    <t>DPS increased 1000%</t>
  </si>
  <si>
    <t>DPS increased 1463%</t>
  </si>
  <si>
    <t>DPS increased 2333%</t>
  </si>
  <si>
    <t>Market Cap</t>
  </si>
  <si>
    <t>MCap surged 154%</t>
  </si>
  <si>
    <t>MCap surged 176%</t>
  </si>
  <si>
    <t>MCap surged 153%</t>
  </si>
  <si>
    <t>MCap surged 178%</t>
  </si>
  <si>
    <t>MCap surged 405%</t>
  </si>
  <si>
    <t>MCap dropped -88%</t>
  </si>
  <si>
    <t>MCap dropped -66%</t>
  </si>
  <si>
    <t>MCap surged 228%</t>
  </si>
  <si>
    <t>MCap surged 160%</t>
  </si>
  <si>
    <t>MCap surged 248%</t>
  </si>
  <si>
    <t>Calculated P/E Ratio (Market Cap / Net Income)</t>
  </si>
  <si>
    <t>P/E = Market Cap / Net Income. Green cells = formula-driven from other sheets.</t>
  </si>
  <si>
    <t>Earnings Per Share (€)</t>
  </si>
  <si>
    <t>EPS = Net Income / Weighted Avg Shares Outstanding. Calculated from source sheets.</t>
  </si>
  <si>
    <t>EPS Growth Decomposition — Income Effect vs Buyback Effect</t>
  </si>
  <si>
    <t>For each company-year, total EPS change = income effect + buyback/dilution effect. Years 2016–2024 (9 year-over-year changes).</t>
  </si>
  <si>
    <t>Net Income (t-1)</t>
  </si>
  <si>
    <t>Net Income (t)</t>
  </si>
  <si>
    <t>Shares (t-1)</t>
  </si>
  <si>
    <t>Shares (t)</t>
  </si>
  <si>
    <t>EPS (t-1)</t>
  </si>
  <si>
    <t>EPS (t)</t>
  </si>
  <si>
    <t>NI Growth (%)</t>
  </si>
  <si>
    <t>Share Count Change (%)</t>
  </si>
  <si>
    <t>EPS Growth (%)</t>
  </si>
  <si>
    <t>Hypothetical EPS (income only)</t>
  </si>
  <si>
    <t>Income Effect (€)</t>
  </si>
  <si>
    <t>Buyback Effect (€)</t>
  </si>
  <si>
    <t>Income Effect (%)</t>
  </si>
  <si>
    <t>Buyback Effect (%)</t>
  </si>
  <si>
    <t>Check (should = EPS Growth)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</si>
</sst>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2" x14ac:knownFonts="1">
    <font>
      <sz val="11"/>
      <color theme="1"/>
      <name val="Calibri"/>
      <family val="2"/>
      <scheme val="minor"/>
    </font>
    <font>
      <b/>
      <sz val="14"/>
      <color rgb="FF2F5496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6"/>
      <color rgb="FF2F549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2F5496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2F5496"/>
      <name val="Arial"/>
      <family val="2"/>
    </font>
    <font>
      <i/>
      <sz val="8"/>
      <color rgb="FF808080"/>
      <name val="Calibri"/>
      <family val="2"/>
      <scheme val="minor"/>
    </font>
    <font>
      <b/>
      <sz val="10"/>
      <color rgb="FF0000FF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008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4" borderId="0" xfId="0" applyFont="1" applyFill="1"/>
    <xf numFmtId="0" fontId="2" fillId="4" borderId="0" xfId="0" applyFont="1" applyFill="1"/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0" fillId="6" borderId="4" xfId="0" applyFont="1" applyFill="1" applyBorder="1"/>
    <xf numFmtId="0" fontId="10" fillId="6" borderId="5" xfId="0" applyFont="1" applyFill="1" applyBorder="1"/>
    <xf numFmtId="0" fontId="11" fillId="4" borderId="2" xfId="0" applyFont="1" applyFill="1" applyBorder="1"/>
    <xf numFmtId="0" fontId="11" fillId="4" borderId="1" xfId="0" applyFont="1" applyFill="1" applyBorder="1"/>
    <xf numFmtId="0" fontId="11" fillId="4" borderId="3" xfId="0" applyFont="1" applyFill="1" applyBorder="1"/>
    <xf numFmtId="0" fontId="11" fillId="4" borderId="4" xfId="0" applyFont="1" applyFill="1" applyBorder="1"/>
    <xf numFmtId="0" fontId="11" fillId="4" borderId="5" xfId="0" applyFont="1" applyFill="1" applyBorder="1"/>
    <xf numFmtId="0" fontId="11" fillId="4" borderId="6" xfId="0" applyFont="1" applyFill="1" applyBorder="1"/>
    <xf numFmtId="0" fontId="10" fillId="6" borderId="7" xfId="0" applyFont="1" applyFill="1" applyBorder="1"/>
    <xf numFmtId="0" fontId="10" fillId="6" borderId="8" xfId="0" applyFont="1" applyFill="1" applyBorder="1"/>
    <xf numFmtId="4" fontId="6" fillId="4" borderId="2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0" fontId="12" fillId="4" borderId="0" xfId="0" applyFont="1" applyFill="1"/>
    <xf numFmtId="0" fontId="13" fillId="4" borderId="0" xfId="0" applyFont="1" applyFill="1"/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4" fillId="4" borderId="2" xfId="0" applyFont="1" applyFill="1" applyBorder="1"/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15" fillId="4" borderId="0" xfId="0" applyFont="1" applyFill="1"/>
    <xf numFmtId="0" fontId="15" fillId="0" borderId="0" xfId="0" applyFont="1"/>
    <xf numFmtId="49" fontId="15" fillId="0" borderId="0" xfId="0" applyNumberFormat="1" applyFont="1" applyAlignment="1">
      <alignment horizontal="center"/>
    </xf>
    <xf numFmtId="4" fontId="6" fillId="7" borderId="1" xfId="0" applyNumberFormat="1" applyFont="1" applyFill="1" applyBorder="1" applyAlignment="1">
      <alignment horizontal="center" vertical="center"/>
    </xf>
    <xf numFmtId="4" fontId="16" fillId="7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4" fontId="6" fillId="7" borderId="2" xfId="0" applyNumberFormat="1" applyFont="1" applyFill="1" applyBorder="1" applyAlignment="1">
      <alignment horizontal="center"/>
    </xf>
    <xf numFmtId="4" fontId="6" fillId="8" borderId="2" xfId="0" applyNumberFormat="1" applyFont="1" applyFill="1" applyBorder="1" applyAlignment="1">
      <alignment horizontal="center"/>
    </xf>
    <xf numFmtId="0" fontId="17" fillId="9" borderId="0" xfId="0" applyFont="1" applyFill="1"/>
    <xf numFmtId="0" fontId="0" fillId="7" borderId="0" xfId="0" applyFill="1"/>
    <xf numFmtId="0" fontId="0" fillId="8" borderId="0" xfId="0" applyFill="1"/>
    <xf numFmtId="0" fontId="0" fillId="4" borderId="1" xfId="0" applyFill="1" applyBorder="1"/>
    <xf numFmtId="4" fontId="6" fillId="4" borderId="1" xfId="0" applyNumberFormat="1" applyFont="1" applyFill="1" applyBorder="1" applyAlignment="1">
      <alignment horizontal="center" vertical="center"/>
    </xf>
    <xf numFmtId="0" fontId="10" fillId="4" borderId="8" xfId="0" applyFont="1" applyFill="1" applyBorder="1"/>
    <xf numFmtId="165" fontId="18" fillId="4" borderId="1" xfId="0" applyNumberFormat="1" applyFont="1" applyFill="1" applyBorder="1" applyAlignment="1">
      <alignment horizontal="center" vertical="center"/>
    </xf>
    <xf numFmtId="0" fontId="19" fillId="0" borderId="1" xfId="0" applyFont="1" applyBorder="1"/>
    <xf numFmtId="4" fontId="19" fillId="0" borderId="1" xfId="0" applyNumberFormat="1" applyFont="1" applyBorder="1" applyAlignment="1">
      <alignment horizontal="center"/>
    </xf>
    <xf numFmtId="0" fontId="20" fillId="6" borderId="1" xfId="0" applyFont="1" applyFill="1" applyBorder="1"/>
    <xf numFmtId="4" fontId="20" fillId="6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/>
    <xf numFmtId="0" fontId="21" fillId="4" borderId="0" xfId="0" applyFont="1" applyFill="1"/>
    <xf numFmtId="0" fontId="2" fillId="4" borderId="0" xfId="0" applyFont="1" applyFill="1" applyBorder="1"/>
    <xf numFmtId="0" fontId="21" fillId="4" borderId="0" xfId="0" applyFont="1" applyFill="1" applyBorder="1"/>
    <xf numFmtId="1" fontId="11" fillId="4" borderId="1" xfId="0" applyNumberFormat="1" applyFont="1" applyFill="1" applyBorder="1" applyAlignment="1">
      <alignment horizontal="center"/>
    </xf>
    <xf numFmtId="4" fontId="11" fillId="4" borderId="1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indexed="64"/>
          <bgColor rgb="FFFFA5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cardo Ceccaroni" id="{BF7EAB0A-0193-4603-AD98-5FBA9F9D190C}" userId="17bd55dd69917497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3D5A7-79E7-47D4-8598-31D29215180F}" name="Table1" displayName="Table1" ref="A1:G572" totalsRowShown="0" headerRowDxfId="1">
  <autoFilter ref="A1:G572" xr:uid="{5CE3D5A7-79E7-47D4-8598-31D29215180F}"/>
  <tableColumns count="7">
    <tableColumn id="1" xr3:uid="{88CAC0A8-FB5E-4AD4-9F7C-7D646C904E5A}" name="Sheet"/>
    <tableColumn id="2" xr3:uid="{F8FDC37F-4DFD-4806-8647-2C38C19C74B1}" name="Ticker"/>
    <tableColumn id="3" xr3:uid="{E71CD751-4EE1-410C-B9CB-CAC6532D1711}" name="Company"/>
    <tableColumn id="4" xr3:uid="{097E22BE-A451-40F1-9405-BB3B3C0FB5BD}" name="Year"/>
    <tableColumn id="5" xr3:uid="{47E2670E-A7C5-4EA1-AC6F-60139E929A40}" name="Value"/>
    <tableColumn id="6" xr3:uid="{0C4CF00B-5D77-40A4-ADC7-5DBF8C8E4BE3}" name="Flag Type" dataDxfId="0"/>
    <tableColumn id="7" xr3:uid="{F239B7DF-5DFB-44C6-ADF0-3FA76197E98A}" name="Rea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6-03-16T11:46:00.17" personId="{BF7EAB0A-0193-4603-AD98-5FBA9F9D190C}" id="{2850E1A5-41F0-48C8-906F-CAA4D3C58390}">
    <text>YoY +67% — likely merger-related share increase (Banco BPM)</text>
  </threadedComment>
  <threadedComment ref="G11" dT="2026-03-16T11:46:00.16" personId="{BF7EAB0A-0193-4603-AD98-5FBA9F9D190C}" id="{7A3B356A-EAE4-441B-921A-EE5C8C14F1F6}">
    <text>YoY +85% — likely merger-related share increase (Banco BPM)</text>
  </threadedComment>
  <threadedComment ref="K12" dT="2026-03-16T11:46:00.15" personId="{BF7EAB0A-0193-4603-AD98-5FBA9F9D190C}" id="{8414DA28-03C7-4959-8226-CFC8ABC81DCC}">
    <text>YoY +108% — likely merger-related share increase (BPER Banca)</text>
  </threadedComment>
  <threadedComment ref="L31" dT="2026-03-16T11:46:00.17" personId="{BF7EAB0A-0193-4603-AD98-5FBA9F9D190C}" id="{F58A58A1-0FEC-4051-9AC2-4E43266280A2}">
    <text>YoY +57% — likely merger-related share increase (Nexi)</text>
  </threadedComment>
  <threadedComment ref="L35" dT="2026-03-16T11:46:00.15" personId="{BF7EAB0A-0193-4603-AD98-5FBA9F9D190C}" id="{63B3A2B4-B4D7-48BF-8B3F-324149F93FCD}">
    <text>YoY +376% — likely reverse stock split adjustment or capital increase (Saipem)</text>
  </threadedComment>
  <threadedComment ref="M35" dT="2026-03-16T11:46:00.15" personId="{BF7EAB0A-0193-4603-AD98-5FBA9F9D190C}" id="{9176F2E1-95FB-4A2E-9140-4990F953BF63}">
    <text>YoY +112% — likely capital increase (Saipem)</text>
  </threadedComment>
  <threadedComment ref="K37" dT="2026-03-16T11:46:00.16" personId="{BF7EAB0A-0193-4603-AD98-5FBA9F9D190C}" id="{BE16E2FF-6101-4E85-B554-904E2387887B}">
    <text>YoY +98% — FCA/PSA merger creating Stellantis</text>
  </threadedComment>
  <threadedComment ref="I93" dT="2026-03-16T11:46:00.17" personId="{BF7EAB0A-0193-4603-AD98-5FBA9F9D190C}" id="{A09E8D07-F61A-4ED6-B4B6-67B1877AF745}">
    <text>YoY +67% — Essilor/Luxottica merger</text>
  </threadedComment>
  <threadedComment ref="K110" dT="2026-03-16T11:46:00.16" personId="{BF7EAB0A-0193-4603-AD98-5FBA9F9D190C}" id="{A041B09C-5C19-4963-9683-D0F877EA7412}">
    <text>YoY +98% — FCA/PSA merger creating Stellantis</text>
  </threadedComment>
  <threadedComment ref="F138" dT="2026-03-16T11:46:00.17" personId="{BF7EAB0A-0193-4603-AD98-5FBA9F9D190C}" id="{D542F886-6FCF-4BA5-BD54-C990E6BBB239}">
    <text>YoY +51% — likely capital increase (ACS)</text>
  </threadedComment>
  <threadedComment ref="J141" dT="2026-03-16T11:46:00.16" personId="{BF7EAB0A-0193-4603-AD98-5FBA9F9D190C}" id="{2B72A372-54AB-42C8-B2DD-0516936D030D}">
    <text>YoY +73% — likely COVID-era capital raise (IAG)</text>
  </threadedComment>
  <threadedComment ref="F142" dT="2026-03-16T11:46:00.17" personId="{BF7EAB0A-0193-4603-AD98-5FBA9F9D190C}" id="{A74316A0-DD5B-483F-AC10-3B460DF991AD}">
    <text>YoY +61% — likely capital increase (Merlin Properties)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71DF93D-F186-4711-8E3E-956D449BFBE1}">
  <we:reference id="wa200002252" version="1.0.0.3" store="en-US" storeType="OMEX"/>
  <we:alternateReferences>
    <we:reference id="wa200002252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_xldudf_WISE</we:customFunctionIds>
        <we:customFunctionIds>_xldudf_WISEPRICE</we:customFunctionIds>
        <we:customFunctionIds>_xldudf_WISEFUNDS</we:customFunctionIds>
        <we:customFunctionIds>_xldudf_WISEOPTIONS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78530019-2BD6-47A9-A547-E80A91096B86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/>
  </sheetViews>
  <sheetFormatPr defaultRowHeight="14.4" x14ac:dyDescent="0.3"/>
  <cols>
    <col min="1" max="1" width="80" customWidth="1"/>
  </cols>
  <sheetData>
    <row r="1" spans="1:1" ht="21" x14ac:dyDescent="0.4">
      <c r="A1" s="1" t="s">
        <v>0</v>
      </c>
    </row>
    <row r="2" spans="1:1" x14ac:dyDescent="0.3">
      <c r="A2" s="2"/>
    </row>
    <row r="3" spans="1:1" ht="15.6" x14ac:dyDescent="0.3">
      <c r="A3" s="3" t="s">
        <v>1</v>
      </c>
    </row>
    <row r="4" spans="1:1" x14ac:dyDescent="0.3">
      <c r="A4" s="2"/>
    </row>
    <row r="5" spans="1:1" x14ac:dyDescent="0.3">
      <c r="A5" s="4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4" t="s">
        <v>7</v>
      </c>
    </row>
    <row r="11" spans="1:1" x14ac:dyDescent="0.3">
      <c r="A11" s="2"/>
    </row>
    <row r="12" spans="1:1" x14ac:dyDescent="0.3">
      <c r="A12" s="4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/>
    </row>
    <row r="18" spans="1:1" x14ac:dyDescent="0.3">
      <c r="A18" s="4" t="s">
        <v>13</v>
      </c>
    </row>
    <row r="19" spans="1:1" x14ac:dyDescent="0.3">
      <c r="A19" s="2"/>
    </row>
    <row r="20" spans="1:1" x14ac:dyDescent="0.3">
      <c r="A20" s="4" t="s">
        <v>14</v>
      </c>
    </row>
    <row r="21" spans="1:1" x14ac:dyDescent="0.3">
      <c r="A21" s="2" t="s">
        <v>15</v>
      </c>
    </row>
    <row r="22" spans="1:1" x14ac:dyDescent="0.3">
      <c r="A22" s="2" t="s">
        <v>16</v>
      </c>
    </row>
    <row r="23" spans="1:1" x14ac:dyDescent="0.3">
      <c r="A23" s="2" t="s">
        <v>17</v>
      </c>
    </row>
    <row r="24" spans="1:1" x14ac:dyDescent="0.3">
      <c r="A24" s="2" t="s">
        <v>18</v>
      </c>
    </row>
    <row r="25" spans="1:1" x14ac:dyDescent="0.3">
      <c r="A25" s="2" t="s">
        <v>19</v>
      </c>
    </row>
    <row r="26" spans="1:1" x14ac:dyDescent="0.3">
      <c r="A26" s="2"/>
    </row>
    <row r="27" spans="1:1" x14ac:dyDescent="0.3">
      <c r="A27" s="4" t="s">
        <v>20</v>
      </c>
    </row>
    <row r="28" spans="1:1" x14ac:dyDescent="0.3">
      <c r="A28" s="2" t="s">
        <v>21</v>
      </c>
    </row>
    <row r="29" spans="1:1" x14ac:dyDescent="0.3">
      <c r="A29" s="2"/>
    </row>
    <row r="30" spans="1:1" x14ac:dyDescent="0.3">
      <c r="A30" s="4" t="s">
        <v>22</v>
      </c>
    </row>
    <row r="31" spans="1:1" x14ac:dyDescent="0.3">
      <c r="A31" s="2" t="s">
        <v>23</v>
      </c>
    </row>
    <row r="32" spans="1:1" x14ac:dyDescent="0.3">
      <c r="A32" s="2" t="s">
        <v>24</v>
      </c>
    </row>
    <row r="33" spans="1:1" x14ac:dyDescent="0.3">
      <c r="A33" s="2" t="s">
        <v>25</v>
      </c>
    </row>
    <row r="34" spans="1:1" x14ac:dyDescent="0.3">
      <c r="A34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6"/>
  <sheetViews>
    <sheetView zoomScale="70" zoomScaleNormal="70" workbookViewId="0">
      <pane xSplit="4" ySplit="3" topLeftCell="K118" activePane="bottomRight" state="frozen"/>
      <selection pane="topRight"/>
      <selection pane="bottomLeft"/>
      <selection pane="bottomRight" activeCell="O149" sqref="O149"/>
    </sheetView>
  </sheetViews>
  <sheetFormatPr defaultRowHeight="14.4" x14ac:dyDescent="0.3"/>
  <cols>
    <col min="1" max="1" width="14" customWidth="1"/>
    <col min="2" max="2" width="32" customWidth="1"/>
    <col min="3" max="4" width="12" customWidth="1"/>
    <col min="5" max="14" width="32.33203125" bestFit="1" customWidth="1"/>
  </cols>
  <sheetData>
    <row r="1" spans="1:14" ht="30" customHeight="1" x14ac:dyDescent="0.3">
      <c r="A1" s="55" t="s">
        <v>27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9.95" customHeight="1" x14ac:dyDescent="0.3">
      <c r="A2" s="57" t="s">
        <v>28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22.05" customHeight="1" x14ac:dyDescent="0.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</row>
    <row r="4" spans="1:14" x14ac:dyDescent="0.3">
      <c r="A4" s="6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8" t="s">
        <v>44</v>
      </c>
      <c r="B5" s="8" t="s">
        <v>45</v>
      </c>
      <c r="C5" s="8" t="s">
        <v>46</v>
      </c>
      <c r="D5" s="8" t="s">
        <v>43</v>
      </c>
      <c r="E5" s="9">
        <v>73000000</v>
      </c>
      <c r="F5" s="39">
        <v>224000000</v>
      </c>
      <c r="G5" s="9">
        <v>293000000</v>
      </c>
      <c r="H5" s="9">
        <v>344000000</v>
      </c>
      <c r="I5" s="9">
        <v>389000000</v>
      </c>
      <c r="J5" s="9">
        <v>364000000</v>
      </c>
      <c r="K5" s="9">
        <v>504000000</v>
      </c>
      <c r="L5" s="9">
        <v>401000000</v>
      </c>
      <c r="M5" s="9">
        <v>659000000</v>
      </c>
      <c r="N5" s="9">
        <v>864000000</v>
      </c>
    </row>
    <row r="6" spans="1:14" x14ac:dyDescent="0.3">
      <c r="A6" s="8" t="s">
        <v>47</v>
      </c>
      <c r="B6" s="8" t="s">
        <v>48</v>
      </c>
      <c r="C6" s="8" t="s">
        <v>46</v>
      </c>
      <c r="D6" s="8" t="s">
        <v>43</v>
      </c>
      <c r="E6" s="9">
        <v>46805000</v>
      </c>
      <c r="F6" s="9">
        <v>63620000</v>
      </c>
      <c r="G6" s="9">
        <v>100578000</v>
      </c>
      <c r="H6" s="9">
        <v>100443000</v>
      </c>
      <c r="I6" s="9">
        <v>108666000</v>
      </c>
      <c r="J6" s="9">
        <v>101004000</v>
      </c>
      <c r="K6" s="9">
        <v>157785000</v>
      </c>
      <c r="L6" s="9">
        <v>178525000</v>
      </c>
      <c r="M6" s="9">
        <v>155139000</v>
      </c>
      <c r="N6" s="9">
        <v>145374000</v>
      </c>
    </row>
    <row r="7" spans="1:14" x14ac:dyDescent="0.3">
      <c r="A7" s="8" t="s">
        <v>49</v>
      </c>
      <c r="B7" s="8" t="s">
        <v>50</v>
      </c>
      <c r="C7" s="8" t="s">
        <v>46</v>
      </c>
      <c r="D7" s="8" t="s">
        <v>43</v>
      </c>
      <c r="E7" s="9">
        <v>2030000000</v>
      </c>
      <c r="F7" s="9">
        <v>2081000000</v>
      </c>
      <c r="G7" s="9">
        <v>2110000000</v>
      </c>
      <c r="H7" s="9">
        <v>2309000000</v>
      </c>
      <c r="I7" s="9">
        <v>2670000000</v>
      </c>
      <c r="J7" s="9">
        <v>1744000000</v>
      </c>
      <c r="K7" s="9">
        <v>2847000000</v>
      </c>
      <c r="L7" s="9">
        <v>2912000000</v>
      </c>
      <c r="M7" s="9">
        <v>3747000000</v>
      </c>
      <c r="N7" s="9">
        <v>3724000000</v>
      </c>
    </row>
    <row r="8" spans="1:14" x14ac:dyDescent="0.3">
      <c r="A8" s="8" t="s">
        <v>51</v>
      </c>
      <c r="B8" s="8" t="s">
        <v>52</v>
      </c>
      <c r="C8" s="8" t="s">
        <v>46</v>
      </c>
      <c r="D8" s="8" t="s">
        <v>43</v>
      </c>
      <c r="E8" s="9">
        <v>247421000</v>
      </c>
      <c r="F8" s="9">
        <v>172685000</v>
      </c>
      <c r="G8" s="9">
        <v>214786000</v>
      </c>
      <c r="H8" s="9">
        <v>122146000</v>
      </c>
      <c r="I8" s="39">
        <v>370011000</v>
      </c>
      <c r="J8" s="9">
        <v>381690000</v>
      </c>
      <c r="K8" s="9">
        <v>605457000</v>
      </c>
      <c r="L8" s="9">
        <v>406461000</v>
      </c>
      <c r="M8" s="9">
        <v>434567000</v>
      </c>
      <c r="N8" s="9">
        <v>576165000</v>
      </c>
    </row>
    <row r="9" spans="1:14" x14ac:dyDescent="0.3">
      <c r="A9" s="8" t="s">
        <v>53</v>
      </c>
      <c r="B9" s="8" t="s">
        <v>54</v>
      </c>
      <c r="C9" s="8" t="s">
        <v>46</v>
      </c>
      <c r="D9" s="8" t="s">
        <v>43</v>
      </c>
      <c r="E9" s="9">
        <v>203559000</v>
      </c>
      <c r="F9" s="9">
        <v>155894000</v>
      </c>
      <c r="G9" s="9">
        <v>204105000</v>
      </c>
      <c r="H9" s="9">
        <v>180126000</v>
      </c>
      <c r="I9" s="9">
        <v>272139000</v>
      </c>
      <c r="J9" s="9">
        <v>274919000</v>
      </c>
      <c r="K9" s="9">
        <v>323103000</v>
      </c>
      <c r="L9" s="9">
        <v>213034000</v>
      </c>
      <c r="M9" s="9">
        <v>326136000</v>
      </c>
      <c r="N9" s="9">
        <v>431225000</v>
      </c>
    </row>
    <row r="10" spans="1:14" x14ac:dyDescent="0.3">
      <c r="A10" s="8" t="s">
        <v>55</v>
      </c>
      <c r="B10" s="8" t="s">
        <v>56</v>
      </c>
      <c r="C10" s="8" t="s">
        <v>46</v>
      </c>
      <c r="D10" s="8" t="s">
        <v>43</v>
      </c>
      <c r="E10" s="9">
        <v>438613000</v>
      </c>
      <c r="F10" s="9">
        <v>393527000</v>
      </c>
      <c r="G10" s="9">
        <v>379992000</v>
      </c>
      <c r="H10" s="9">
        <v>255710000</v>
      </c>
      <c r="I10" s="9">
        <v>565432000</v>
      </c>
      <c r="J10" s="9">
        <v>434462000</v>
      </c>
      <c r="K10" s="9">
        <v>713055000</v>
      </c>
      <c r="L10" s="9">
        <v>506829000</v>
      </c>
      <c r="M10" s="9">
        <v>821870000</v>
      </c>
      <c r="N10" s="9">
        <v>1119629000</v>
      </c>
    </row>
    <row r="11" spans="1:14" x14ac:dyDescent="0.3">
      <c r="A11" s="8" t="s">
        <v>57</v>
      </c>
      <c r="B11" s="8" t="s">
        <v>58</v>
      </c>
      <c r="C11" s="8" t="s">
        <v>46</v>
      </c>
      <c r="D11" s="8" t="s">
        <v>43</v>
      </c>
      <c r="E11" s="9">
        <v>430073000</v>
      </c>
      <c r="F11" s="39">
        <v>-1681660000</v>
      </c>
      <c r="G11" s="39">
        <v>2616362000</v>
      </c>
      <c r="H11" s="39">
        <v>-59432000</v>
      </c>
      <c r="I11" s="39">
        <v>797001000</v>
      </c>
      <c r="J11" s="9">
        <v>20880000</v>
      </c>
      <c r="K11" s="39">
        <v>569068000</v>
      </c>
      <c r="L11" s="9">
        <v>685047000</v>
      </c>
      <c r="M11" s="9">
        <v>1264453000</v>
      </c>
      <c r="N11" s="9">
        <v>1920393000</v>
      </c>
    </row>
    <row r="12" spans="1:14" x14ac:dyDescent="0.3">
      <c r="A12" s="8" t="s">
        <v>59</v>
      </c>
      <c r="B12" s="8" t="s">
        <v>60</v>
      </c>
      <c r="C12" s="8" t="s">
        <v>46</v>
      </c>
      <c r="D12" s="8" t="s">
        <v>43</v>
      </c>
      <c r="E12" s="9">
        <v>220661000</v>
      </c>
      <c r="F12" s="9">
        <v>14299000</v>
      </c>
      <c r="G12" s="39">
        <v>176438000</v>
      </c>
      <c r="H12" s="9">
        <v>401953000</v>
      </c>
      <c r="I12" s="9">
        <v>379583000</v>
      </c>
      <c r="J12" s="9">
        <v>236925000</v>
      </c>
      <c r="K12" s="9">
        <v>525123000</v>
      </c>
      <c r="L12" s="9">
        <v>1448975000</v>
      </c>
      <c r="M12" s="9">
        <v>1519496000</v>
      </c>
      <c r="N12" s="9">
        <v>1402649000</v>
      </c>
    </row>
    <row r="13" spans="1:14" x14ac:dyDescent="0.3">
      <c r="A13" s="8" t="s">
        <v>61</v>
      </c>
      <c r="B13" s="8" t="s">
        <v>62</v>
      </c>
      <c r="C13" s="8" t="s">
        <v>46</v>
      </c>
      <c r="D13" s="8" t="s">
        <v>43</v>
      </c>
      <c r="E13" s="9">
        <v>125330000</v>
      </c>
      <c r="F13" s="9">
        <v>145866000</v>
      </c>
      <c r="G13" s="9">
        <v>391622000</v>
      </c>
      <c r="H13" s="9">
        <v>382133000</v>
      </c>
      <c r="I13" s="9">
        <v>385671000</v>
      </c>
      <c r="J13" s="9">
        <v>560246000</v>
      </c>
      <c r="K13" s="9">
        <v>541903000</v>
      </c>
      <c r="L13" s="9">
        <v>458786000</v>
      </c>
      <c r="M13" s="9">
        <v>966545000</v>
      </c>
      <c r="N13" s="9">
        <v>942316000</v>
      </c>
    </row>
    <row r="14" spans="1:14" x14ac:dyDescent="0.3">
      <c r="A14" s="8" t="s">
        <v>63</v>
      </c>
      <c r="B14" s="8" t="s">
        <v>64</v>
      </c>
      <c r="C14" s="8" t="s">
        <v>46</v>
      </c>
      <c r="D14" s="8" t="s">
        <v>43</v>
      </c>
      <c r="E14" s="9">
        <v>175400000</v>
      </c>
      <c r="F14" s="9">
        <v>166300000</v>
      </c>
      <c r="G14" s="9">
        <v>356400000</v>
      </c>
      <c r="H14" s="9">
        <v>296300000</v>
      </c>
      <c r="I14" s="9">
        <v>308400000</v>
      </c>
      <c r="J14" s="9">
        <v>187900000</v>
      </c>
      <c r="K14" s="9">
        <v>284800000</v>
      </c>
      <c r="L14" s="9">
        <v>333000000</v>
      </c>
      <c r="M14" s="9">
        <v>330500000</v>
      </c>
      <c r="N14" s="9">
        <v>201600000</v>
      </c>
    </row>
    <row r="15" spans="1:14" x14ac:dyDescent="0.3">
      <c r="A15" s="8" t="s">
        <v>65</v>
      </c>
      <c r="B15" s="8" t="s">
        <v>66</v>
      </c>
      <c r="C15" s="8" t="s">
        <v>46</v>
      </c>
      <c r="D15" s="8" t="s">
        <v>43</v>
      </c>
      <c r="E15" s="9">
        <v>253000000</v>
      </c>
      <c r="F15" s="39">
        <v>-252000000</v>
      </c>
      <c r="G15" s="39">
        <v>295000000</v>
      </c>
      <c r="H15" s="39">
        <v>1068000000</v>
      </c>
      <c r="I15" s="9">
        <v>1422000000</v>
      </c>
      <c r="J15" s="39">
        <v>-455000000</v>
      </c>
      <c r="K15" s="39">
        <v>1723000000</v>
      </c>
      <c r="L15" s="9">
        <v>2029000000</v>
      </c>
      <c r="M15" s="9">
        <v>2275000000</v>
      </c>
      <c r="N15" s="9"/>
    </row>
    <row r="16" spans="1:14" x14ac:dyDescent="0.3">
      <c r="A16" s="8" t="s">
        <v>67</v>
      </c>
      <c r="B16" s="8" t="s">
        <v>68</v>
      </c>
      <c r="C16" s="8" t="s">
        <v>46</v>
      </c>
      <c r="D16" s="8" t="s">
        <v>43</v>
      </c>
      <c r="E16" s="9">
        <v>100420000</v>
      </c>
      <c r="F16" s="9">
        <v>112383000</v>
      </c>
      <c r="G16" s="9">
        <v>139878000</v>
      </c>
      <c r="H16" s="9">
        <v>158128000</v>
      </c>
      <c r="I16" s="9">
        <v>175735000</v>
      </c>
      <c r="J16" s="9">
        <v>247871000</v>
      </c>
      <c r="K16" s="9">
        <v>310968000</v>
      </c>
      <c r="L16" s="9">
        <v>240907000</v>
      </c>
      <c r="M16" s="9">
        <v>159849000</v>
      </c>
      <c r="N16" s="9">
        <v>188105000</v>
      </c>
    </row>
    <row r="17" spans="1:14" x14ac:dyDescent="0.3">
      <c r="A17" s="8" t="s">
        <v>69</v>
      </c>
      <c r="B17" s="8" t="s">
        <v>70</v>
      </c>
      <c r="C17" s="8" t="s">
        <v>46</v>
      </c>
      <c r="D17" s="8" t="s">
        <v>43</v>
      </c>
      <c r="E17" s="9">
        <v>2196000000</v>
      </c>
      <c r="F17" s="9">
        <v>2570000000</v>
      </c>
      <c r="G17" s="9">
        <v>3779000000</v>
      </c>
      <c r="H17" s="9">
        <v>4789000000</v>
      </c>
      <c r="I17" s="9">
        <v>2174000000</v>
      </c>
      <c r="J17" s="9">
        <v>2610000000</v>
      </c>
      <c r="K17" s="9">
        <v>3189000000</v>
      </c>
      <c r="L17" s="9">
        <v>1682000000</v>
      </c>
      <c r="M17" s="9">
        <v>3438000000</v>
      </c>
      <c r="N17" s="9">
        <v>7016000000</v>
      </c>
    </row>
    <row r="18" spans="1:14" x14ac:dyDescent="0.3">
      <c r="A18" s="8" t="s">
        <v>71</v>
      </c>
      <c r="B18" s="8" t="s">
        <v>72</v>
      </c>
      <c r="C18" s="8" t="s">
        <v>46</v>
      </c>
      <c r="D18" s="8" t="s">
        <v>43</v>
      </c>
      <c r="E18" s="9">
        <v>-8778000000</v>
      </c>
      <c r="F18" s="9">
        <v>-1464000000</v>
      </c>
      <c r="G18" s="39">
        <v>3374000000</v>
      </c>
      <c r="H18" s="9">
        <v>4126000000</v>
      </c>
      <c r="I18" s="9">
        <v>148000000</v>
      </c>
      <c r="J18" s="39">
        <v>-8635000000</v>
      </c>
      <c r="K18" s="39">
        <v>5821000000</v>
      </c>
      <c r="L18" s="9">
        <v>13887000000</v>
      </c>
      <c r="M18" s="9">
        <v>4771000000</v>
      </c>
      <c r="N18" s="9">
        <v>2624000000</v>
      </c>
    </row>
    <row r="19" spans="1:14" x14ac:dyDescent="0.3">
      <c r="A19" s="8" t="s">
        <v>73</v>
      </c>
      <c r="B19" s="8" t="s">
        <v>74</v>
      </c>
      <c r="C19" s="8" t="s">
        <v>46</v>
      </c>
      <c r="D19" s="8" t="s">
        <v>43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3">
      <c r="A20" s="8" t="s">
        <v>75</v>
      </c>
      <c r="B20" s="8" t="s">
        <v>76</v>
      </c>
      <c r="C20" s="8" t="s">
        <v>46</v>
      </c>
      <c r="D20" s="8" t="s">
        <v>43</v>
      </c>
      <c r="E20" s="9"/>
      <c r="F20" s="9"/>
      <c r="G20" s="9">
        <v>535393000</v>
      </c>
      <c r="H20" s="9">
        <v>784678000</v>
      </c>
      <c r="I20" s="9">
        <v>695818000</v>
      </c>
      <c r="J20" s="9">
        <v>607817000</v>
      </c>
      <c r="K20" s="9">
        <v>830767000</v>
      </c>
      <c r="L20" s="9">
        <v>932614000</v>
      </c>
      <c r="M20" s="9">
        <v>1252048000</v>
      </c>
      <c r="N20" s="9">
        <v>1521877000</v>
      </c>
    </row>
    <row r="21" spans="1:14" x14ac:dyDescent="0.3">
      <c r="A21" s="8" t="s">
        <v>77</v>
      </c>
      <c r="B21" s="8" t="s">
        <v>78</v>
      </c>
      <c r="C21" s="8" t="s">
        <v>46</v>
      </c>
      <c r="D21" s="8" t="s">
        <v>43</v>
      </c>
      <c r="E21" s="9">
        <v>191052791</v>
      </c>
      <c r="F21" s="9">
        <v>211843794</v>
      </c>
      <c r="G21" s="9">
        <v>214120370</v>
      </c>
      <c r="H21" s="9">
        <v>241219000</v>
      </c>
      <c r="I21" s="9">
        <v>288365000</v>
      </c>
      <c r="J21" s="9">
        <v>323571000</v>
      </c>
      <c r="K21" s="9">
        <v>380711000</v>
      </c>
      <c r="L21" s="9">
        <v>428505000</v>
      </c>
      <c r="M21" s="9">
        <v>609101000</v>
      </c>
      <c r="N21" s="9">
        <v>652285000</v>
      </c>
    </row>
    <row r="22" spans="1:14" x14ac:dyDescent="0.3">
      <c r="A22" s="8" t="s">
        <v>79</v>
      </c>
      <c r="B22" s="8" t="s">
        <v>80</v>
      </c>
      <c r="C22" s="8" t="s">
        <v>46</v>
      </c>
      <c r="D22" s="8" t="s">
        <v>43</v>
      </c>
      <c r="E22" s="9">
        <v>180000000</v>
      </c>
      <c r="F22" s="9">
        <v>207300000</v>
      </c>
      <c r="G22" s="9">
        <v>251400000</v>
      </c>
      <c r="H22" s="9">
        <v>281900000</v>
      </c>
      <c r="I22" s="9">
        <v>385700000</v>
      </c>
      <c r="J22" s="9">
        <v>302700000</v>
      </c>
      <c r="K22" s="9">
        <v>333500000</v>
      </c>
      <c r="L22" s="9">
        <v>255200000</v>
      </c>
      <c r="M22" s="9">
        <v>441400000</v>
      </c>
      <c r="N22" s="9">
        <v>494500000</v>
      </c>
    </row>
    <row r="23" spans="1:14" x14ac:dyDescent="0.3">
      <c r="A23" s="8" t="s">
        <v>81</v>
      </c>
      <c r="B23" s="8" t="s">
        <v>82</v>
      </c>
      <c r="C23" s="8" t="s">
        <v>46</v>
      </c>
      <c r="D23" s="8" t="s">
        <v>43</v>
      </c>
      <c r="E23" s="9"/>
      <c r="F23" s="9">
        <v>97924833</v>
      </c>
      <c r="G23" s="9">
        <v>126740774</v>
      </c>
      <c r="H23" s="9">
        <v>140760895</v>
      </c>
      <c r="I23" s="9">
        <v>139313769</v>
      </c>
      <c r="J23" s="9">
        <v>156666767</v>
      </c>
      <c r="K23" s="9">
        <v>191395676</v>
      </c>
      <c r="L23" s="9">
        <v>293339000</v>
      </c>
      <c r="M23" s="9">
        <v>339497000</v>
      </c>
      <c r="N23" s="9">
        <v>353900000</v>
      </c>
    </row>
    <row r="24" spans="1:14" x14ac:dyDescent="0.3">
      <c r="A24" s="8" t="s">
        <v>83</v>
      </c>
      <c r="B24" s="8" t="s">
        <v>84</v>
      </c>
      <c r="C24" s="8" t="s">
        <v>46</v>
      </c>
      <c r="D24" s="8" t="s">
        <v>43</v>
      </c>
      <c r="E24" s="9">
        <v>117639000</v>
      </c>
      <c r="F24" s="9">
        <v>93850000</v>
      </c>
      <c r="G24" s="9">
        <v>134442000</v>
      </c>
      <c r="H24" s="9">
        <v>172905000</v>
      </c>
      <c r="I24" s="9">
        <v>179170000</v>
      </c>
      <c r="J24" s="9">
        <v>170980000</v>
      </c>
      <c r="K24" s="9">
        <v>195882000</v>
      </c>
      <c r="L24" s="9">
        <v>266497000</v>
      </c>
      <c r="M24" s="9">
        <v>274269000</v>
      </c>
      <c r="N24" s="9">
        <v>227063000</v>
      </c>
    </row>
    <row r="25" spans="1:14" x14ac:dyDescent="0.3">
      <c r="A25" s="8" t="s">
        <v>85</v>
      </c>
      <c r="B25" s="8" t="s">
        <v>86</v>
      </c>
      <c r="C25" s="8" t="s">
        <v>46</v>
      </c>
      <c r="D25" s="8" t="s">
        <v>43</v>
      </c>
      <c r="E25" s="9">
        <v>2739000000</v>
      </c>
      <c r="F25" s="9">
        <v>3111000000</v>
      </c>
      <c r="G25" s="9">
        <v>7316000000</v>
      </c>
      <c r="H25" s="9">
        <v>4050000000</v>
      </c>
      <c r="I25" s="9">
        <v>4182000000</v>
      </c>
      <c r="J25" s="9">
        <v>3277000000</v>
      </c>
      <c r="K25" s="9">
        <v>4185000000</v>
      </c>
      <c r="L25" s="9">
        <v>4379000000</v>
      </c>
      <c r="M25" s="9">
        <v>7724000000</v>
      </c>
      <c r="N25" s="9">
        <v>8666000000</v>
      </c>
    </row>
    <row r="26" spans="1:14" x14ac:dyDescent="0.3">
      <c r="A26" s="8" t="s">
        <v>87</v>
      </c>
      <c r="B26" s="8" t="s">
        <v>88</v>
      </c>
      <c r="C26" s="8" t="s">
        <v>46</v>
      </c>
      <c r="D26" s="8" t="s">
        <v>43</v>
      </c>
      <c r="E26" s="9"/>
      <c r="F26" s="9"/>
      <c r="G26" s="9">
        <v>292766000</v>
      </c>
      <c r="H26" s="9">
        <v>313695000</v>
      </c>
      <c r="I26" s="9">
        <v>417238000</v>
      </c>
      <c r="J26" s="9">
        <v>384626000</v>
      </c>
      <c r="K26" s="9">
        <v>362813000</v>
      </c>
      <c r="L26" s="9">
        <v>407288000</v>
      </c>
      <c r="M26" s="9">
        <v>439568000</v>
      </c>
      <c r="N26" s="9">
        <v>478854000</v>
      </c>
    </row>
    <row r="27" spans="1:14" x14ac:dyDescent="0.3">
      <c r="A27" s="8" t="s">
        <v>89</v>
      </c>
      <c r="B27" s="8" t="s">
        <v>90</v>
      </c>
      <c r="C27" s="8" t="s">
        <v>46</v>
      </c>
      <c r="D27" s="8" t="s">
        <v>43</v>
      </c>
      <c r="E27" s="9"/>
      <c r="F27" s="9"/>
      <c r="G27" s="9"/>
      <c r="H27" s="9"/>
      <c r="I27" s="9"/>
      <c r="J27" s="9"/>
      <c r="K27" s="9"/>
      <c r="L27" s="9"/>
      <c r="M27" s="9">
        <v>218000000</v>
      </c>
      <c r="N27" s="9">
        <v>349000000</v>
      </c>
    </row>
    <row r="28" spans="1:14" x14ac:dyDescent="0.3">
      <c r="A28" s="8" t="s">
        <v>91</v>
      </c>
      <c r="B28" s="8" t="s">
        <v>92</v>
      </c>
      <c r="C28" s="8" t="s">
        <v>46</v>
      </c>
      <c r="D28" s="8" t="s">
        <v>43</v>
      </c>
      <c r="E28" s="9">
        <v>487000000</v>
      </c>
      <c r="F28" s="9">
        <v>505000000</v>
      </c>
      <c r="G28" s="9">
        <v>277000000</v>
      </c>
      <c r="H28" s="9">
        <v>509000000</v>
      </c>
      <c r="I28" s="9">
        <v>821000000</v>
      </c>
      <c r="J28" s="9">
        <v>241000000</v>
      </c>
      <c r="K28" s="9">
        <v>586000000</v>
      </c>
      <c r="L28" s="9">
        <v>927000000</v>
      </c>
      <c r="M28" s="9">
        <v>658000000</v>
      </c>
      <c r="N28" s="9">
        <v>1074000000</v>
      </c>
    </row>
    <row r="29" spans="1:14" x14ac:dyDescent="0.3">
      <c r="A29" s="8" t="s">
        <v>93</v>
      </c>
      <c r="B29" s="8" t="s">
        <v>94</v>
      </c>
      <c r="C29" s="8" t="s">
        <v>46</v>
      </c>
      <c r="D29" s="8" t="s">
        <v>43</v>
      </c>
      <c r="E29" s="9">
        <v>589751000</v>
      </c>
      <c r="F29" s="9">
        <v>604550000</v>
      </c>
      <c r="G29" s="9">
        <v>750200000</v>
      </c>
      <c r="H29" s="9">
        <v>863920000</v>
      </c>
      <c r="I29" s="9">
        <v>823025000</v>
      </c>
      <c r="J29" s="9">
        <v>600382000</v>
      </c>
      <c r="K29" s="9">
        <v>807576000</v>
      </c>
      <c r="L29" s="9">
        <v>906977000</v>
      </c>
      <c r="M29" s="9">
        <v>1025986000</v>
      </c>
      <c r="N29" s="9">
        <v>1273382000</v>
      </c>
    </row>
    <row r="30" spans="1:14" x14ac:dyDescent="0.3">
      <c r="A30" s="8" t="s">
        <v>95</v>
      </c>
      <c r="B30" s="8" t="s">
        <v>96</v>
      </c>
      <c r="C30" s="8" t="s">
        <v>46</v>
      </c>
      <c r="D30" s="8" t="s">
        <v>43</v>
      </c>
      <c r="E30" s="9">
        <v>167863000</v>
      </c>
      <c r="F30" s="9">
        <v>196043000</v>
      </c>
      <c r="G30" s="9">
        <v>249688000</v>
      </c>
      <c r="H30" s="9">
        <v>332395000</v>
      </c>
      <c r="I30" s="9">
        <v>358685000</v>
      </c>
      <c r="J30" s="9">
        <v>300351000</v>
      </c>
      <c r="K30" s="9">
        <v>393533000</v>
      </c>
      <c r="L30" s="9">
        <v>606697000</v>
      </c>
      <c r="M30" s="9">
        <v>611931000</v>
      </c>
      <c r="N30" s="9">
        <v>639596000</v>
      </c>
    </row>
    <row r="31" spans="1:14" x14ac:dyDescent="0.3">
      <c r="A31" s="8" t="s">
        <v>97</v>
      </c>
      <c r="B31" s="8" t="s">
        <v>98</v>
      </c>
      <c r="C31" s="8" t="s">
        <v>46</v>
      </c>
      <c r="D31" s="8" t="s">
        <v>43</v>
      </c>
      <c r="E31" s="9"/>
      <c r="F31" s="9"/>
      <c r="G31" s="9"/>
      <c r="H31" s="9"/>
      <c r="I31" s="9"/>
      <c r="J31" s="9">
        <v>127926000</v>
      </c>
      <c r="K31" s="9">
        <v>37729000</v>
      </c>
      <c r="L31" s="39">
        <v>140023000</v>
      </c>
      <c r="M31" s="39">
        <v>-1027145000</v>
      </c>
      <c r="N31" s="39">
        <v>167361000</v>
      </c>
    </row>
    <row r="32" spans="1:14" x14ac:dyDescent="0.3">
      <c r="A32" s="8" t="s">
        <v>99</v>
      </c>
      <c r="B32" s="8" t="s">
        <v>100</v>
      </c>
      <c r="C32" s="8" t="s">
        <v>46</v>
      </c>
      <c r="D32" s="8" t="s">
        <v>43</v>
      </c>
      <c r="E32" s="9"/>
      <c r="F32" s="9"/>
      <c r="G32" s="9"/>
      <c r="H32" s="9">
        <v>431606000</v>
      </c>
      <c r="I32" s="9">
        <v>438134000</v>
      </c>
      <c r="J32" s="9">
        <v>42673000</v>
      </c>
      <c r="K32" s="39">
        <v>302796000</v>
      </c>
      <c r="L32" s="9">
        <v>417760000</v>
      </c>
      <c r="M32" s="9">
        <v>479080000</v>
      </c>
      <c r="N32" s="9">
        <v>467981000</v>
      </c>
    </row>
    <row r="33" spans="1:14" x14ac:dyDescent="0.3">
      <c r="A33" s="8" t="s">
        <v>101</v>
      </c>
      <c r="B33" s="8" t="s">
        <v>102</v>
      </c>
      <c r="C33" s="8" t="s">
        <v>46</v>
      </c>
      <c r="D33" s="8" t="s">
        <v>43</v>
      </c>
      <c r="E33" s="9"/>
      <c r="F33" s="9">
        <v>622000000</v>
      </c>
      <c r="G33" s="9">
        <v>689000000</v>
      </c>
      <c r="H33" s="9">
        <v>1399000000</v>
      </c>
      <c r="I33" s="9">
        <v>1342000000</v>
      </c>
      <c r="J33" s="9">
        <v>1207000000</v>
      </c>
      <c r="K33" s="9">
        <v>1578000000</v>
      </c>
      <c r="L33" s="9">
        <v>1578000000</v>
      </c>
      <c r="M33" s="9">
        <v>1922000000</v>
      </c>
      <c r="N33" s="9">
        <v>1994000000</v>
      </c>
    </row>
    <row r="34" spans="1:14" x14ac:dyDescent="0.3">
      <c r="A34" s="8" t="s">
        <v>103</v>
      </c>
      <c r="B34" s="8" t="s">
        <v>104</v>
      </c>
      <c r="C34" s="8" t="s">
        <v>46</v>
      </c>
      <c r="D34" s="8" t="s">
        <v>43</v>
      </c>
      <c r="E34" s="9">
        <v>214000000</v>
      </c>
      <c r="F34" s="9">
        <v>246000000</v>
      </c>
      <c r="G34" s="9">
        <v>227000000</v>
      </c>
      <c r="H34" s="9">
        <v>130000000</v>
      </c>
      <c r="I34" s="9">
        <v>292000000</v>
      </c>
      <c r="J34" s="9">
        <v>178000000</v>
      </c>
      <c r="K34" s="9">
        <v>308000000</v>
      </c>
      <c r="L34" s="9">
        <v>504000000</v>
      </c>
      <c r="M34" s="9">
        <v>529000000</v>
      </c>
      <c r="N34" s="9">
        <v>729000000</v>
      </c>
    </row>
    <row r="35" spans="1:14" x14ac:dyDescent="0.3">
      <c r="A35" s="8" t="s">
        <v>105</v>
      </c>
      <c r="B35" s="8" t="s">
        <v>106</v>
      </c>
      <c r="C35" s="8" t="s">
        <v>46</v>
      </c>
      <c r="D35" s="8" t="s">
        <v>43</v>
      </c>
      <c r="E35" s="9">
        <v>-806000000</v>
      </c>
      <c r="F35" s="9">
        <v>-2087000000</v>
      </c>
      <c r="G35" s="9">
        <v>-328000000</v>
      </c>
      <c r="H35" s="9">
        <v>-472000000</v>
      </c>
      <c r="I35" s="39">
        <v>98000000</v>
      </c>
      <c r="J35" s="39">
        <v>-1117000000</v>
      </c>
      <c r="K35" s="9">
        <v>-2467000000</v>
      </c>
      <c r="L35" s="9">
        <v>-315000000</v>
      </c>
      <c r="M35" s="39">
        <v>179000000</v>
      </c>
      <c r="N35" s="9">
        <v>306000000</v>
      </c>
    </row>
    <row r="36" spans="1:14" x14ac:dyDescent="0.3">
      <c r="A36" s="8" t="s">
        <v>107</v>
      </c>
      <c r="B36" s="8" t="s">
        <v>108</v>
      </c>
      <c r="C36" s="8" t="s">
        <v>46</v>
      </c>
      <c r="D36" s="8" t="s">
        <v>43</v>
      </c>
      <c r="E36" s="9">
        <v>1238000000</v>
      </c>
      <c r="F36" s="9">
        <v>861000000</v>
      </c>
      <c r="G36" s="9">
        <v>897000000</v>
      </c>
      <c r="H36" s="9">
        <v>960000000</v>
      </c>
      <c r="I36" s="9">
        <v>1090000000</v>
      </c>
      <c r="J36" s="9">
        <v>1101000000</v>
      </c>
      <c r="K36" s="9">
        <v>1496000000</v>
      </c>
      <c r="L36" s="9">
        <v>671000000</v>
      </c>
      <c r="M36" s="9">
        <v>1135000000</v>
      </c>
      <c r="N36" s="9">
        <v>1259000000</v>
      </c>
    </row>
    <row r="37" spans="1:14" x14ac:dyDescent="0.3">
      <c r="A37" s="8" t="s">
        <v>109</v>
      </c>
      <c r="B37" s="8" t="s">
        <v>110</v>
      </c>
      <c r="C37" s="8" t="s">
        <v>46</v>
      </c>
      <c r="D37" s="8" t="s">
        <v>43</v>
      </c>
      <c r="E37" s="9">
        <v>334000000</v>
      </c>
      <c r="F37" s="39">
        <v>1803000000</v>
      </c>
      <c r="G37" s="9">
        <v>3491000000</v>
      </c>
      <c r="H37" s="9">
        <v>3608000000</v>
      </c>
      <c r="I37" s="9">
        <v>6622000000</v>
      </c>
      <c r="J37" s="9">
        <v>29000000</v>
      </c>
      <c r="K37" s="39">
        <v>14200000000</v>
      </c>
      <c r="L37" s="9">
        <v>16799000000</v>
      </c>
      <c r="M37" s="9">
        <v>18596000000</v>
      </c>
      <c r="N37" s="9">
        <v>5473000000</v>
      </c>
    </row>
    <row r="38" spans="1:14" x14ac:dyDescent="0.3">
      <c r="A38" s="8" t="s">
        <v>111</v>
      </c>
      <c r="B38" s="8" t="s">
        <v>112</v>
      </c>
      <c r="C38" s="8" t="s">
        <v>46</v>
      </c>
      <c r="D38" s="8" t="s">
        <v>43</v>
      </c>
      <c r="E38" s="9">
        <v>175000000</v>
      </c>
      <c r="F38" s="9">
        <v>121000000</v>
      </c>
      <c r="G38" s="9">
        <v>218000000</v>
      </c>
      <c r="H38" s="39">
        <v>1629000000</v>
      </c>
      <c r="I38" s="9">
        <v>1032000000</v>
      </c>
      <c r="J38" s="9">
        <v>1106000000</v>
      </c>
      <c r="K38" s="9">
        <v>2000000000</v>
      </c>
      <c r="L38" s="9">
        <v>3960000000</v>
      </c>
      <c r="M38" s="9">
        <v>3985000000</v>
      </c>
      <c r="N38" s="9">
        <v>1557000000</v>
      </c>
    </row>
    <row r="39" spans="1:14" x14ac:dyDescent="0.3">
      <c r="A39" s="8" t="s">
        <v>113</v>
      </c>
      <c r="B39" s="8" t="s">
        <v>114</v>
      </c>
      <c r="C39" s="8" t="s">
        <v>46</v>
      </c>
      <c r="D39" s="8" t="s">
        <v>43</v>
      </c>
      <c r="E39" s="9">
        <v>-80162000</v>
      </c>
      <c r="F39" s="39">
        <v>55298000</v>
      </c>
      <c r="G39" s="39">
        <v>544737000</v>
      </c>
      <c r="H39" s="9">
        <v>876063000</v>
      </c>
      <c r="I39" s="9">
        <v>742686000</v>
      </c>
      <c r="J39" s="39">
        <v>-642417000</v>
      </c>
      <c r="K39" s="39">
        <v>1100191000</v>
      </c>
      <c r="L39" s="9">
        <v>2553280000</v>
      </c>
      <c r="M39" s="9">
        <v>3918065000</v>
      </c>
      <c r="N39" s="9">
        <v>2036445000</v>
      </c>
    </row>
    <row r="40" spans="1:14" x14ac:dyDescent="0.3">
      <c r="A40" s="8" t="s">
        <v>115</v>
      </c>
      <c r="B40" s="8" t="s">
        <v>116</v>
      </c>
      <c r="C40" s="8" t="s">
        <v>46</v>
      </c>
      <c r="D40" s="8" t="s">
        <v>43</v>
      </c>
      <c r="E40" s="9">
        <v>595500000</v>
      </c>
      <c r="F40" s="9">
        <v>633100000</v>
      </c>
      <c r="G40" s="9">
        <v>688300000</v>
      </c>
      <c r="H40" s="9">
        <v>706600000</v>
      </c>
      <c r="I40" s="9">
        <v>757300000</v>
      </c>
      <c r="J40" s="9">
        <v>785500000</v>
      </c>
      <c r="K40" s="9">
        <v>789400000</v>
      </c>
      <c r="L40" s="9">
        <v>857000000</v>
      </c>
      <c r="M40" s="9">
        <v>885400000</v>
      </c>
      <c r="N40" s="9">
        <v>1061900000</v>
      </c>
    </row>
    <row r="41" spans="1:14" x14ac:dyDescent="0.3">
      <c r="A41" s="8" t="s">
        <v>117</v>
      </c>
      <c r="B41" s="8" t="s">
        <v>118</v>
      </c>
      <c r="C41" s="8" t="s">
        <v>46</v>
      </c>
      <c r="D41" s="8" t="s">
        <v>43</v>
      </c>
      <c r="E41" s="9">
        <v>1694240000</v>
      </c>
      <c r="F41" s="39">
        <v>-11790094000</v>
      </c>
      <c r="G41" s="39">
        <v>5473075000</v>
      </c>
      <c r="H41" s="9">
        <v>4107000000</v>
      </c>
      <c r="I41" s="9">
        <v>3373000000</v>
      </c>
      <c r="J41" s="39">
        <v>-2785000000</v>
      </c>
      <c r="K41" s="39">
        <v>2096000000</v>
      </c>
      <c r="L41" s="39">
        <v>6458000000</v>
      </c>
      <c r="M41" s="9">
        <v>9507000000</v>
      </c>
      <c r="N41" s="9">
        <v>9719000000</v>
      </c>
    </row>
    <row r="42" spans="1:14" x14ac:dyDescent="0.3">
      <c r="A42" s="8" t="s">
        <v>119</v>
      </c>
      <c r="B42" s="8" t="s">
        <v>120</v>
      </c>
      <c r="C42" s="8" t="s">
        <v>46</v>
      </c>
      <c r="D42" s="8" t="s">
        <v>43</v>
      </c>
      <c r="E42" s="9">
        <v>578700000</v>
      </c>
      <c r="F42" s="9">
        <v>535000000</v>
      </c>
      <c r="G42" s="39">
        <v>-169100000</v>
      </c>
      <c r="H42" s="39">
        <v>932800000</v>
      </c>
      <c r="I42" s="9">
        <v>902500000</v>
      </c>
      <c r="J42" s="9">
        <v>707400000</v>
      </c>
      <c r="K42" s="9">
        <v>626600000</v>
      </c>
      <c r="L42" s="9">
        <v>525000000</v>
      </c>
      <c r="M42" s="9">
        <v>1101000000</v>
      </c>
      <c r="N42" s="9">
        <v>1074000000</v>
      </c>
    </row>
    <row r="43" spans="1:14" x14ac:dyDescent="0.3">
      <c r="A43" s="6" t="s">
        <v>121</v>
      </c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3">
      <c r="A44" s="8" t="s">
        <v>122</v>
      </c>
      <c r="B44" s="8" t="s">
        <v>123</v>
      </c>
      <c r="C44" s="8" t="s">
        <v>124</v>
      </c>
      <c r="D44" s="8" t="s">
        <v>121</v>
      </c>
      <c r="E44" s="9">
        <v>634000000</v>
      </c>
      <c r="F44" s="9">
        <v>1017000000</v>
      </c>
      <c r="G44" s="9">
        <v>1097000000</v>
      </c>
      <c r="H44" s="9">
        <v>1702000000</v>
      </c>
      <c r="I44" s="9">
        <v>1976000000</v>
      </c>
      <c r="J44" s="9">
        <v>432000000</v>
      </c>
      <c r="K44" s="39">
        <v>1492000000</v>
      </c>
      <c r="L44" s="9">
        <v>254000000</v>
      </c>
      <c r="M44" s="39">
        <v>-75000000</v>
      </c>
      <c r="N44" s="39">
        <v>764000000</v>
      </c>
    </row>
    <row r="45" spans="1:14" x14ac:dyDescent="0.3">
      <c r="A45" s="8" t="s">
        <v>125</v>
      </c>
      <c r="B45" s="8" t="s">
        <v>126</v>
      </c>
      <c r="C45" s="8" t="s">
        <v>124</v>
      </c>
      <c r="D45" s="8" t="s">
        <v>121</v>
      </c>
      <c r="E45" s="9">
        <v>2696000000</v>
      </c>
      <c r="F45" s="9">
        <v>995000000</v>
      </c>
      <c r="G45" s="9">
        <v>2873000000</v>
      </c>
      <c r="H45" s="9">
        <v>3054000000</v>
      </c>
      <c r="I45" s="39">
        <v>-1325000000</v>
      </c>
      <c r="J45" s="9">
        <v>-1169000000</v>
      </c>
      <c r="K45" s="39">
        <v>4213000000</v>
      </c>
      <c r="L45" s="9">
        <v>4247000000</v>
      </c>
      <c r="M45" s="9">
        <v>3789000000</v>
      </c>
      <c r="N45" s="9">
        <v>4232000000</v>
      </c>
    </row>
    <row r="46" spans="1:14" x14ac:dyDescent="0.3">
      <c r="A46" s="8" t="s">
        <v>127</v>
      </c>
      <c r="B46" s="8" t="s">
        <v>128</v>
      </c>
      <c r="C46" s="8" t="s">
        <v>124</v>
      </c>
      <c r="D46" s="8" t="s">
        <v>121</v>
      </c>
      <c r="E46" s="9">
        <v>6616000000</v>
      </c>
      <c r="F46" s="9">
        <v>6883000000</v>
      </c>
      <c r="G46" s="9">
        <v>6803000000</v>
      </c>
      <c r="H46" s="9">
        <v>7462000000</v>
      </c>
      <c r="I46" s="9">
        <v>7914000000</v>
      </c>
      <c r="J46" s="9">
        <v>6807000000</v>
      </c>
      <c r="K46" s="9">
        <v>6610000000</v>
      </c>
      <c r="L46" s="9">
        <v>6421000000</v>
      </c>
      <c r="M46" s="9">
        <v>8541000000</v>
      </c>
      <c r="N46" s="9">
        <v>9931000000</v>
      </c>
    </row>
    <row r="47" spans="1:14" x14ac:dyDescent="0.3">
      <c r="A47" s="8" t="s">
        <v>129</v>
      </c>
      <c r="B47" s="8" t="s">
        <v>130</v>
      </c>
      <c r="C47" s="8" t="s">
        <v>124</v>
      </c>
      <c r="D47" s="8" t="s">
        <v>121</v>
      </c>
      <c r="E47" s="9">
        <v>3987000000</v>
      </c>
      <c r="F47" s="9">
        <v>4056000000</v>
      </c>
      <c r="G47" s="9">
        <v>6078000000</v>
      </c>
      <c r="H47" s="9">
        <v>4707000000</v>
      </c>
      <c r="I47" s="9">
        <v>2546000000</v>
      </c>
      <c r="J47" s="39">
        <v>-1471000000</v>
      </c>
      <c r="K47" s="39">
        <v>5523000000</v>
      </c>
      <c r="L47" s="39">
        <v>-391000000</v>
      </c>
      <c r="M47" s="39">
        <v>225000000</v>
      </c>
      <c r="N47" s="39">
        <v>1298000000</v>
      </c>
    </row>
    <row r="48" spans="1:14" x14ac:dyDescent="0.3">
      <c r="A48" s="8" t="s">
        <v>131</v>
      </c>
      <c r="B48" s="8" t="s">
        <v>132</v>
      </c>
      <c r="C48" s="8" t="s">
        <v>124</v>
      </c>
      <c r="D48" s="8" t="s">
        <v>121</v>
      </c>
      <c r="E48" s="9">
        <v>6369000000</v>
      </c>
      <c r="F48" s="9">
        <v>6863000000</v>
      </c>
      <c r="G48" s="9">
        <v>8620000000</v>
      </c>
      <c r="H48" s="9">
        <v>7117000000</v>
      </c>
      <c r="I48" s="9">
        <v>4915000000</v>
      </c>
      <c r="J48" s="9">
        <v>3775000000</v>
      </c>
      <c r="K48" s="39">
        <v>12382000000</v>
      </c>
      <c r="L48" s="9">
        <v>17941000000</v>
      </c>
      <c r="M48" s="9">
        <v>11290000000</v>
      </c>
      <c r="N48" s="9">
        <v>7290000000</v>
      </c>
    </row>
    <row r="49" spans="1:14" x14ac:dyDescent="0.3">
      <c r="A49" s="8" t="s">
        <v>133</v>
      </c>
      <c r="B49" s="8" t="s">
        <v>134</v>
      </c>
      <c r="C49" s="8" t="s">
        <v>124</v>
      </c>
      <c r="D49" s="8" t="s">
        <v>121</v>
      </c>
      <c r="E49" s="9">
        <v>4110000000</v>
      </c>
      <c r="F49" s="9">
        <v>4531000000</v>
      </c>
      <c r="G49" s="9">
        <v>7336000000</v>
      </c>
      <c r="H49" s="9">
        <v>1695000000</v>
      </c>
      <c r="I49" s="9">
        <v>2430000000</v>
      </c>
      <c r="J49" s="39">
        <v>-15561000000</v>
      </c>
      <c r="K49" s="39">
        <v>1000000000</v>
      </c>
      <c r="L49" s="39">
        <v>4150000000</v>
      </c>
      <c r="M49" s="39">
        <v>-2941000000</v>
      </c>
      <c r="N49" s="9">
        <v>-2552000000</v>
      </c>
    </row>
    <row r="50" spans="1:14" x14ac:dyDescent="0.3">
      <c r="A50" s="8" t="s">
        <v>135</v>
      </c>
      <c r="B50" s="8" t="s">
        <v>136</v>
      </c>
      <c r="C50" s="8" t="s">
        <v>124</v>
      </c>
      <c r="D50" s="8" t="s">
        <v>121</v>
      </c>
      <c r="E50" s="9">
        <v>660000000</v>
      </c>
      <c r="F50" s="9">
        <v>709000000</v>
      </c>
      <c r="G50" s="9">
        <v>672000000</v>
      </c>
      <c r="H50" s="9">
        <v>728000000</v>
      </c>
      <c r="I50" s="9">
        <v>718000000</v>
      </c>
      <c r="J50" s="9">
        <v>560000000</v>
      </c>
      <c r="K50" s="9">
        <v>638000000</v>
      </c>
      <c r="L50" s="9">
        <v>755000000</v>
      </c>
      <c r="M50" s="9">
        <v>736000000</v>
      </c>
      <c r="N50" s="9">
        <v>912000000</v>
      </c>
    </row>
    <row r="51" spans="1:14" x14ac:dyDescent="0.3">
      <c r="A51" s="8" t="s">
        <v>137</v>
      </c>
      <c r="B51" s="8" t="s">
        <v>138</v>
      </c>
      <c r="C51" s="8" t="s">
        <v>124</v>
      </c>
      <c r="D51" s="8" t="s">
        <v>121</v>
      </c>
      <c r="E51" s="9">
        <v>365000000</v>
      </c>
      <c r="F51" s="9">
        <v>360300000</v>
      </c>
      <c r="G51" s="9">
        <v>360800000</v>
      </c>
      <c r="H51" s="9">
        <v>460900000</v>
      </c>
      <c r="I51" s="9">
        <v>466700000</v>
      </c>
      <c r="J51" s="9">
        <v>466500000</v>
      </c>
      <c r="K51" s="9">
        <v>448300000</v>
      </c>
      <c r="L51" s="9">
        <v>886800000</v>
      </c>
      <c r="M51" s="9">
        <v>714900000</v>
      </c>
      <c r="N51" s="9">
        <v>536200000</v>
      </c>
    </row>
    <row r="52" spans="1:14" x14ac:dyDescent="0.3">
      <c r="A52" s="8" t="s">
        <v>139</v>
      </c>
      <c r="B52" s="8" t="s">
        <v>140</v>
      </c>
      <c r="C52" s="8" t="s">
        <v>124</v>
      </c>
      <c r="D52" s="8" t="s">
        <v>121</v>
      </c>
      <c r="E52" s="9">
        <v>1062000000</v>
      </c>
      <c r="F52" s="9">
        <v>279000000</v>
      </c>
      <c r="G52" s="9">
        <v>156000000</v>
      </c>
      <c r="H52" s="39">
        <v>865000000</v>
      </c>
      <c r="I52" s="9">
        <v>644000000</v>
      </c>
      <c r="J52" s="39">
        <v>-2890000000</v>
      </c>
      <c r="K52" s="39">
        <v>430000000</v>
      </c>
      <c r="L52" s="39">
        <v>1435000000</v>
      </c>
      <c r="M52" s="9">
        <v>2224000000</v>
      </c>
      <c r="N52" s="9">
        <v>2677000000</v>
      </c>
    </row>
    <row r="53" spans="1:14" x14ac:dyDescent="0.3">
      <c r="A53" s="8" t="s">
        <v>141</v>
      </c>
      <c r="B53" s="8" t="s">
        <v>142</v>
      </c>
      <c r="C53" s="8" t="s">
        <v>124</v>
      </c>
      <c r="D53" s="8" t="s">
        <v>121</v>
      </c>
      <c r="E53" s="9">
        <v>2727400000</v>
      </c>
      <c r="F53" s="9">
        <v>2802500000</v>
      </c>
      <c r="G53" s="9">
        <v>2984600000</v>
      </c>
      <c r="H53" s="9">
        <v>2897300000</v>
      </c>
      <c r="I53" s="39">
        <v>-1171000000</v>
      </c>
      <c r="J53" s="9">
        <v>-918800000</v>
      </c>
      <c r="K53" s="39">
        <v>1435200000</v>
      </c>
      <c r="L53" s="9">
        <v>112200000</v>
      </c>
      <c r="M53" s="39">
        <v>1156400000</v>
      </c>
      <c r="N53" s="9">
        <v>1168000000</v>
      </c>
    </row>
    <row r="54" spans="1:14" x14ac:dyDescent="0.3">
      <c r="A54" s="8" t="s">
        <v>143</v>
      </c>
      <c r="B54" s="8" t="s">
        <v>144</v>
      </c>
      <c r="C54" s="8" t="s">
        <v>124</v>
      </c>
      <c r="D54" s="8" t="s">
        <v>121</v>
      </c>
      <c r="E54" s="9"/>
      <c r="F54" s="9">
        <v>795000000</v>
      </c>
      <c r="G54" s="9">
        <v>2009000000</v>
      </c>
      <c r="H54" s="9">
        <v>1823000000</v>
      </c>
      <c r="I54" s="9">
        <v>552000000</v>
      </c>
      <c r="J54" s="9">
        <v>459000000</v>
      </c>
      <c r="K54" s="39">
        <v>1616000000</v>
      </c>
      <c r="L54" s="39">
        <v>-281000000</v>
      </c>
      <c r="M54" s="9">
        <v>-198000000</v>
      </c>
      <c r="N54" s="9">
        <v>-266000000</v>
      </c>
    </row>
    <row r="55" spans="1:14" x14ac:dyDescent="0.3">
      <c r="A55" s="8" t="s">
        <v>145</v>
      </c>
      <c r="B55" s="8" t="s">
        <v>146</v>
      </c>
      <c r="C55" s="8" t="s">
        <v>124</v>
      </c>
      <c r="D55" s="8" t="s">
        <v>121</v>
      </c>
      <c r="E55" s="9"/>
      <c r="F55" s="9"/>
      <c r="G55" s="9"/>
      <c r="H55" s="9"/>
      <c r="I55" s="9"/>
      <c r="J55" s="9"/>
      <c r="K55" s="9"/>
      <c r="L55" s="9">
        <v>2665000000</v>
      </c>
      <c r="M55" s="9">
        <v>3775000000</v>
      </c>
      <c r="N55" s="9">
        <v>2900000000</v>
      </c>
    </row>
    <row r="56" spans="1:14" x14ac:dyDescent="0.3">
      <c r="A56" s="8" t="s">
        <v>147</v>
      </c>
      <c r="B56" s="8" t="s">
        <v>148</v>
      </c>
      <c r="C56" s="8" t="s">
        <v>124</v>
      </c>
      <c r="D56" s="8" t="s">
        <v>121</v>
      </c>
      <c r="E56" s="9">
        <v>-6794000000</v>
      </c>
      <c r="F56" s="9">
        <v>-1402000000</v>
      </c>
      <c r="G56" s="9">
        <v>-751000000</v>
      </c>
      <c r="H56" s="39">
        <v>267000000</v>
      </c>
      <c r="I56" s="39">
        <v>-5264000000</v>
      </c>
      <c r="J56" s="39">
        <v>495000000</v>
      </c>
      <c r="K56" s="39">
        <v>2365000000</v>
      </c>
      <c r="L56" s="9">
        <v>5525000000</v>
      </c>
      <c r="M56" s="9">
        <v>4274000000</v>
      </c>
      <c r="N56" s="9">
        <v>3366000000</v>
      </c>
    </row>
    <row r="57" spans="1:14" x14ac:dyDescent="0.3">
      <c r="A57" s="8" t="s">
        <v>149</v>
      </c>
      <c r="B57" s="8" t="s">
        <v>150</v>
      </c>
      <c r="C57" s="8" t="s">
        <v>124</v>
      </c>
      <c r="D57" s="8" t="s">
        <v>121</v>
      </c>
      <c r="E57" s="9">
        <v>665500000</v>
      </c>
      <c r="F57" s="9">
        <v>1272700000</v>
      </c>
      <c r="G57" s="9">
        <v>874300000</v>
      </c>
      <c r="H57" s="9">
        <v>824300000</v>
      </c>
      <c r="I57" s="9">
        <v>1003900000</v>
      </c>
      <c r="J57" s="9">
        <v>1079900000</v>
      </c>
      <c r="K57" s="9">
        <v>1209700000</v>
      </c>
      <c r="L57" s="9">
        <v>1494400000</v>
      </c>
      <c r="M57" s="9">
        <v>1724000000</v>
      </c>
      <c r="N57" s="9">
        <v>1948500000</v>
      </c>
    </row>
    <row r="58" spans="1:14" x14ac:dyDescent="0.3">
      <c r="A58" s="8" t="s">
        <v>151</v>
      </c>
      <c r="B58" s="8" t="s">
        <v>152</v>
      </c>
      <c r="C58" s="8" t="s">
        <v>124</v>
      </c>
      <c r="D58" s="8" t="s">
        <v>121</v>
      </c>
      <c r="E58" s="9">
        <v>1540000000</v>
      </c>
      <c r="F58" s="9">
        <v>2639000000</v>
      </c>
      <c r="G58" s="9">
        <v>2713000000</v>
      </c>
      <c r="H58" s="9">
        <v>2075000000</v>
      </c>
      <c r="I58" s="9">
        <v>2623000000</v>
      </c>
      <c r="J58" s="9">
        <v>2979000000</v>
      </c>
      <c r="K58" s="9">
        <v>5053000000</v>
      </c>
      <c r="L58" s="9">
        <v>5359000000</v>
      </c>
      <c r="M58" s="9">
        <v>3677000000</v>
      </c>
      <c r="N58" s="9">
        <v>3332000000</v>
      </c>
    </row>
    <row r="59" spans="1:14" x14ac:dyDescent="0.3">
      <c r="A59" s="8" t="s">
        <v>153</v>
      </c>
      <c r="B59" s="8" t="s">
        <v>154</v>
      </c>
      <c r="C59" s="8" t="s">
        <v>124</v>
      </c>
      <c r="D59" s="8" t="s">
        <v>121</v>
      </c>
      <c r="E59" s="9"/>
      <c r="F59" s="9"/>
      <c r="G59" s="9"/>
      <c r="H59" s="9"/>
      <c r="I59" s="9"/>
      <c r="J59" s="9"/>
      <c r="K59" s="9"/>
      <c r="L59" s="9"/>
      <c r="M59" s="9">
        <v>5157000000</v>
      </c>
      <c r="N59" s="9">
        <v>3592000000</v>
      </c>
    </row>
    <row r="60" spans="1:14" x14ac:dyDescent="0.3">
      <c r="A60" s="8" t="s">
        <v>155</v>
      </c>
      <c r="B60" s="8" t="s">
        <v>156</v>
      </c>
      <c r="C60" s="8" t="s">
        <v>124</v>
      </c>
      <c r="D60" s="8" t="s">
        <v>121</v>
      </c>
      <c r="E60" s="9">
        <v>3254000000</v>
      </c>
      <c r="F60" s="9">
        <v>2675000000</v>
      </c>
      <c r="G60" s="9">
        <v>3461000000</v>
      </c>
      <c r="H60" s="9">
        <v>2166000000</v>
      </c>
      <c r="I60" s="9">
        <v>5267000000</v>
      </c>
      <c r="J60" s="9">
        <v>6748000000</v>
      </c>
      <c r="K60" s="9">
        <v>6103000000</v>
      </c>
      <c r="L60" s="9">
        <v>8001000000</v>
      </c>
      <c r="M60" s="9">
        <v>17788000000</v>
      </c>
      <c r="N60" s="9">
        <v>11209000000</v>
      </c>
    </row>
    <row r="61" spans="1:14" x14ac:dyDescent="0.3">
      <c r="A61" s="8" t="s">
        <v>157</v>
      </c>
      <c r="B61" s="8" t="s">
        <v>158</v>
      </c>
      <c r="C61" s="8" t="s">
        <v>124</v>
      </c>
      <c r="D61" s="8" t="s">
        <v>121</v>
      </c>
      <c r="E61" s="9">
        <v>-6999000000</v>
      </c>
      <c r="F61" s="9">
        <v>-8450000000</v>
      </c>
      <c r="G61" s="39">
        <v>3925000000</v>
      </c>
      <c r="H61" s="9">
        <v>3223000000</v>
      </c>
      <c r="I61" s="9">
        <v>744000000</v>
      </c>
      <c r="J61" s="9">
        <v>1017000000</v>
      </c>
      <c r="K61" s="39">
        <v>4691000000</v>
      </c>
      <c r="L61" s="9">
        <v>1831000000</v>
      </c>
      <c r="M61" s="9">
        <v>517000000</v>
      </c>
      <c r="N61" s="39">
        <v>4531000000</v>
      </c>
    </row>
    <row r="62" spans="1:14" x14ac:dyDescent="0.3">
      <c r="A62" s="8" t="s">
        <v>159</v>
      </c>
      <c r="B62" s="8" t="s">
        <v>160</v>
      </c>
      <c r="C62" s="8" t="s">
        <v>124</v>
      </c>
      <c r="D62" s="8" t="s">
        <v>121</v>
      </c>
      <c r="E62" s="9">
        <v>1358000000</v>
      </c>
      <c r="F62" s="9">
        <v>1593000000</v>
      </c>
      <c r="G62" s="9">
        <v>1814000000</v>
      </c>
      <c r="H62" s="9">
        <v>2027000000</v>
      </c>
      <c r="I62" s="9">
        <v>1883000000</v>
      </c>
      <c r="J62" s="9">
        <v>1707000000</v>
      </c>
      <c r="K62" s="9">
        <v>1818000000</v>
      </c>
      <c r="L62" s="9">
        <v>1372000000</v>
      </c>
      <c r="M62" s="39">
        <v>-594000000</v>
      </c>
      <c r="N62" s="39">
        <v>471000000</v>
      </c>
    </row>
    <row r="63" spans="1:14" x14ac:dyDescent="0.3">
      <c r="A63" s="8" t="s">
        <v>161</v>
      </c>
      <c r="B63" s="8" t="s">
        <v>162</v>
      </c>
      <c r="C63" s="8" t="s">
        <v>124</v>
      </c>
      <c r="D63" s="8" t="s">
        <v>121</v>
      </c>
      <c r="E63" s="9">
        <v>1150725000</v>
      </c>
      <c r="F63" s="9">
        <v>1171229000</v>
      </c>
      <c r="G63" s="9">
        <v>958555000</v>
      </c>
      <c r="H63" s="9">
        <v>1059493000</v>
      </c>
      <c r="I63" s="9">
        <v>1284167000</v>
      </c>
      <c r="J63" s="9">
        <v>883073000</v>
      </c>
      <c r="K63" s="9">
        <v>1231334000</v>
      </c>
      <c r="L63" s="9">
        <v>780800000</v>
      </c>
      <c r="M63" s="9">
        <v>1824800000</v>
      </c>
      <c r="N63" s="9">
        <v>2328700000</v>
      </c>
    </row>
    <row r="64" spans="1:14" x14ac:dyDescent="0.3">
      <c r="A64" s="8" t="s">
        <v>163</v>
      </c>
      <c r="B64" s="8" t="s">
        <v>164</v>
      </c>
      <c r="C64" s="8" t="s">
        <v>124</v>
      </c>
      <c r="D64" s="8" t="s">
        <v>121</v>
      </c>
      <c r="E64" s="9">
        <v>800100000</v>
      </c>
      <c r="F64" s="9">
        <v>706200000</v>
      </c>
      <c r="G64" s="9">
        <v>917700000</v>
      </c>
      <c r="H64" s="9">
        <v>1143000000</v>
      </c>
      <c r="I64" s="9">
        <v>1090900000</v>
      </c>
      <c r="J64" s="39">
        <v>-1936900000</v>
      </c>
      <c r="K64" s="39">
        <v>1759000000</v>
      </c>
      <c r="L64" s="9">
        <v>1596600000</v>
      </c>
      <c r="M64" s="9">
        <v>1928900000</v>
      </c>
      <c r="N64" s="9">
        <v>1781800000</v>
      </c>
    </row>
    <row r="65" spans="1:14" x14ac:dyDescent="0.3">
      <c r="A65" s="8" t="s">
        <v>165</v>
      </c>
      <c r="B65" s="8" t="s">
        <v>166</v>
      </c>
      <c r="C65" s="8" t="s">
        <v>124</v>
      </c>
      <c r="D65" s="8" t="s">
        <v>121</v>
      </c>
      <c r="E65" s="9">
        <v>1921000000</v>
      </c>
      <c r="F65" s="9">
        <v>2053000000</v>
      </c>
      <c r="G65" s="9">
        <v>2519000000</v>
      </c>
      <c r="H65" s="9">
        <v>2314000000</v>
      </c>
      <c r="I65" s="9">
        <v>2085000000</v>
      </c>
      <c r="J65" s="9">
        <v>1408000000</v>
      </c>
      <c r="K65" s="9">
        <v>1634000000</v>
      </c>
      <c r="L65" s="9">
        <v>1259000000</v>
      </c>
      <c r="M65" s="9">
        <v>1318000000</v>
      </c>
      <c r="N65" s="9">
        <v>2007000000</v>
      </c>
    </row>
    <row r="66" spans="1:14" x14ac:dyDescent="0.3">
      <c r="A66" s="8" t="s">
        <v>167</v>
      </c>
      <c r="B66" s="8" t="s">
        <v>168</v>
      </c>
      <c r="C66" s="8" t="s">
        <v>124</v>
      </c>
      <c r="D66" s="8" t="s">
        <v>121</v>
      </c>
      <c r="E66" s="9">
        <v>632000000</v>
      </c>
      <c r="F66" s="9">
        <v>744000000</v>
      </c>
      <c r="G66" s="9">
        <v>790000000</v>
      </c>
      <c r="H66" s="9">
        <v>1075000000</v>
      </c>
      <c r="I66" s="9">
        <v>870000000</v>
      </c>
      <c r="J66" s="9">
        <v>368000000</v>
      </c>
      <c r="K66" s="39">
        <v>1169000000</v>
      </c>
      <c r="L66" s="9">
        <v>2179000000</v>
      </c>
      <c r="M66" s="9">
        <v>3137000000</v>
      </c>
      <c r="N66" s="9">
        <v>1301000000</v>
      </c>
    </row>
    <row r="67" spans="1:14" x14ac:dyDescent="0.3">
      <c r="A67" s="8" t="s">
        <v>169</v>
      </c>
      <c r="B67" s="8" t="s">
        <v>170</v>
      </c>
      <c r="C67" s="8" t="s">
        <v>124</v>
      </c>
      <c r="D67" s="8" t="s">
        <v>121</v>
      </c>
      <c r="E67" s="9">
        <v>8424000000</v>
      </c>
      <c r="F67" s="9">
        <v>8526000000</v>
      </c>
      <c r="G67" s="9">
        <v>10525000000</v>
      </c>
      <c r="H67" s="9">
        <v>7249000000</v>
      </c>
      <c r="I67" s="9">
        <v>2377000000</v>
      </c>
      <c r="J67" s="9">
        <v>3627000000</v>
      </c>
      <c r="K67" s="9">
        <v>10660000000</v>
      </c>
      <c r="L67" s="9">
        <v>14501000000</v>
      </c>
      <c r="M67" s="9">
        <v>14261000000</v>
      </c>
      <c r="N67" s="9">
        <v>10207000000</v>
      </c>
    </row>
    <row r="68" spans="1:14" x14ac:dyDescent="0.3">
      <c r="A68" s="8" t="s">
        <v>171</v>
      </c>
      <c r="B68" s="8" t="s">
        <v>172</v>
      </c>
      <c r="C68" s="8" t="s">
        <v>124</v>
      </c>
      <c r="D68" s="8" t="s">
        <v>121</v>
      </c>
      <c r="E68" s="9">
        <v>1114800000</v>
      </c>
      <c r="F68" s="9">
        <v>1629000000</v>
      </c>
      <c r="G68" s="9">
        <v>2600000000</v>
      </c>
      <c r="H68" s="9">
        <v>3374000000</v>
      </c>
      <c r="I68" s="9">
        <v>1320000000</v>
      </c>
      <c r="J68" s="9">
        <v>1987000000</v>
      </c>
      <c r="K68" s="9">
        <v>3055000000</v>
      </c>
      <c r="L68" s="9">
        <v>3326000000</v>
      </c>
      <c r="M68" s="9">
        <v>2824000000</v>
      </c>
      <c r="N68" s="9">
        <v>2777000000</v>
      </c>
    </row>
    <row r="69" spans="1:14" x14ac:dyDescent="0.3">
      <c r="A69" s="8" t="s">
        <v>173</v>
      </c>
      <c r="B69" s="8" t="s">
        <v>174</v>
      </c>
      <c r="C69" s="8" t="s">
        <v>124</v>
      </c>
      <c r="D69" s="8" t="s">
        <v>121</v>
      </c>
      <c r="E69" s="9">
        <v>217600000</v>
      </c>
      <c r="F69" s="9">
        <v>312200000</v>
      </c>
      <c r="G69" s="9">
        <v>378200000</v>
      </c>
      <c r="H69" s="9">
        <v>447000000</v>
      </c>
      <c r="I69" s="9">
        <v>478100000</v>
      </c>
      <c r="J69" s="9">
        <v>139000000</v>
      </c>
      <c r="K69" s="9">
        <v>222000000</v>
      </c>
      <c r="L69" s="9">
        <v>331000000</v>
      </c>
      <c r="M69" s="39">
        <v>-102000000</v>
      </c>
      <c r="N69" s="39">
        <v>633000000</v>
      </c>
    </row>
    <row r="70" spans="1:14" x14ac:dyDescent="0.3">
      <c r="A70" s="8" t="s">
        <v>175</v>
      </c>
      <c r="B70" s="8" t="s">
        <v>176</v>
      </c>
      <c r="C70" s="8" t="s">
        <v>124</v>
      </c>
      <c r="D70" s="8" t="s">
        <v>121</v>
      </c>
      <c r="E70" s="9">
        <v>3107000000</v>
      </c>
      <c r="F70" s="9">
        <v>2580000000</v>
      </c>
      <c r="G70" s="9">
        <v>375000000</v>
      </c>
      <c r="H70" s="39">
        <v>2310000000</v>
      </c>
      <c r="I70" s="9">
        <v>2724000000</v>
      </c>
      <c r="J70" s="9">
        <v>1211000000</v>
      </c>
      <c r="K70" s="9">
        <v>2933000000</v>
      </c>
      <c r="L70" s="9">
        <v>3432000000</v>
      </c>
      <c r="M70" s="9">
        <v>4606000000</v>
      </c>
      <c r="N70" s="9">
        <v>5685000000</v>
      </c>
    </row>
    <row r="71" spans="1:14" x14ac:dyDescent="0.3">
      <c r="A71" s="8" t="s">
        <v>177</v>
      </c>
      <c r="B71" s="8" t="s">
        <v>178</v>
      </c>
      <c r="C71" s="8" t="s">
        <v>124</v>
      </c>
      <c r="D71" s="8" t="s">
        <v>121</v>
      </c>
      <c r="E71" s="9">
        <v>-273000000</v>
      </c>
      <c r="F71" s="39">
        <v>1374000000</v>
      </c>
      <c r="G71" s="9">
        <v>3332000000</v>
      </c>
      <c r="H71" s="9">
        <v>3473000000</v>
      </c>
      <c r="I71" s="9">
        <v>4407000000</v>
      </c>
      <c r="J71" s="9">
        <v>2623000000</v>
      </c>
      <c r="K71" s="9">
        <v>4566000000</v>
      </c>
      <c r="L71" s="9">
        <v>5492000000</v>
      </c>
      <c r="M71" s="9">
        <v>5074000000</v>
      </c>
      <c r="N71" s="39">
        <v>-20017000000</v>
      </c>
    </row>
    <row r="72" spans="1:14" x14ac:dyDescent="0.3">
      <c r="A72" s="8" t="s">
        <v>179</v>
      </c>
      <c r="B72" s="8" t="s">
        <v>180</v>
      </c>
      <c r="C72" s="8" t="s">
        <v>124</v>
      </c>
      <c r="D72" s="8" t="s">
        <v>121</v>
      </c>
      <c r="E72" s="9">
        <v>127103000</v>
      </c>
      <c r="F72" s="9">
        <v>80404000</v>
      </c>
      <c r="G72" s="9">
        <v>40394000</v>
      </c>
      <c r="H72" s="39">
        <v>190380000</v>
      </c>
      <c r="I72" s="39">
        <v>-41455000</v>
      </c>
      <c r="J72" s="39">
        <v>73640000</v>
      </c>
      <c r="K72" s="39">
        <v>512599000</v>
      </c>
      <c r="L72" s="9">
        <v>423211000</v>
      </c>
      <c r="M72" s="9">
        <v>341303000</v>
      </c>
      <c r="N72" s="9">
        <v>83591000</v>
      </c>
    </row>
    <row r="73" spans="1:14" x14ac:dyDescent="0.3">
      <c r="A73" s="8" t="s">
        <v>181</v>
      </c>
      <c r="B73" s="8" t="s">
        <v>182</v>
      </c>
      <c r="C73" s="8" t="s">
        <v>124</v>
      </c>
      <c r="D73" s="8" t="s">
        <v>121</v>
      </c>
      <c r="E73" s="9">
        <v>151000000</v>
      </c>
      <c r="F73" s="9">
        <v>200000000</v>
      </c>
      <c r="G73" s="9">
        <v>224000000</v>
      </c>
      <c r="H73" s="9">
        <v>305000000</v>
      </c>
      <c r="I73" s="9">
        <v>335000000</v>
      </c>
      <c r="J73" s="9">
        <v>1000000</v>
      </c>
      <c r="K73" s="39">
        <v>432000000</v>
      </c>
      <c r="L73" s="9">
        <v>474000000</v>
      </c>
      <c r="M73" s="9">
        <v>535000000</v>
      </c>
      <c r="N73" s="9">
        <v>717000000</v>
      </c>
    </row>
    <row r="74" spans="1:14" x14ac:dyDescent="0.3">
      <c r="A74" s="8" t="s">
        <v>183</v>
      </c>
      <c r="B74" s="8" t="s">
        <v>184</v>
      </c>
      <c r="C74" s="8" t="s">
        <v>124</v>
      </c>
      <c r="D74" s="8" t="s">
        <v>121</v>
      </c>
      <c r="E74" s="9">
        <v>-72000000</v>
      </c>
      <c r="F74" s="39">
        <v>-5651000000</v>
      </c>
      <c r="G74" s="39">
        <v>1942000000</v>
      </c>
      <c r="H74" s="9">
        <v>394000000</v>
      </c>
      <c r="I74" s="39">
        <v>-660000000</v>
      </c>
      <c r="J74" s="39">
        <v>1051000000</v>
      </c>
      <c r="K74" s="9">
        <v>721000000</v>
      </c>
      <c r="L74" s="39">
        <v>2717000000</v>
      </c>
      <c r="M74" s="9">
        <v>1450000000</v>
      </c>
      <c r="N74" s="39">
        <v>5135000000</v>
      </c>
    </row>
    <row r="75" spans="1:14" x14ac:dyDescent="0.3">
      <c r="A75" s="8" t="s">
        <v>185</v>
      </c>
      <c r="B75" s="8" t="s">
        <v>186</v>
      </c>
      <c r="C75" s="8" t="s">
        <v>124</v>
      </c>
      <c r="D75" s="8" t="s">
        <v>121</v>
      </c>
      <c r="E75" s="9">
        <v>3064000000</v>
      </c>
      <c r="F75" s="9">
        <v>3631000000</v>
      </c>
      <c r="G75" s="9">
        <v>4018000000</v>
      </c>
      <c r="H75" s="9">
        <v>4083000000</v>
      </c>
      <c r="I75" s="9">
        <v>3337000000</v>
      </c>
      <c r="J75" s="9">
        <v>5145000000</v>
      </c>
      <c r="K75" s="9">
        <v>5256000000</v>
      </c>
      <c r="L75" s="9">
        <v>2284000000</v>
      </c>
      <c r="M75" s="9">
        <v>6139000000</v>
      </c>
      <c r="N75" s="9">
        <v>3124000000</v>
      </c>
    </row>
    <row r="76" spans="1:14" x14ac:dyDescent="0.3">
      <c r="A76" s="8" t="s">
        <v>187</v>
      </c>
      <c r="B76" s="8" t="s">
        <v>188</v>
      </c>
      <c r="C76" s="8" t="s">
        <v>124</v>
      </c>
      <c r="D76" s="8" t="s">
        <v>121</v>
      </c>
      <c r="E76" s="9">
        <v>126303000</v>
      </c>
      <c r="F76" s="9">
        <v>102932000</v>
      </c>
      <c r="G76" s="9">
        <v>114730000</v>
      </c>
      <c r="H76" s="9">
        <v>141342000</v>
      </c>
      <c r="I76" s="9">
        <v>218743000</v>
      </c>
      <c r="J76" s="9">
        <v>321472000</v>
      </c>
      <c r="K76" s="9">
        <v>426978000</v>
      </c>
      <c r="L76" s="9">
        <v>913100000</v>
      </c>
      <c r="M76" s="9">
        <v>205200000</v>
      </c>
      <c r="N76" s="9">
        <v>84000000</v>
      </c>
    </row>
    <row r="77" spans="1:14" x14ac:dyDescent="0.3">
      <c r="A77" s="8" t="s">
        <v>189</v>
      </c>
      <c r="B77" s="8" t="s">
        <v>190</v>
      </c>
      <c r="C77" s="8" t="s">
        <v>124</v>
      </c>
      <c r="D77" s="8" t="s">
        <v>121</v>
      </c>
      <c r="E77" s="9">
        <v>5382000000</v>
      </c>
      <c r="F77" s="9">
        <v>5348000000</v>
      </c>
      <c r="G77" s="9">
        <v>5961000000</v>
      </c>
      <c r="H77" s="9">
        <v>5807000000</v>
      </c>
      <c r="I77" s="9">
        <v>5183000000</v>
      </c>
      <c r="J77" s="9">
        <v>4035000000</v>
      </c>
      <c r="K77" s="9">
        <v>5261000000</v>
      </c>
      <c r="L77" s="9">
        <v>3723000000</v>
      </c>
      <c r="M77" s="9">
        <v>7949000000</v>
      </c>
      <c r="N77" s="9">
        <v>8301000000</v>
      </c>
    </row>
    <row r="78" spans="1:14" x14ac:dyDescent="0.3">
      <c r="A78" s="8" t="s">
        <v>191</v>
      </c>
      <c r="B78" s="8" t="s">
        <v>192</v>
      </c>
      <c r="C78" s="8" t="s">
        <v>124</v>
      </c>
      <c r="D78" s="8" t="s">
        <v>121</v>
      </c>
      <c r="E78" s="9"/>
      <c r="F78" s="9"/>
      <c r="G78" s="9"/>
      <c r="H78" s="9"/>
      <c r="I78" s="9"/>
      <c r="J78" s="9"/>
      <c r="K78" s="9">
        <v>-453000000</v>
      </c>
      <c r="L78" s="9">
        <v>-467000000</v>
      </c>
      <c r="M78" s="39">
        <v>-4531000000</v>
      </c>
      <c r="N78" s="39">
        <v>1185000000</v>
      </c>
    </row>
    <row r="79" spans="1:14" x14ac:dyDescent="0.3">
      <c r="A79" s="8" t="s">
        <v>193</v>
      </c>
      <c r="B79" s="8" t="s">
        <v>194</v>
      </c>
      <c r="C79" s="8" t="s">
        <v>124</v>
      </c>
      <c r="D79" s="8" t="s">
        <v>121</v>
      </c>
      <c r="E79" s="9"/>
      <c r="F79" s="9"/>
      <c r="G79" s="9"/>
      <c r="H79" s="9"/>
      <c r="I79" s="9">
        <v>1567000000</v>
      </c>
      <c r="J79" s="9">
        <v>1411000000</v>
      </c>
      <c r="K79" s="9">
        <v>1727000000</v>
      </c>
      <c r="L79" s="9">
        <v>2038000000</v>
      </c>
      <c r="M79" s="9">
        <v>1509000000</v>
      </c>
      <c r="N79" s="9">
        <v>1942000000</v>
      </c>
    </row>
    <row r="80" spans="1:14" x14ac:dyDescent="0.3">
      <c r="A80" s="8" t="s">
        <v>195</v>
      </c>
      <c r="B80" s="8" t="s">
        <v>196</v>
      </c>
      <c r="C80" s="8" t="s">
        <v>124</v>
      </c>
      <c r="D80" s="8" t="s">
        <v>121</v>
      </c>
      <c r="E80" s="9">
        <v>246778000</v>
      </c>
      <c r="F80" s="9">
        <v>252710000</v>
      </c>
      <c r="G80" s="9">
        <v>270270000</v>
      </c>
      <c r="H80" s="9">
        <v>275330000</v>
      </c>
      <c r="I80" s="9">
        <v>298308000</v>
      </c>
      <c r="J80" s="9">
        <v>306873000</v>
      </c>
      <c r="K80" s="9">
        <v>374924000</v>
      </c>
      <c r="L80" s="9">
        <v>280007000</v>
      </c>
      <c r="M80" s="9">
        <v>340473000</v>
      </c>
      <c r="N80" s="9">
        <v>478200000</v>
      </c>
    </row>
    <row r="81" spans="1:14" x14ac:dyDescent="0.3">
      <c r="A81" s="8" t="s">
        <v>197</v>
      </c>
      <c r="B81" s="8" t="s">
        <v>198</v>
      </c>
      <c r="C81" s="8" t="s">
        <v>124</v>
      </c>
      <c r="D81" s="8" t="s">
        <v>121</v>
      </c>
      <c r="E81" s="9">
        <v>-1371000000</v>
      </c>
      <c r="F81" s="39">
        <v>5369000000</v>
      </c>
      <c r="G81" s="9">
        <v>11628000000</v>
      </c>
      <c r="H81" s="9">
        <v>12136000000</v>
      </c>
      <c r="I81" s="9">
        <v>13886000000</v>
      </c>
      <c r="J81" s="9">
        <v>8867000000</v>
      </c>
      <c r="K81" s="9">
        <v>15382000000</v>
      </c>
      <c r="L81" s="9">
        <v>15457000000</v>
      </c>
      <c r="M81" s="9">
        <v>16532000000</v>
      </c>
      <c r="N81" s="9">
        <v>11351000000</v>
      </c>
    </row>
    <row r="82" spans="1:14" x14ac:dyDescent="0.3">
      <c r="A82" s="8" t="s">
        <v>199</v>
      </c>
      <c r="B82" s="8" t="s">
        <v>200</v>
      </c>
      <c r="C82" s="8" t="s">
        <v>124</v>
      </c>
      <c r="D82" s="8" t="s">
        <v>121</v>
      </c>
      <c r="E82" s="9">
        <v>963500000</v>
      </c>
      <c r="F82" s="9">
        <v>2340700000</v>
      </c>
      <c r="G82" s="9">
        <v>2450700000</v>
      </c>
      <c r="H82" s="9">
        <v>2306500000</v>
      </c>
      <c r="I82" s="9">
        <v>1187000000</v>
      </c>
      <c r="J82" s="9">
        <v>3268500000</v>
      </c>
      <c r="K82" s="9">
        <v>2680300000</v>
      </c>
      <c r="L82" s="39">
        <v>-669400000</v>
      </c>
      <c r="M82" s="39">
        <v>-6285100000</v>
      </c>
      <c r="N82" s="9">
        <v>-896000000</v>
      </c>
    </row>
    <row r="83" spans="1:14" x14ac:dyDescent="0.3">
      <c r="A83" s="8" t="s">
        <v>201</v>
      </c>
      <c r="B83" s="8" t="s">
        <v>202</v>
      </c>
      <c r="C83" s="8" t="s">
        <v>124</v>
      </c>
      <c r="D83" s="8" t="s">
        <v>121</v>
      </c>
      <c r="E83" s="9">
        <v>121500000</v>
      </c>
      <c r="F83" s="9">
        <v>120500000</v>
      </c>
      <c r="G83" s="9">
        <v>103100000</v>
      </c>
      <c r="H83" s="9">
        <v>51400000</v>
      </c>
      <c r="I83" s="9">
        <v>99700000</v>
      </c>
      <c r="J83" s="9">
        <v>226100000</v>
      </c>
      <c r="K83" s="9">
        <v>234500000</v>
      </c>
      <c r="L83" s="9">
        <v>16800000</v>
      </c>
      <c r="M83" s="39">
        <v>83000000</v>
      </c>
      <c r="N83" s="39">
        <v>251100000</v>
      </c>
    </row>
    <row r="84" spans="1:14" x14ac:dyDescent="0.3">
      <c r="A84" s="6" t="s">
        <v>203</v>
      </c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3">
      <c r="A85" s="8" t="s">
        <v>204</v>
      </c>
      <c r="B85" s="8" t="s">
        <v>205</v>
      </c>
      <c r="C85" s="8" t="s">
        <v>206</v>
      </c>
      <c r="D85" s="8" t="s">
        <v>203</v>
      </c>
      <c r="E85" s="9">
        <v>3573000000</v>
      </c>
      <c r="F85" s="9">
        <v>4066000000</v>
      </c>
      <c r="G85" s="9">
        <v>5365000000</v>
      </c>
      <c r="H85" s="9">
        <v>6354000000</v>
      </c>
      <c r="I85" s="9">
        <v>7171000000</v>
      </c>
      <c r="J85" s="9">
        <v>4702000000</v>
      </c>
      <c r="K85" s="9">
        <v>12036000000</v>
      </c>
      <c r="L85" s="9">
        <v>14084000000</v>
      </c>
      <c r="M85" s="9">
        <v>15174000000</v>
      </c>
      <c r="N85" s="9">
        <v>12550000000</v>
      </c>
    </row>
    <row r="86" spans="1:14" x14ac:dyDescent="0.3">
      <c r="A86" s="8" t="s">
        <v>207</v>
      </c>
      <c r="B86" s="8" t="s">
        <v>208</v>
      </c>
      <c r="C86" s="8" t="s">
        <v>206</v>
      </c>
      <c r="D86" s="8" t="s">
        <v>203</v>
      </c>
      <c r="E86" s="9">
        <v>1407000000</v>
      </c>
      <c r="F86" s="9">
        <v>1750000000</v>
      </c>
      <c r="G86" s="9">
        <v>2150000000</v>
      </c>
      <c r="H86" s="9">
        <v>2334000000</v>
      </c>
      <c r="I86" s="9">
        <v>2413000000</v>
      </c>
      <c r="J86" s="9">
        <v>2126000000</v>
      </c>
      <c r="K86" s="9">
        <v>3204000000</v>
      </c>
      <c r="L86" s="9">
        <v>3477000000</v>
      </c>
      <c r="M86" s="9">
        <v>4003000000</v>
      </c>
      <c r="N86" s="9">
        <v>4269000000</v>
      </c>
    </row>
    <row r="87" spans="1:14" x14ac:dyDescent="0.3">
      <c r="A87" s="8" t="s">
        <v>209</v>
      </c>
      <c r="B87" s="8" t="s">
        <v>126</v>
      </c>
      <c r="C87" s="8" t="s">
        <v>206</v>
      </c>
      <c r="D87" s="8" t="s">
        <v>203</v>
      </c>
      <c r="E87" s="9">
        <v>2696000000</v>
      </c>
      <c r="F87" s="9">
        <v>995000000</v>
      </c>
      <c r="G87" s="9">
        <v>2361000000</v>
      </c>
      <c r="H87" s="9">
        <v>3054000000</v>
      </c>
      <c r="I87" s="39">
        <v>-1325000000</v>
      </c>
      <c r="J87" s="9">
        <v>-1169000000</v>
      </c>
      <c r="K87" s="39">
        <v>4213000000</v>
      </c>
      <c r="L87" s="9">
        <v>4247000000</v>
      </c>
      <c r="M87" s="9">
        <v>3789000000</v>
      </c>
      <c r="N87" s="9">
        <v>4232000000</v>
      </c>
    </row>
    <row r="88" spans="1:14" x14ac:dyDescent="0.3">
      <c r="A88" s="8" t="s">
        <v>210</v>
      </c>
      <c r="B88" s="8" t="s">
        <v>211</v>
      </c>
      <c r="C88" s="8" t="s">
        <v>206</v>
      </c>
      <c r="D88" s="8" t="s">
        <v>203</v>
      </c>
      <c r="E88" s="9">
        <v>5087000000</v>
      </c>
      <c r="F88" s="9">
        <v>6196000000</v>
      </c>
      <c r="G88" s="9">
        <v>8631000000</v>
      </c>
      <c r="H88" s="9">
        <v>11446000000</v>
      </c>
      <c r="I88" s="9">
        <v>11267000000</v>
      </c>
      <c r="J88" s="39">
        <v>-7242000000</v>
      </c>
      <c r="K88" s="39">
        <v>16032000000</v>
      </c>
      <c r="L88" s="9">
        <v>20526000000</v>
      </c>
      <c r="M88" s="9">
        <v>21384000000</v>
      </c>
      <c r="N88" s="9">
        <v>15758000000</v>
      </c>
    </row>
    <row r="89" spans="1:14" x14ac:dyDescent="0.3">
      <c r="A89" s="8" t="s">
        <v>212</v>
      </c>
      <c r="B89" s="8" t="s">
        <v>213</v>
      </c>
      <c r="C89" s="8" t="s">
        <v>206</v>
      </c>
      <c r="D89" s="8" t="s">
        <v>203</v>
      </c>
      <c r="E89" s="9">
        <v>4287000000</v>
      </c>
      <c r="F89" s="9">
        <v>4709000000</v>
      </c>
      <c r="G89" s="9">
        <v>3894000000</v>
      </c>
      <c r="H89" s="9">
        <v>4306000000</v>
      </c>
      <c r="I89" s="9">
        <v>2806000000</v>
      </c>
      <c r="J89" s="39">
        <v>12294000000</v>
      </c>
      <c r="K89" s="9">
        <v>6223000000</v>
      </c>
      <c r="L89" s="9">
        <v>8371000000</v>
      </c>
      <c r="M89" s="9">
        <v>5400000000</v>
      </c>
      <c r="N89" s="9">
        <v>5560000000</v>
      </c>
    </row>
    <row r="90" spans="1:14" x14ac:dyDescent="0.3">
      <c r="A90" s="8" t="s">
        <v>214</v>
      </c>
      <c r="B90" s="8" t="s">
        <v>215</v>
      </c>
      <c r="C90" s="8" t="s">
        <v>206</v>
      </c>
      <c r="D90" s="8" t="s">
        <v>203</v>
      </c>
      <c r="E90" s="9">
        <v>-450000000</v>
      </c>
      <c r="F90" s="39">
        <v>1908000000</v>
      </c>
      <c r="G90" s="9">
        <v>4550000000</v>
      </c>
      <c r="H90" s="9">
        <v>1283000000</v>
      </c>
      <c r="I90" s="9">
        <v>2447000000</v>
      </c>
      <c r="J90" s="9">
        <v>352000000</v>
      </c>
      <c r="K90" s="9">
        <v>43000000</v>
      </c>
      <c r="L90" s="39">
        <v>-2459000000</v>
      </c>
      <c r="M90" s="39">
        <v>3444000000</v>
      </c>
      <c r="N90" s="39">
        <v>-667000000</v>
      </c>
    </row>
    <row r="91" spans="1:14" x14ac:dyDescent="0.3">
      <c r="A91" s="8" t="s">
        <v>216</v>
      </c>
      <c r="B91" s="8" t="s">
        <v>217</v>
      </c>
      <c r="C91" s="8" t="s">
        <v>206</v>
      </c>
      <c r="D91" s="8" t="s">
        <v>203</v>
      </c>
      <c r="E91" s="9">
        <v>1756400000</v>
      </c>
      <c r="F91" s="9">
        <v>1844000000</v>
      </c>
      <c r="G91" s="9">
        <v>2199600000</v>
      </c>
      <c r="H91" s="9">
        <v>2113400000</v>
      </c>
      <c r="I91" s="9">
        <v>2241500000</v>
      </c>
      <c r="J91" s="9">
        <v>2435100000</v>
      </c>
      <c r="K91" s="9">
        <v>2572200000</v>
      </c>
      <c r="L91" s="9">
        <v>2758800000</v>
      </c>
      <c r="M91" s="9">
        <v>3078000000</v>
      </c>
      <c r="N91" s="9">
        <v>3306100000</v>
      </c>
    </row>
    <row r="92" spans="1:14" x14ac:dyDescent="0.3">
      <c r="A92" s="8" t="s">
        <v>218</v>
      </c>
      <c r="B92" s="8" t="s">
        <v>219</v>
      </c>
      <c r="C92" s="8" t="s">
        <v>206</v>
      </c>
      <c r="D92" s="8" t="s">
        <v>203</v>
      </c>
      <c r="E92" s="9">
        <v>3297400000</v>
      </c>
      <c r="F92" s="9">
        <v>3105800000</v>
      </c>
      <c r="G92" s="9">
        <v>3581400000</v>
      </c>
      <c r="H92" s="9">
        <v>3895400000</v>
      </c>
      <c r="I92" s="9">
        <v>3750000000</v>
      </c>
      <c r="J92" s="9">
        <v>3563400000</v>
      </c>
      <c r="K92" s="9">
        <v>4597100000</v>
      </c>
      <c r="L92" s="9">
        <v>5706600000</v>
      </c>
      <c r="M92" s="9">
        <v>6184000000</v>
      </c>
      <c r="N92" s="9">
        <v>6408700000</v>
      </c>
    </row>
    <row r="93" spans="1:14" x14ac:dyDescent="0.3">
      <c r="A93" s="8" t="s">
        <v>220</v>
      </c>
      <c r="B93" s="8" t="s">
        <v>221</v>
      </c>
      <c r="C93" s="8" t="s">
        <v>206</v>
      </c>
      <c r="D93" s="8" t="s">
        <v>203</v>
      </c>
      <c r="E93" s="9">
        <v>757000000</v>
      </c>
      <c r="F93" s="9">
        <v>813000000</v>
      </c>
      <c r="G93" s="9">
        <v>789000000</v>
      </c>
      <c r="H93" s="9">
        <v>1083000000</v>
      </c>
      <c r="I93" s="9">
        <v>1077000000</v>
      </c>
      <c r="J93" s="9">
        <v>85000000</v>
      </c>
      <c r="K93" s="39">
        <v>1448000000</v>
      </c>
      <c r="L93" s="9">
        <v>2152000000</v>
      </c>
      <c r="M93" s="9">
        <v>2289000000</v>
      </c>
      <c r="N93" s="9">
        <v>2359000000</v>
      </c>
    </row>
    <row r="94" spans="1:14" x14ac:dyDescent="0.3">
      <c r="A94" s="8" t="s">
        <v>222</v>
      </c>
      <c r="B94" s="8" t="s">
        <v>223</v>
      </c>
      <c r="C94" s="8" t="s">
        <v>206</v>
      </c>
      <c r="D94" s="8" t="s">
        <v>203</v>
      </c>
      <c r="E94" s="9">
        <v>6694000000</v>
      </c>
      <c r="F94" s="9">
        <v>7702000000</v>
      </c>
      <c r="G94" s="9">
        <v>7759000000</v>
      </c>
      <c r="H94" s="9">
        <v>7526000000</v>
      </c>
      <c r="I94" s="9">
        <v>8173000000</v>
      </c>
      <c r="J94" s="9">
        <v>7067000000</v>
      </c>
      <c r="K94" s="9">
        <v>9488000000</v>
      </c>
      <c r="L94" s="9">
        <v>9848000000</v>
      </c>
      <c r="M94" s="9">
        <v>10975000000</v>
      </c>
      <c r="N94" s="9">
        <v>11688000000</v>
      </c>
    </row>
    <row r="95" spans="1:14" x14ac:dyDescent="0.3">
      <c r="A95" s="8" t="s">
        <v>224</v>
      </c>
      <c r="B95" s="8" t="s">
        <v>225</v>
      </c>
      <c r="C95" s="8" t="s">
        <v>206</v>
      </c>
      <c r="D95" s="8" t="s">
        <v>203</v>
      </c>
      <c r="E95" s="9">
        <v>5617000000</v>
      </c>
      <c r="F95" s="9">
        <v>5829000000</v>
      </c>
      <c r="G95" s="9">
        <v>6209000000</v>
      </c>
      <c r="H95" s="9">
        <v>2140000000</v>
      </c>
      <c r="I95" s="9">
        <v>3857000000</v>
      </c>
      <c r="J95" s="9">
        <v>3164000000</v>
      </c>
      <c r="K95" s="9">
        <v>7294000000</v>
      </c>
      <c r="L95" s="9">
        <v>6675000000</v>
      </c>
      <c r="M95" s="9">
        <v>7189000000</v>
      </c>
      <c r="N95" s="9">
        <v>7886000000</v>
      </c>
    </row>
    <row r="96" spans="1:14" x14ac:dyDescent="0.3">
      <c r="A96" s="8" t="s">
        <v>226</v>
      </c>
      <c r="B96" s="8" t="s">
        <v>227</v>
      </c>
      <c r="C96" s="8" t="s">
        <v>206</v>
      </c>
      <c r="D96" s="8" t="s">
        <v>203</v>
      </c>
      <c r="E96" s="9">
        <v>972600000</v>
      </c>
      <c r="F96" s="9">
        <v>1100300000</v>
      </c>
      <c r="G96" s="9">
        <v>1221500000</v>
      </c>
      <c r="H96" s="9">
        <v>1405500000</v>
      </c>
      <c r="I96" s="9">
        <v>1528200000</v>
      </c>
      <c r="J96" s="9">
        <v>1385000000</v>
      </c>
      <c r="K96" s="9">
        <v>2445000000</v>
      </c>
      <c r="L96" s="9">
        <v>3367000000</v>
      </c>
      <c r="M96" s="9">
        <v>4311000000</v>
      </c>
      <c r="N96" s="9">
        <v>4603000000</v>
      </c>
    </row>
    <row r="97" spans="1:14" x14ac:dyDescent="0.3">
      <c r="A97" s="8" t="s">
        <v>228</v>
      </c>
      <c r="B97" s="8" t="s">
        <v>229</v>
      </c>
      <c r="C97" s="8" t="s">
        <v>206</v>
      </c>
      <c r="D97" s="8" t="s">
        <v>203</v>
      </c>
      <c r="E97" s="9">
        <v>2046000000</v>
      </c>
      <c r="F97" s="9">
        <v>2505000000</v>
      </c>
      <c r="G97" s="9">
        <v>2747000000</v>
      </c>
      <c r="H97" s="9">
        <v>2983000000</v>
      </c>
      <c r="I97" s="9">
        <v>3260000000</v>
      </c>
      <c r="J97" s="9">
        <v>1242000000</v>
      </c>
      <c r="K97" s="9">
        <v>2597000000</v>
      </c>
      <c r="L97" s="9">
        <v>4259000000</v>
      </c>
      <c r="M97" s="9">
        <v>4702000000</v>
      </c>
      <c r="N97" s="9">
        <v>4863000000</v>
      </c>
    </row>
    <row r="98" spans="1:14" x14ac:dyDescent="0.3">
      <c r="A98" s="8" t="s">
        <v>230</v>
      </c>
      <c r="B98" s="8" t="s">
        <v>231</v>
      </c>
      <c r="C98" s="8" t="s">
        <v>206</v>
      </c>
      <c r="D98" s="8" t="s">
        <v>203</v>
      </c>
      <c r="E98" s="9">
        <v>1282000000</v>
      </c>
      <c r="F98" s="9">
        <v>1720000000</v>
      </c>
      <c r="G98" s="9">
        <v>2449000000</v>
      </c>
      <c r="H98" s="9">
        <v>2335000000</v>
      </c>
      <c r="I98" s="9">
        <v>1915000000</v>
      </c>
      <c r="J98" s="9">
        <v>1956000000</v>
      </c>
      <c r="K98" s="9">
        <v>1924000000</v>
      </c>
      <c r="L98" s="9">
        <v>959000000</v>
      </c>
      <c r="M98" s="9">
        <v>881000000</v>
      </c>
      <c r="N98" s="9">
        <v>2021000000</v>
      </c>
    </row>
    <row r="99" spans="1:14" x14ac:dyDescent="0.3">
      <c r="A99" s="8" t="s">
        <v>232</v>
      </c>
      <c r="B99" s="8" t="s">
        <v>233</v>
      </c>
      <c r="C99" s="8" t="s">
        <v>206</v>
      </c>
      <c r="D99" s="8" t="s">
        <v>203</v>
      </c>
      <c r="E99" s="9">
        <v>4001000000</v>
      </c>
      <c r="F99" s="9">
        <v>3874000000</v>
      </c>
      <c r="G99" s="9">
        <v>2806000000</v>
      </c>
      <c r="H99" s="9">
        <v>4121000000</v>
      </c>
      <c r="I99" s="9">
        <v>3248000000</v>
      </c>
      <c r="J99" s="39">
        <v>-258000000</v>
      </c>
      <c r="K99" s="39">
        <v>5641000000</v>
      </c>
      <c r="L99" s="9">
        <v>1825000000</v>
      </c>
      <c r="M99" s="9">
        <v>2493000000</v>
      </c>
      <c r="N99" s="9">
        <v>4200000000</v>
      </c>
    </row>
    <row r="100" spans="1:14" x14ac:dyDescent="0.3">
      <c r="A100" s="8" t="s">
        <v>234</v>
      </c>
      <c r="B100" s="8" t="s">
        <v>235</v>
      </c>
      <c r="C100" s="8" t="s">
        <v>206</v>
      </c>
      <c r="D100" s="8" t="s">
        <v>203</v>
      </c>
      <c r="E100" s="9">
        <v>-4762000000</v>
      </c>
      <c r="F100" s="9">
        <v>-450000000</v>
      </c>
      <c r="G100" s="39">
        <v>903000000</v>
      </c>
      <c r="H100" s="39">
        <v>-157000000</v>
      </c>
      <c r="I100" s="39">
        <v>984000000</v>
      </c>
      <c r="J100" s="39">
        <v>-1723000000</v>
      </c>
      <c r="K100" s="39">
        <v>3661000000</v>
      </c>
      <c r="L100" s="9">
        <v>140000000</v>
      </c>
      <c r="M100" s="39">
        <v>2208000000</v>
      </c>
      <c r="N100" s="9">
        <v>4106000000</v>
      </c>
    </row>
    <row r="101" spans="1:14" x14ac:dyDescent="0.3">
      <c r="A101" s="8" t="s">
        <v>236</v>
      </c>
      <c r="B101" s="8" t="s">
        <v>237</v>
      </c>
      <c r="C101" s="8" t="s">
        <v>206</v>
      </c>
      <c r="D101" s="8" t="s">
        <v>203</v>
      </c>
      <c r="E101" s="9">
        <v>374000000</v>
      </c>
      <c r="F101" s="39">
        <v>1311000000</v>
      </c>
      <c r="G101" s="9">
        <v>1566000000</v>
      </c>
      <c r="H101" s="9">
        <v>397000000</v>
      </c>
      <c r="I101" s="39">
        <v>1406000000</v>
      </c>
      <c r="J101" s="9">
        <v>456000000</v>
      </c>
      <c r="K101" s="39">
        <v>2521000000</v>
      </c>
      <c r="L101" s="9">
        <v>3003000000</v>
      </c>
      <c r="M101" s="9">
        <v>2669000000</v>
      </c>
      <c r="N101" s="9">
        <v>2844000000</v>
      </c>
    </row>
    <row r="102" spans="1:14" x14ac:dyDescent="0.3">
      <c r="A102" s="8" t="s">
        <v>238</v>
      </c>
      <c r="B102" s="8" t="s">
        <v>239</v>
      </c>
      <c r="C102" s="8" t="s">
        <v>206</v>
      </c>
      <c r="D102" s="8" t="s">
        <v>203</v>
      </c>
      <c r="E102" s="9">
        <v>550600000</v>
      </c>
      <c r="F102" s="9">
        <v>628500000</v>
      </c>
      <c r="G102" s="9">
        <v>711200000</v>
      </c>
      <c r="H102" s="9">
        <v>771700000</v>
      </c>
      <c r="I102" s="9">
        <v>834800000</v>
      </c>
      <c r="J102" s="9">
        <v>681200000</v>
      </c>
      <c r="K102" s="9">
        <v>904500000</v>
      </c>
      <c r="L102" s="9">
        <v>999500000</v>
      </c>
      <c r="M102" s="9">
        <v>1148500000</v>
      </c>
      <c r="N102" s="9">
        <v>1166400000</v>
      </c>
    </row>
    <row r="103" spans="1:14" x14ac:dyDescent="0.3">
      <c r="A103" s="8" t="s">
        <v>240</v>
      </c>
      <c r="B103" s="8" t="s">
        <v>241</v>
      </c>
      <c r="C103" s="8" t="s">
        <v>206</v>
      </c>
      <c r="D103" s="8" t="s">
        <v>203</v>
      </c>
      <c r="E103" s="9">
        <v>2652000000</v>
      </c>
      <c r="F103" s="9">
        <v>2813000000</v>
      </c>
      <c r="G103" s="9">
        <v>1843000000</v>
      </c>
      <c r="H103" s="9">
        <v>1954000000</v>
      </c>
      <c r="I103" s="9">
        <v>3004000000</v>
      </c>
      <c r="J103" s="9">
        <v>4822000000</v>
      </c>
      <c r="K103" s="9">
        <v>233000000</v>
      </c>
      <c r="L103" s="39">
        <v>2146000000</v>
      </c>
      <c r="M103" s="9">
        <v>2440000000</v>
      </c>
      <c r="N103" s="9">
        <v>2350000000</v>
      </c>
    </row>
    <row r="104" spans="1:14" x14ac:dyDescent="0.3">
      <c r="A104" s="8" t="s">
        <v>242</v>
      </c>
      <c r="B104" s="8" t="s">
        <v>243</v>
      </c>
      <c r="C104" s="8" t="s">
        <v>206</v>
      </c>
      <c r="D104" s="8" t="s">
        <v>203</v>
      </c>
      <c r="E104" s="9">
        <v>696000000</v>
      </c>
      <c r="F104" s="9">
        <v>813500000</v>
      </c>
      <c r="G104" s="9">
        <v>1785600000</v>
      </c>
      <c r="H104" s="9">
        <v>2646400000</v>
      </c>
      <c r="I104" s="9">
        <v>2308600000</v>
      </c>
      <c r="J104" s="9">
        <v>2150400000</v>
      </c>
      <c r="K104" s="9">
        <v>3176000000</v>
      </c>
      <c r="L104" s="9">
        <v>3614000000</v>
      </c>
      <c r="M104" s="9">
        <v>2983000000</v>
      </c>
      <c r="N104" s="9">
        <v>1133000000</v>
      </c>
    </row>
    <row r="105" spans="1:14" x14ac:dyDescent="0.3">
      <c r="A105" s="8" t="s">
        <v>244</v>
      </c>
      <c r="B105" s="8" t="s">
        <v>245</v>
      </c>
      <c r="C105" s="8" t="s">
        <v>206</v>
      </c>
      <c r="D105" s="8" t="s">
        <v>203</v>
      </c>
      <c r="E105" s="9">
        <v>901000000</v>
      </c>
      <c r="F105" s="39">
        <v>-527000000</v>
      </c>
      <c r="G105" s="39">
        <v>862000000</v>
      </c>
      <c r="H105" s="9">
        <v>919000000</v>
      </c>
      <c r="I105" s="9">
        <v>841000000</v>
      </c>
      <c r="J105" s="9">
        <v>576000000</v>
      </c>
      <c r="K105" s="9">
        <v>1027000000</v>
      </c>
      <c r="L105" s="9">
        <v>1222000000</v>
      </c>
      <c r="M105" s="9">
        <v>1312000000</v>
      </c>
      <c r="N105" s="9">
        <v>1658000000</v>
      </c>
    </row>
    <row r="106" spans="1:14" x14ac:dyDescent="0.3">
      <c r="A106" s="8" t="s">
        <v>246</v>
      </c>
      <c r="B106" s="8" t="s">
        <v>247</v>
      </c>
      <c r="C106" s="8" t="s">
        <v>206</v>
      </c>
      <c r="D106" s="8" t="s">
        <v>203</v>
      </c>
      <c r="E106" s="9">
        <v>765100000</v>
      </c>
      <c r="F106" s="9">
        <v>946400000</v>
      </c>
      <c r="G106" s="9">
        <v>679800000</v>
      </c>
      <c r="H106" s="9">
        <v>981800000</v>
      </c>
      <c r="I106" s="9">
        <v>1121900000</v>
      </c>
      <c r="J106" s="9">
        <v>483400000</v>
      </c>
      <c r="K106" s="9">
        <v>1088800000</v>
      </c>
      <c r="L106" s="9">
        <v>1120600000</v>
      </c>
      <c r="M106" s="9">
        <v>1023400000</v>
      </c>
      <c r="N106" s="9">
        <v>1419500000</v>
      </c>
    </row>
    <row r="107" spans="1:14" x14ac:dyDescent="0.3">
      <c r="A107" s="8" t="s">
        <v>248</v>
      </c>
      <c r="B107" s="8" t="s">
        <v>249</v>
      </c>
      <c r="C107" s="8" t="s">
        <v>206</v>
      </c>
      <c r="D107" s="8" t="s">
        <v>203</v>
      </c>
      <c r="E107" s="9">
        <v>1124000000</v>
      </c>
      <c r="F107" s="9">
        <v>921000000</v>
      </c>
      <c r="G107" s="9">
        <v>820000000</v>
      </c>
      <c r="H107" s="9">
        <v>730000000</v>
      </c>
      <c r="I107" s="9">
        <v>856000000</v>
      </c>
      <c r="J107" s="9">
        <v>957000000</v>
      </c>
      <c r="K107" s="9">
        <v>1157000000</v>
      </c>
      <c r="L107" s="9">
        <v>1547000000</v>
      </c>
      <c r="M107" s="9">
        <v>1663000000</v>
      </c>
      <c r="N107" s="9">
        <v>1671000000</v>
      </c>
    </row>
    <row r="108" spans="1:14" x14ac:dyDescent="0.3">
      <c r="A108" s="8" t="s">
        <v>250</v>
      </c>
      <c r="B108" s="8" t="s">
        <v>251</v>
      </c>
      <c r="C108" s="8" t="s">
        <v>206</v>
      </c>
      <c r="D108" s="8" t="s">
        <v>203</v>
      </c>
      <c r="E108" s="9">
        <v>1168000000</v>
      </c>
      <c r="F108" s="9">
        <v>1676000000</v>
      </c>
      <c r="G108" s="9">
        <v>1700000000</v>
      </c>
      <c r="H108" s="9">
        <v>1677000000</v>
      </c>
      <c r="I108" s="9">
        <v>1751000000</v>
      </c>
      <c r="J108" s="9">
        <v>632000000</v>
      </c>
      <c r="K108" s="9">
        <v>1844000000</v>
      </c>
      <c r="L108" s="9">
        <v>2001000000</v>
      </c>
      <c r="M108" s="9">
        <v>1983000000</v>
      </c>
      <c r="N108" s="9">
        <v>1884000000</v>
      </c>
    </row>
    <row r="109" spans="1:14" x14ac:dyDescent="0.3">
      <c r="A109" s="8" t="s">
        <v>252</v>
      </c>
      <c r="B109" s="8" t="s">
        <v>253</v>
      </c>
      <c r="C109" s="8" t="s">
        <v>206</v>
      </c>
      <c r="D109" s="8" t="s">
        <v>203</v>
      </c>
      <c r="E109" s="9">
        <v>437700000</v>
      </c>
      <c r="F109" s="9">
        <v>383100000</v>
      </c>
      <c r="G109" s="9">
        <v>329900000</v>
      </c>
      <c r="H109" s="9">
        <v>374200000</v>
      </c>
      <c r="I109" s="9">
        <v>872500000</v>
      </c>
      <c r="J109" s="9">
        <v>228400000</v>
      </c>
      <c r="K109" s="9">
        <v>554900000</v>
      </c>
      <c r="L109" s="9">
        <v>1076200000</v>
      </c>
      <c r="M109" s="9">
        <v>937000000</v>
      </c>
      <c r="N109" s="9">
        <v>1097000000</v>
      </c>
    </row>
    <row r="110" spans="1:14" x14ac:dyDescent="0.3">
      <c r="A110" s="8" t="s">
        <v>254</v>
      </c>
      <c r="B110" s="8" t="s">
        <v>110</v>
      </c>
      <c r="C110" s="8" t="s">
        <v>206</v>
      </c>
      <c r="D110" s="8" t="s">
        <v>203</v>
      </c>
      <c r="E110" s="9">
        <v>334000000</v>
      </c>
      <c r="F110" s="39">
        <v>1803000000</v>
      </c>
      <c r="G110" s="9">
        <v>3491000000</v>
      </c>
      <c r="H110" s="9">
        <v>3608000000</v>
      </c>
      <c r="I110" s="9">
        <v>6622000000</v>
      </c>
      <c r="J110" s="9">
        <v>29000000</v>
      </c>
      <c r="K110" s="39">
        <v>14200000000</v>
      </c>
      <c r="L110" s="9">
        <v>16799000000</v>
      </c>
      <c r="M110" s="9">
        <v>18596000000</v>
      </c>
      <c r="N110" s="9">
        <v>5473000000</v>
      </c>
    </row>
    <row r="111" spans="1:14" x14ac:dyDescent="0.3">
      <c r="A111" s="8" t="s">
        <v>255</v>
      </c>
      <c r="B111" s="8" t="s">
        <v>256</v>
      </c>
      <c r="C111" s="8" t="s">
        <v>206</v>
      </c>
      <c r="D111" s="8" t="s">
        <v>203</v>
      </c>
      <c r="E111" s="9">
        <v>861000000</v>
      </c>
      <c r="F111" s="9">
        <v>1235000000</v>
      </c>
      <c r="G111" s="9">
        <v>1393000000</v>
      </c>
      <c r="H111" s="9">
        <v>1577000000</v>
      </c>
      <c r="I111" s="9">
        <v>1455000000</v>
      </c>
      <c r="J111" s="9">
        <v>329000000</v>
      </c>
      <c r="K111" s="39">
        <v>1305000000</v>
      </c>
      <c r="L111" s="9">
        <v>1996000000</v>
      </c>
      <c r="M111" s="9">
        <v>2262000000</v>
      </c>
      <c r="N111" s="9">
        <v>1476000000</v>
      </c>
    </row>
    <row r="112" spans="1:14" x14ac:dyDescent="0.3">
      <c r="A112" s="8" t="s">
        <v>257</v>
      </c>
      <c r="B112" s="8" t="s">
        <v>258</v>
      </c>
      <c r="C112" s="8" t="s">
        <v>206</v>
      </c>
      <c r="D112" s="8" t="s">
        <v>203</v>
      </c>
      <c r="E112" s="9">
        <v>402178000</v>
      </c>
      <c r="F112" s="9">
        <v>447192000</v>
      </c>
      <c r="G112" s="9">
        <v>519400000</v>
      </c>
      <c r="H112" s="9">
        <v>569400000</v>
      </c>
      <c r="I112" s="9">
        <v>615300000</v>
      </c>
      <c r="J112" s="9">
        <v>491000000</v>
      </c>
      <c r="K112" s="9">
        <v>773700000</v>
      </c>
      <c r="L112" s="9">
        <v>931500000</v>
      </c>
      <c r="M112" s="9">
        <v>1050900000</v>
      </c>
      <c r="N112" s="9">
        <v>1200200000</v>
      </c>
    </row>
    <row r="113" spans="1:14" x14ac:dyDescent="0.3">
      <c r="A113" s="8" t="s">
        <v>259</v>
      </c>
      <c r="B113" s="8" t="s">
        <v>260</v>
      </c>
      <c r="C113" s="8" t="s">
        <v>206</v>
      </c>
      <c r="D113" s="8" t="s">
        <v>203</v>
      </c>
      <c r="E113" s="9">
        <v>3163000000</v>
      </c>
      <c r="F113" s="9">
        <v>3066000000</v>
      </c>
      <c r="G113" s="9">
        <v>3195000000</v>
      </c>
      <c r="H113" s="9">
        <v>3957000000</v>
      </c>
      <c r="I113" s="9">
        <v>4257000000</v>
      </c>
      <c r="J113" s="9">
        <v>2692000000</v>
      </c>
      <c r="K113" s="9">
        <v>5844000000</v>
      </c>
      <c r="L113" s="9">
        <v>5306000000</v>
      </c>
      <c r="M113" s="9">
        <v>6348000000</v>
      </c>
      <c r="N113" s="9">
        <v>7087000000</v>
      </c>
    </row>
    <row r="114" spans="1:14" x14ac:dyDescent="0.3">
      <c r="A114" s="8" t="s">
        <v>261</v>
      </c>
      <c r="B114" s="8" t="s">
        <v>262</v>
      </c>
      <c r="C114" s="8" t="s">
        <v>206</v>
      </c>
      <c r="D114" s="8" t="s">
        <v>203</v>
      </c>
      <c r="E114" s="9">
        <v>2334000000</v>
      </c>
      <c r="F114" s="9">
        <v>2409000000</v>
      </c>
      <c r="G114" s="9">
        <v>2439500000</v>
      </c>
      <c r="H114" s="9">
        <v>1031100000</v>
      </c>
      <c r="I114" s="9">
        <v>1103300000</v>
      </c>
      <c r="J114" s="39">
        <v>-7212600000</v>
      </c>
      <c r="K114" s="9">
        <v>-972100000</v>
      </c>
      <c r="L114" s="39">
        <v>178200000</v>
      </c>
      <c r="M114" s="39">
        <v>-1629100000</v>
      </c>
      <c r="N114" s="39">
        <v>146200000</v>
      </c>
    </row>
    <row r="115" spans="1:14" x14ac:dyDescent="0.3">
      <c r="A115" s="8" t="s">
        <v>263</v>
      </c>
      <c r="B115" s="8" t="s">
        <v>264</v>
      </c>
      <c r="C115" s="8" t="s">
        <v>206</v>
      </c>
      <c r="D115" s="8" t="s">
        <v>203</v>
      </c>
      <c r="E115" s="9">
        <v>200000000</v>
      </c>
      <c r="F115" s="9">
        <v>214000000</v>
      </c>
      <c r="G115" s="9">
        <v>312000000</v>
      </c>
      <c r="H115" s="9">
        <v>312000000</v>
      </c>
      <c r="I115" s="9">
        <v>400000000</v>
      </c>
      <c r="J115" s="9">
        <v>324000000</v>
      </c>
      <c r="K115" s="9">
        <v>557000000</v>
      </c>
      <c r="L115" s="9">
        <v>643000000</v>
      </c>
      <c r="M115" s="9">
        <v>592000000</v>
      </c>
      <c r="N115" s="9">
        <v>523000000</v>
      </c>
    </row>
    <row r="116" spans="1:14" x14ac:dyDescent="0.3">
      <c r="A116" s="8" t="s">
        <v>265</v>
      </c>
      <c r="B116" s="8" t="s">
        <v>266</v>
      </c>
      <c r="C116" s="8" t="s">
        <v>206</v>
      </c>
      <c r="D116" s="8" t="s">
        <v>203</v>
      </c>
      <c r="E116" s="9">
        <v>-714000000</v>
      </c>
      <c r="F116" s="9">
        <v>-179000000</v>
      </c>
      <c r="G116" s="39">
        <v>203000000</v>
      </c>
      <c r="H116" s="9">
        <v>53000000</v>
      </c>
      <c r="I116" s="39">
        <v>-184000000</v>
      </c>
      <c r="J116" s="39">
        <v>-675000000</v>
      </c>
      <c r="K116" s="39">
        <v>298000000</v>
      </c>
      <c r="L116" s="9">
        <v>740000000</v>
      </c>
      <c r="M116" s="9">
        <v>109000000</v>
      </c>
      <c r="N116" s="9">
        <v>14000000</v>
      </c>
    </row>
    <row r="117" spans="1:14" x14ac:dyDescent="0.3">
      <c r="A117" s="8" t="s">
        <v>267</v>
      </c>
      <c r="B117" s="8" t="s">
        <v>112</v>
      </c>
      <c r="C117" s="8" t="s">
        <v>206</v>
      </c>
      <c r="D117" s="8" t="s">
        <v>203</v>
      </c>
      <c r="E117" s="9">
        <v>104000000</v>
      </c>
      <c r="F117" s="9">
        <v>165000000</v>
      </c>
      <c r="G117" s="39">
        <v>802000000</v>
      </c>
      <c r="H117" s="9">
        <v>1287000000</v>
      </c>
      <c r="I117" s="9">
        <v>1032000000</v>
      </c>
      <c r="J117" s="9">
        <v>694000000</v>
      </c>
      <c r="K117" s="9">
        <v>1711000000</v>
      </c>
      <c r="L117" s="9">
        <v>4323000000</v>
      </c>
      <c r="M117" s="9">
        <v>4211000000</v>
      </c>
      <c r="N117" s="9"/>
    </row>
    <row r="118" spans="1:14" x14ac:dyDescent="0.3">
      <c r="A118" s="8" t="s">
        <v>269</v>
      </c>
      <c r="B118" s="8" t="s">
        <v>270</v>
      </c>
      <c r="C118" s="8" t="s">
        <v>206</v>
      </c>
      <c r="D118" s="8" t="s">
        <v>203</v>
      </c>
      <c r="E118" s="9">
        <v>2823000000</v>
      </c>
      <c r="F118" s="9">
        <v>3419000000</v>
      </c>
      <c r="G118" s="9">
        <v>5212000000</v>
      </c>
      <c r="H118" s="9">
        <v>3302000000</v>
      </c>
      <c r="I118" s="39">
        <v>-141000000</v>
      </c>
      <c r="J118" s="39">
        <v>-8008000000</v>
      </c>
      <c r="K118" s="39">
        <v>888000000</v>
      </c>
      <c r="L118" s="39">
        <v>-338000000</v>
      </c>
      <c r="M118" s="39">
        <v>2198000000</v>
      </c>
      <c r="N118" s="9">
        <v>752000000</v>
      </c>
    </row>
    <row r="119" spans="1:14" x14ac:dyDescent="0.3">
      <c r="A119" s="8" t="s">
        <v>271</v>
      </c>
      <c r="B119" s="8" t="s">
        <v>272</v>
      </c>
      <c r="C119" s="8" t="s">
        <v>206</v>
      </c>
      <c r="D119" s="8" t="s">
        <v>203</v>
      </c>
      <c r="E119" s="9">
        <v>700000000</v>
      </c>
      <c r="F119" s="9">
        <v>637000000</v>
      </c>
      <c r="G119" s="9">
        <v>723000000</v>
      </c>
      <c r="H119" s="9">
        <v>651000000</v>
      </c>
      <c r="I119" s="9">
        <v>665000000</v>
      </c>
      <c r="J119" s="39">
        <v>-319000000</v>
      </c>
      <c r="K119" s="39">
        <v>139000000</v>
      </c>
      <c r="L119" s="39">
        <v>695000000</v>
      </c>
      <c r="M119" s="9">
        <v>794000000</v>
      </c>
      <c r="N119" s="9">
        <v>168000000</v>
      </c>
    </row>
    <row r="120" spans="1:14" x14ac:dyDescent="0.3">
      <c r="A120" s="8" t="s">
        <v>273</v>
      </c>
      <c r="B120" s="8" t="s">
        <v>274</v>
      </c>
      <c r="C120" s="8" t="s">
        <v>206</v>
      </c>
      <c r="D120" s="8" t="s">
        <v>203</v>
      </c>
      <c r="E120" s="9">
        <v>980000000</v>
      </c>
      <c r="F120" s="9">
        <v>746000000</v>
      </c>
      <c r="G120" s="39">
        <v>-254000000</v>
      </c>
      <c r="H120" s="9">
        <v>-188000000</v>
      </c>
      <c r="I120" s="39">
        <v>1129000000</v>
      </c>
      <c r="J120" s="9">
        <v>641000000</v>
      </c>
      <c r="K120" s="9">
        <v>1072000000</v>
      </c>
      <c r="L120" s="9">
        <v>1348000000</v>
      </c>
      <c r="M120" s="9">
        <v>1659000000</v>
      </c>
      <c r="N120" s="9">
        <v>723000000</v>
      </c>
    </row>
    <row r="121" spans="1:14" x14ac:dyDescent="0.3">
      <c r="A121" s="8" t="s">
        <v>275</v>
      </c>
      <c r="B121" s="8" t="s">
        <v>276</v>
      </c>
      <c r="C121" s="8" t="s">
        <v>206</v>
      </c>
      <c r="D121" s="8" t="s">
        <v>203</v>
      </c>
      <c r="E121" s="9">
        <v>177000000</v>
      </c>
      <c r="F121" s="9">
        <v>180000000</v>
      </c>
      <c r="G121" s="9">
        <v>241000000</v>
      </c>
      <c r="H121" s="9">
        <v>254000000</v>
      </c>
      <c r="I121" s="9">
        <v>312000000</v>
      </c>
      <c r="J121" s="9">
        <v>238000000</v>
      </c>
      <c r="K121" s="9">
        <v>313000000</v>
      </c>
      <c r="L121" s="9">
        <v>386000000</v>
      </c>
      <c r="M121" s="9">
        <v>267000000</v>
      </c>
      <c r="N121" s="9">
        <v>507000000</v>
      </c>
    </row>
    <row r="122" spans="1:14" x14ac:dyDescent="0.3">
      <c r="A122" s="8" t="s">
        <v>277</v>
      </c>
      <c r="B122" s="8" t="s">
        <v>278</v>
      </c>
      <c r="C122" s="8" t="s">
        <v>206</v>
      </c>
      <c r="D122" s="8" t="s">
        <v>203</v>
      </c>
      <c r="E122" s="9">
        <v>110500000</v>
      </c>
      <c r="F122" s="9">
        <v>179100000</v>
      </c>
      <c r="G122" s="9">
        <v>238100000</v>
      </c>
      <c r="H122" s="9">
        <v>256600000</v>
      </c>
      <c r="I122" s="9">
        <v>272800000</v>
      </c>
      <c r="J122" s="9">
        <v>404400000</v>
      </c>
      <c r="K122" s="9">
        <v>601100000</v>
      </c>
      <c r="L122" s="9">
        <v>452400000</v>
      </c>
      <c r="M122" s="9">
        <v>357600000</v>
      </c>
      <c r="N122" s="9">
        <v>432200000</v>
      </c>
    </row>
    <row r="123" spans="1:14" x14ac:dyDescent="0.3">
      <c r="A123" s="6" t="s">
        <v>279</v>
      </c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x14ac:dyDescent="0.3">
      <c r="A124" s="8" t="s">
        <v>280</v>
      </c>
      <c r="B124" s="8" t="s">
        <v>281</v>
      </c>
      <c r="C124" s="8" t="s">
        <v>282</v>
      </c>
      <c r="D124" s="8" t="s">
        <v>279</v>
      </c>
      <c r="E124" s="9">
        <v>2500548000</v>
      </c>
      <c r="F124" s="9">
        <v>2874584000</v>
      </c>
      <c r="G124" s="9">
        <v>3156957000</v>
      </c>
      <c r="H124" s="9">
        <v>3368000000</v>
      </c>
      <c r="I124" s="9">
        <v>3444000000</v>
      </c>
      <c r="J124" s="9">
        <v>3639000000</v>
      </c>
      <c r="K124" s="9">
        <v>1106000000</v>
      </c>
      <c r="L124" s="9">
        <v>3243000000</v>
      </c>
      <c r="M124" s="9">
        <v>4130000000</v>
      </c>
      <c r="N124" s="9">
        <v>5381000000</v>
      </c>
    </row>
    <row r="125" spans="1:14" x14ac:dyDescent="0.3">
      <c r="A125" s="8" t="s">
        <v>283</v>
      </c>
      <c r="B125" s="8" t="s">
        <v>284</v>
      </c>
      <c r="C125" s="8" t="s">
        <v>282</v>
      </c>
      <c r="D125" s="8" t="s">
        <v>279</v>
      </c>
      <c r="E125" s="9">
        <v>6566000000</v>
      </c>
      <c r="F125" s="9">
        <v>6204000000</v>
      </c>
      <c r="G125" s="9">
        <v>6619000000</v>
      </c>
      <c r="H125" s="9">
        <v>7810000000</v>
      </c>
      <c r="I125" s="9">
        <v>6515000000</v>
      </c>
      <c r="J125" s="39">
        <v>-8771000000</v>
      </c>
      <c r="K125" s="39">
        <v>8124000000</v>
      </c>
      <c r="L125" s="9">
        <v>9605000000</v>
      </c>
      <c r="M125" s="9">
        <v>11076000000</v>
      </c>
      <c r="N125" s="9">
        <v>12574000000</v>
      </c>
    </row>
    <row r="126" spans="1:14" x14ac:dyDescent="0.3">
      <c r="A126" s="8" t="s">
        <v>285</v>
      </c>
      <c r="B126" s="8" t="s">
        <v>286</v>
      </c>
      <c r="C126" s="8" t="s">
        <v>282</v>
      </c>
      <c r="D126" s="8" t="s">
        <v>279</v>
      </c>
      <c r="E126" s="9">
        <v>2443033000</v>
      </c>
      <c r="F126" s="9">
        <v>2727931000</v>
      </c>
      <c r="G126" s="9">
        <v>2803994000</v>
      </c>
      <c r="H126" s="9">
        <v>3014052000</v>
      </c>
      <c r="I126" s="9">
        <v>3406311000</v>
      </c>
      <c r="J126" s="9">
        <v>3611000000</v>
      </c>
      <c r="K126" s="9">
        <v>3885000000</v>
      </c>
      <c r="L126" s="9">
        <v>4339000000</v>
      </c>
      <c r="M126" s="9">
        <v>4803000000</v>
      </c>
      <c r="N126" s="9">
        <v>5612000000</v>
      </c>
    </row>
    <row r="127" spans="1:14" x14ac:dyDescent="0.3">
      <c r="A127" s="8" t="s">
        <v>287</v>
      </c>
      <c r="B127" s="8" t="s">
        <v>288</v>
      </c>
      <c r="C127" s="8" t="s">
        <v>282</v>
      </c>
      <c r="D127" s="8" t="s">
        <v>279</v>
      </c>
      <c r="E127" s="9">
        <v>2642000000</v>
      </c>
      <c r="F127" s="9">
        <v>3475000000</v>
      </c>
      <c r="G127" s="9">
        <v>3514000000</v>
      </c>
      <c r="H127" s="9">
        <v>5400000000</v>
      </c>
      <c r="I127" s="9">
        <v>3512000000</v>
      </c>
      <c r="J127" s="9">
        <v>1305000000</v>
      </c>
      <c r="K127" s="39">
        <v>4653000000</v>
      </c>
      <c r="L127" s="9">
        <v>6358000000</v>
      </c>
      <c r="M127" s="9">
        <v>8019000000</v>
      </c>
      <c r="N127" s="9">
        <v>10054000000</v>
      </c>
    </row>
    <row r="128" spans="1:14" x14ac:dyDescent="0.3">
      <c r="A128" s="8" t="s">
        <v>289</v>
      </c>
      <c r="B128" s="8" t="s">
        <v>290</v>
      </c>
      <c r="C128" s="8" t="s">
        <v>282</v>
      </c>
      <c r="D128" s="8" t="s">
        <v>279</v>
      </c>
      <c r="E128" s="9">
        <v>2745000000</v>
      </c>
      <c r="F128" s="9">
        <v>2369000000</v>
      </c>
      <c r="G128" s="9">
        <v>3132000000</v>
      </c>
      <c r="H128" s="9">
        <v>3331000000</v>
      </c>
      <c r="I128" s="9">
        <v>1664000000</v>
      </c>
      <c r="J128" s="9">
        <v>1582000000</v>
      </c>
      <c r="K128" s="39">
        <v>8137000000</v>
      </c>
      <c r="L128" s="9">
        <v>2011000000</v>
      </c>
      <c r="M128" s="39">
        <v>-892000000</v>
      </c>
      <c r="N128" s="9">
        <v>-49000000</v>
      </c>
    </row>
    <row r="129" spans="1:14" x14ac:dyDescent="0.3">
      <c r="A129" s="8" t="s">
        <v>291</v>
      </c>
      <c r="B129" s="8" t="s">
        <v>292</v>
      </c>
      <c r="C129" s="8" t="s">
        <v>282</v>
      </c>
      <c r="D129" s="8" t="s">
        <v>279</v>
      </c>
      <c r="E129" s="9">
        <v>720000000</v>
      </c>
      <c r="F129" s="9">
        <v>376000000</v>
      </c>
      <c r="G129" s="9">
        <v>454000000</v>
      </c>
      <c r="H129" s="39">
        <v>-448000000</v>
      </c>
      <c r="I129" s="39">
        <v>268000000</v>
      </c>
      <c r="J129" s="39">
        <v>-424000000</v>
      </c>
      <c r="K129" s="39">
        <v>1198000000</v>
      </c>
      <c r="L129" s="9">
        <v>188000000</v>
      </c>
      <c r="M129" s="9">
        <v>460000000</v>
      </c>
      <c r="N129" s="39">
        <v>3239000000</v>
      </c>
    </row>
    <row r="130" spans="1:14" x14ac:dyDescent="0.3">
      <c r="A130" s="8" t="s">
        <v>293</v>
      </c>
      <c r="B130" s="8" t="s">
        <v>294</v>
      </c>
      <c r="C130" s="8" t="s">
        <v>282</v>
      </c>
      <c r="D130" s="8" t="s">
        <v>279</v>
      </c>
      <c r="E130" s="9">
        <v>814460000</v>
      </c>
      <c r="F130" s="9">
        <v>1047004000</v>
      </c>
      <c r="G130" s="9">
        <v>1684000000</v>
      </c>
      <c r="H130" s="9">
        <v>1985000000</v>
      </c>
      <c r="I130" s="9">
        <v>1705000000</v>
      </c>
      <c r="J130" s="9">
        <v>1381000000</v>
      </c>
      <c r="K130" s="39">
        <v>5226000000</v>
      </c>
      <c r="L130" s="9">
        <v>3129000000</v>
      </c>
      <c r="M130" s="9">
        <v>4816000000</v>
      </c>
      <c r="N130" s="9">
        <v>5787000000</v>
      </c>
    </row>
    <row r="131" spans="1:14" x14ac:dyDescent="0.3">
      <c r="A131" s="8" t="s">
        <v>295</v>
      </c>
      <c r="B131" s="8" t="s">
        <v>296</v>
      </c>
      <c r="C131" s="8" t="s">
        <v>282</v>
      </c>
      <c r="D131" s="8" t="s">
        <v>279</v>
      </c>
      <c r="E131" s="9">
        <v>683937000</v>
      </c>
      <c r="F131" s="9">
        <v>825500000</v>
      </c>
      <c r="G131" s="9">
        <v>1002900000</v>
      </c>
      <c r="H131" s="9">
        <v>1002400000</v>
      </c>
      <c r="I131" s="9">
        <v>1113100000</v>
      </c>
      <c r="J131" s="39">
        <v>-625400000</v>
      </c>
      <c r="K131" s="9">
        <v>-142400000</v>
      </c>
      <c r="L131" s="39">
        <v>664400000</v>
      </c>
      <c r="M131" s="9">
        <v>1117600000</v>
      </c>
      <c r="N131" s="9">
        <v>1253000000</v>
      </c>
    </row>
    <row r="132" spans="1:14" x14ac:dyDescent="0.3">
      <c r="A132" s="8" t="s">
        <v>297</v>
      </c>
      <c r="B132" s="8" t="s">
        <v>298</v>
      </c>
      <c r="C132" s="8" t="s">
        <v>282</v>
      </c>
      <c r="D132" s="8" t="s">
        <v>279</v>
      </c>
      <c r="E132" s="9">
        <v>-1398000000</v>
      </c>
      <c r="F132" s="39">
        <v>1736000000</v>
      </c>
      <c r="G132" s="9">
        <v>2121000000</v>
      </c>
      <c r="H132" s="9">
        <v>2341000000</v>
      </c>
      <c r="I132" s="39">
        <v>-3816000000</v>
      </c>
      <c r="J132" s="9">
        <v>-3289000000</v>
      </c>
      <c r="K132" s="39">
        <v>2499000000</v>
      </c>
      <c r="L132" s="9">
        <v>4251000000</v>
      </c>
      <c r="M132" s="9">
        <v>3168000000</v>
      </c>
      <c r="N132" s="9">
        <v>1756000000</v>
      </c>
    </row>
    <row r="133" spans="1:14" x14ac:dyDescent="0.3">
      <c r="A133" s="8" t="s">
        <v>299</v>
      </c>
      <c r="B133" s="8" t="s">
        <v>300</v>
      </c>
      <c r="C133" s="8" t="s">
        <v>282</v>
      </c>
      <c r="D133" s="8" t="s">
        <v>279</v>
      </c>
      <c r="E133" s="9"/>
      <c r="F133" s="9">
        <v>1164149000</v>
      </c>
      <c r="G133" s="9">
        <v>1232005000</v>
      </c>
      <c r="H133" s="9">
        <v>1327882000</v>
      </c>
      <c r="I133" s="9">
        <v>1442022000</v>
      </c>
      <c r="J133" s="39">
        <v>-160748000</v>
      </c>
      <c r="K133" s="9">
        <v>-89584000</v>
      </c>
      <c r="L133" s="39">
        <v>901499000</v>
      </c>
      <c r="M133" s="9">
        <v>1630814000</v>
      </c>
      <c r="N133" s="9">
        <v>1934224000</v>
      </c>
    </row>
    <row r="134" spans="1:14" x14ac:dyDescent="0.3">
      <c r="A134" s="8" t="s">
        <v>301</v>
      </c>
      <c r="B134" s="8" t="s">
        <v>302</v>
      </c>
      <c r="C134" s="8" t="s">
        <v>282</v>
      </c>
      <c r="D134" s="8" t="s">
        <v>279</v>
      </c>
      <c r="E134" s="9">
        <v>412662000</v>
      </c>
      <c r="F134" s="9">
        <v>417222000</v>
      </c>
      <c r="G134" s="9">
        <v>490837000</v>
      </c>
      <c r="H134" s="9">
        <v>442626000</v>
      </c>
      <c r="I134" s="9">
        <v>422618000</v>
      </c>
      <c r="J134" s="9">
        <v>444002000</v>
      </c>
      <c r="K134" s="9">
        <v>403826000</v>
      </c>
      <c r="L134" s="9">
        <v>375774000</v>
      </c>
      <c r="M134" s="9">
        <v>342528000</v>
      </c>
      <c r="N134" s="39">
        <v>-299309000</v>
      </c>
    </row>
    <row r="135" spans="1:14" x14ac:dyDescent="0.3">
      <c r="A135" s="8" t="s">
        <v>303</v>
      </c>
      <c r="B135" s="8" t="s">
        <v>304</v>
      </c>
      <c r="C135" s="8" t="s">
        <v>282</v>
      </c>
      <c r="D135" s="8" t="s">
        <v>279</v>
      </c>
      <c r="E135" s="9">
        <v>606013000</v>
      </c>
      <c r="F135" s="9">
        <v>636920000</v>
      </c>
      <c r="G135" s="9">
        <v>669836000</v>
      </c>
      <c r="H135" s="9">
        <v>704558000</v>
      </c>
      <c r="I135" s="9">
        <v>714752000</v>
      </c>
      <c r="J135" s="9">
        <v>621185000</v>
      </c>
      <c r="K135" s="9">
        <v>680627000</v>
      </c>
      <c r="L135" s="9">
        <v>664731000</v>
      </c>
      <c r="M135" s="9">
        <v>689640000</v>
      </c>
      <c r="N135" s="9">
        <v>368438000</v>
      </c>
    </row>
    <row r="136" spans="1:14" x14ac:dyDescent="0.3">
      <c r="A136" s="8" t="s">
        <v>305</v>
      </c>
      <c r="B136" s="8" t="s">
        <v>306</v>
      </c>
      <c r="C136" s="8" t="s">
        <v>282</v>
      </c>
      <c r="D136" s="8" t="s">
        <v>279</v>
      </c>
      <c r="E136" s="9">
        <v>708770000</v>
      </c>
      <c r="F136" s="9">
        <v>775450000</v>
      </c>
      <c r="G136" s="9">
        <v>700510000</v>
      </c>
      <c r="H136" s="9">
        <v>528660000</v>
      </c>
      <c r="I136" s="9">
        <v>609200000</v>
      </c>
      <c r="J136" s="9">
        <v>526500000</v>
      </c>
      <c r="K136" s="9">
        <v>765200000</v>
      </c>
      <c r="L136" s="9">
        <v>563600000</v>
      </c>
      <c r="M136" s="9">
        <v>677200000</v>
      </c>
      <c r="N136" s="9">
        <v>967500000</v>
      </c>
    </row>
    <row r="137" spans="1:14" x14ac:dyDescent="0.3">
      <c r="A137" s="8" t="s">
        <v>307</v>
      </c>
      <c r="B137" s="8" t="s">
        <v>308</v>
      </c>
      <c r="C137" s="8" t="s">
        <v>282</v>
      </c>
      <c r="D137" s="8" t="s">
        <v>279</v>
      </c>
      <c r="E137" s="9">
        <v>207324000</v>
      </c>
      <c r="F137" s="9">
        <v>351981000</v>
      </c>
      <c r="G137" s="9">
        <v>220131000</v>
      </c>
      <c r="H137" s="9">
        <v>328030000</v>
      </c>
      <c r="I137" s="9">
        <v>351678000</v>
      </c>
      <c r="J137" s="9">
        <v>387052000</v>
      </c>
      <c r="K137" s="9">
        <v>332000000</v>
      </c>
      <c r="L137" s="9">
        <v>615000000</v>
      </c>
      <c r="M137" s="9">
        <v>541000000</v>
      </c>
      <c r="N137" s="9">
        <v>422000000</v>
      </c>
    </row>
    <row r="138" spans="1:14" x14ac:dyDescent="0.3">
      <c r="A138" s="8" t="s">
        <v>309</v>
      </c>
      <c r="B138" s="8" t="s">
        <v>310</v>
      </c>
      <c r="C138" s="8" t="s">
        <v>282</v>
      </c>
      <c r="D138" s="8" t="s">
        <v>279</v>
      </c>
      <c r="E138" s="9">
        <v>725322000</v>
      </c>
      <c r="F138" s="9">
        <v>751016000</v>
      </c>
      <c r="G138" s="9">
        <v>802010000</v>
      </c>
      <c r="H138" s="9">
        <v>915578000</v>
      </c>
      <c r="I138" s="9">
        <v>715668000</v>
      </c>
      <c r="J138" s="9">
        <v>574005000</v>
      </c>
      <c r="K138" s="39">
        <v>3045413000</v>
      </c>
      <c r="L138" s="9">
        <v>668227000</v>
      </c>
      <c r="M138" s="9">
        <v>780123000</v>
      </c>
      <c r="N138" s="9">
        <v>827580000</v>
      </c>
    </row>
    <row r="139" spans="1:14" x14ac:dyDescent="0.3">
      <c r="A139" s="8" t="s">
        <v>311</v>
      </c>
      <c r="B139" s="8" t="s">
        <v>312</v>
      </c>
      <c r="C139" s="8" t="s">
        <v>282</v>
      </c>
      <c r="D139" s="8" t="s">
        <v>279</v>
      </c>
      <c r="E139" s="9">
        <v>532145000</v>
      </c>
      <c r="F139" s="9">
        <v>545456000</v>
      </c>
      <c r="G139" s="9">
        <v>662700000</v>
      </c>
      <c r="H139" s="9">
        <v>596642000</v>
      </c>
      <c r="I139" s="9">
        <v>625146000</v>
      </c>
      <c r="J139" s="9">
        <v>618546000</v>
      </c>
      <c r="K139" s="9">
        <v>265327000</v>
      </c>
      <c r="L139" s="9">
        <v>208279000</v>
      </c>
      <c r="M139" s="9">
        <v>59315000</v>
      </c>
      <c r="N139" s="9">
        <v>156920000</v>
      </c>
    </row>
    <row r="140" spans="1:14" x14ac:dyDescent="0.3">
      <c r="A140" s="8" t="s">
        <v>313</v>
      </c>
      <c r="B140" s="8" t="s">
        <v>314</v>
      </c>
      <c r="C140" s="8" t="s">
        <v>282</v>
      </c>
      <c r="D140" s="8" t="s">
        <v>279</v>
      </c>
      <c r="E140" s="9"/>
      <c r="F140" s="9">
        <v>39817000</v>
      </c>
      <c r="G140" s="9">
        <v>32933000</v>
      </c>
      <c r="H140" s="39">
        <v>-14983000</v>
      </c>
      <c r="I140" s="9">
        <v>-18503000</v>
      </c>
      <c r="J140" s="39">
        <v>-135425000</v>
      </c>
      <c r="K140" s="9">
        <v>-362539000</v>
      </c>
      <c r="L140" s="9">
        <v>-297058000</v>
      </c>
      <c r="M140" s="9">
        <v>-297220000</v>
      </c>
      <c r="N140" s="9">
        <v>-28043000</v>
      </c>
    </row>
    <row r="141" spans="1:14" x14ac:dyDescent="0.3">
      <c r="A141" s="8" t="s">
        <v>315</v>
      </c>
      <c r="B141" s="8" t="s">
        <v>316</v>
      </c>
      <c r="C141" s="8" t="s">
        <v>282</v>
      </c>
      <c r="D141" s="8" t="s">
        <v>279</v>
      </c>
      <c r="E141" s="9">
        <v>1495000000</v>
      </c>
      <c r="F141" s="9">
        <v>1931000000</v>
      </c>
      <c r="G141" s="9">
        <v>1989000000</v>
      </c>
      <c r="H141" s="9">
        <v>2885000000</v>
      </c>
      <c r="I141" s="9">
        <v>1715000000</v>
      </c>
      <c r="J141" s="39">
        <v>-6935000000</v>
      </c>
      <c r="K141" s="9">
        <v>-2933000000</v>
      </c>
      <c r="L141" s="39">
        <v>431000000</v>
      </c>
      <c r="M141" s="39">
        <v>2655000000</v>
      </c>
      <c r="N141" s="9">
        <v>2732000000</v>
      </c>
    </row>
    <row r="142" spans="1:14" x14ac:dyDescent="0.3">
      <c r="A142" s="8" t="s">
        <v>317</v>
      </c>
      <c r="B142" s="8" t="s">
        <v>318</v>
      </c>
      <c r="C142" s="8" t="s">
        <v>282</v>
      </c>
      <c r="D142" s="8" t="s">
        <v>279</v>
      </c>
      <c r="E142" s="9">
        <v>49078000</v>
      </c>
      <c r="F142" s="39">
        <v>582645000</v>
      </c>
      <c r="G142" s="9">
        <v>1100418000</v>
      </c>
      <c r="H142" s="9">
        <v>854878000</v>
      </c>
      <c r="I142" s="9">
        <v>563639000</v>
      </c>
      <c r="J142" s="9">
        <v>56358000</v>
      </c>
      <c r="K142" s="39">
        <v>512217000</v>
      </c>
      <c r="L142" s="9">
        <v>263087000</v>
      </c>
      <c r="M142" s="39">
        <v>-83497000</v>
      </c>
      <c r="N142" s="39">
        <v>283759000</v>
      </c>
    </row>
    <row r="143" spans="1:14" x14ac:dyDescent="0.3">
      <c r="A143" s="8" t="s">
        <v>319</v>
      </c>
      <c r="B143" s="8" t="s">
        <v>268</v>
      </c>
      <c r="C143" s="8" t="s">
        <v>282</v>
      </c>
      <c r="D143" s="8" t="s">
        <v>279</v>
      </c>
      <c r="E143" s="9">
        <v>-7946000000</v>
      </c>
      <c r="F143" s="39">
        <v>1779000000</v>
      </c>
      <c r="G143" s="9">
        <v>4568000000</v>
      </c>
      <c r="H143" s="9">
        <v>5149000000</v>
      </c>
      <c r="I143" s="39">
        <v>-2391000000</v>
      </c>
      <c r="J143" s="9">
        <v>-578000000</v>
      </c>
      <c r="K143" s="39">
        <v>20485000000</v>
      </c>
      <c r="L143" s="9">
        <v>9302000000</v>
      </c>
      <c r="M143" s="9">
        <v>919000000</v>
      </c>
      <c r="N143" s="9">
        <v>1339000000</v>
      </c>
    </row>
    <row r="144" spans="1:14" x14ac:dyDescent="0.3">
      <c r="A144" s="8" t="s">
        <v>320</v>
      </c>
      <c r="B144" s="8" t="s">
        <v>321</v>
      </c>
      <c r="C144" s="8" t="s">
        <v>282</v>
      </c>
      <c r="D144" s="8" t="s">
        <v>279</v>
      </c>
      <c r="E144" s="9">
        <v>708441000</v>
      </c>
      <c r="F144" s="9">
        <v>710432000</v>
      </c>
      <c r="G144" s="9">
        <v>801466000</v>
      </c>
      <c r="H144" s="9">
        <v>328102000</v>
      </c>
      <c r="I144" s="9">
        <v>767822000</v>
      </c>
      <c r="J144" s="9">
        <v>2002000</v>
      </c>
      <c r="K144" s="39">
        <v>530238000</v>
      </c>
      <c r="L144" s="9">
        <v>889392000</v>
      </c>
      <c r="M144" s="9">
        <v>1332000000</v>
      </c>
      <c r="N144" s="9">
        <v>1827000000</v>
      </c>
    </row>
    <row r="145" spans="1:14" x14ac:dyDescent="0.3">
      <c r="A145" s="8" t="s">
        <v>322</v>
      </c>
      <c r="B145" s="8" t="s">
        <v>323</v>
      </c>
      <c r="C145" s="8" t="s">
        <v>282</v>
      </c>
      <c r="D145" s="8" t="s">
        <v>279</v>
      </c>
      <c r="E145" s="9">
        <v>1502000000</v>
      </c>
      <c r="F145" s="9">
        <v>1347000000</v>
      </c>
      <c r="G145" s="9">
        <v>1360000000</v>
      </c>
      <c r="H145" s="39">
        <v>-2822000000</v>
      </c>
      <c r="I145" s="39">
        <v>1401000000</v>
      </c>
      <c r="J145" s="39">
        <v>-55000000</v>
      </c>
      <c r="K145" s="39">
        <v>1214000000</v>
      </c>
      <c r="L145" s="9">
        <v>1649000000</v>
      </c>
      <c r="M145" s="9">
        <v>1986000000</v>
      </c>
      <c r="N145" s="9">
        <v>1901000000</v>
      </c>
    </row>
    <row r="146" spans="1:14" x14ac:dyDescent="0.3">
      <c r="A146" s="8" t="s">
        <v>324</v>
      </c>
      <c r="B146" s="8" t="s">
        <v>325</v>
      </c>
      <c r="C146" s="8" t="s">
        <v>282</v>
      </c>
      <c r="D146" s="8" t="s">
        <v>279</v>
      </c>
      <c r="E146" s="9">
        <v>415413000</v>
      </c>
      <c r="F146" s="9">
        <v>273647000</v>
      </c>
      <c r="G146" s="9">
        <v>682523000</v>
      </c>
      <c r="H146" s="9">
        <v>524763000</v>
      </c>
      <c r="I146" s="9">
        <v>826799000</v>
      </c>
      <c r="J146" s="9">
        <v>62817000</v>
      </c>
      <c r="K146" s="39">
        <v>473842000</v>
      </c>
      <c r="L146" s="9">
        <v>49618000</v>
      </c>
      <c r="M146" s="39">
        <v>-1018973000</v>
      </c>
      <c r="N146" s="39">
        <v>307395000</v>
      </c>
    </row>
    <row r="147" spans="1:14" x14ac:dyDescent="0.3">
      <c r="A147" s="8" t="s">
        <v>326</v>
      </c>
      <c r="B147" s="8" t="s">
        <v>327</v>
      </c>
      <c r="C147" s="8" t="s">
        <v>282</v>
      </c>
      <c r="D147" s="8" t="s">
        <v>279</v>
      </c>
      <c r="E147" s="9">
        <v>109193000</v>
      </c>
      <c r="F147" s="9">
        <v>132079000</v>
      </c>
      <c r="G147" s="9">
        <v>153862000</v>
      </c>
      <c r="H147" s="9">
        <v>156706000</v>
      </c>
      <c r="I147" s="9">
        <v>164626000</v>
      </c>
      <c r="J147" s="9">
        <v>157184000</v>
      </c>
      <c r="K147" s="9">
        <v>173961000</v>
      </c>
      <c r="L147" s="9">
        <v>198848000</v>
      </c>
      <c r="M147" s="9">
        <v>272254000</v>
      </c>
      <c r="N147" s="9">
        <v>308235000</v>
      </c>
    </row>
    <row r="148" spans="1:14" x14ac:dyDescent="0.3">
      <c r="A148" s="8" t="s">
        <v>328</v>
      </c>
      <c r="B148" s="8" t="s">
        <v>329</v>
      </c>
      <c r="C148" s="8" t="s">
        <v>282</v>
      </c>
      <c r="D148" s="8" t="s">
        <v>279</v>
      </c>
      <c r="E148" s="9">
        <v>370006000</v>
      </c>
      <c r="F148" s="9">
        <v>120242000</v>
      </c>
      <c r="G148" s="9">
        <v>130644000</v>
      </c>
      <c r="H148" s="9">
        <v>208428000</v>
      </c>
      <c r="I148" s="39">
        <v>-273187000</v>
      </c>
      <c r="J148" s="39">
        <v>35697000</v>
      </c>
      <c r="K148" s="39">
        <v>-189182000</v>
      </c>
      <c r="L148" s="39">
        <v>110516000</v>
      </c>
      <c r="M148" s="9">
        <v>153222000</v>
      </c>
      <c r="N148" s="9">
        <v>113373000</v>
      </c>
    </row>
    <row r="149" spans="1:14" x14ac:dyDescent="0.3">
      <c r="A149" s="8" t="s">
        <v>330</v>
      </c>
      <c r="B149" s="8" t="s">
        <v>331</v>
      </c>
      <c r="C149" s="8" t="s">
        <v>282</v>
      </c>
      <c r="D149" s="8" t="s">
        <v>279</v>
      </c>
      <c r="E149" s="9"/>
      <c r="F149" s="9"/>
      <c r="G149" s="9"/>
      <c r="H149" s="9">
        <v>152550000</v>
      </c>
      <c r="I149" s="9">
        <v>172281000</v>
      </c>
      <c r="J149" s="9">
        <v>77831000</v>
      </c>
      <c r="K149" s="39">
        <v>1113202000</v>
      </c>
      <c r="L149" s="9">
        <v>277576000</v>
      </c>
      <c r="M149" s="9">
        <v>266703000</v>
      </c>
      <c r="N149" s="9">
        <v>573334000</v>
      </c>
    </row>
    <row r="150" spans="1:14" x14ac:dyDescent="0.3">
      <c r="A150" s="8" t="s">
        <v>332</v>
      </c>
      <c r="B150" s="8" t="s">
        <v>333</v>
      </c>
      <c r="C150" s="8" t="s">
        <v>282</v>
      </c>
      <c r="D150" s="8" t="s">
        <v>279</v>
      </c>
      <c r="E150" s="9">
        <v>6588000</v>
      </c>
      <c r="F150" s="39">
        <v>-24082000</v>
      </c>
      <c r="G150" s="9">
        <v>-26745000</v>
      </c>
      <c r="H150" s="9">
        <v>-5535000</v>
      </c>
      <c r="I150" s="9">
        <v>-9180000</v>
      </c>
      <c r="J150" s="39">
        <v>137262000</v>
      </c>
      <c r="K150" s="9">
        <v>92859000</v>
      </c>
      <c r="L150" s="9">
        <v>49356000</v>
      </c>
      <c r="M150" s="9">
        <v>1137000</v>
      </c>
      <c r="N150" s="39">
        <v>26125000</v>
      </c>
    </row>
    <row r="151" spans="1:14" x14ac:dyDescent="0.3">
      <c r="A151" s="8" t="s">
        <v>334</v>
      </c>
      <c r="B151" s="8" t="s">
        <v>335</v>
      </c>
      <c r="C151" s="8" t="s">
        <v>282</v>
      </c>
      <c r="D151" s="8" t="s">
        <v>279</v>
      </c>
      <c r="E151" s="9">
        <v>375920000</v>
      </c>
      <c r="F151" s="9">
        <v>490109000</v>
      </c>
      <c r="G151" s="9">
        <v>495207000</v>
      </c>
      <c r="H151" s="9">
        <v>526398000</v>
      </c>
      <c r="I151" s="9">
        <v>550665000</v>
      </c>
      <c r="J151" s="9">
        <v>317123000</v>
      </c>
      <c r="K151" s="39">
        <v>1333108000</v>
      </c>
      <c r="L151" s="9">
        <v>560203000</v>
      </c>
      <c r="M151" s="9">
        <v>844787000</v>
      </c>
      <c r="N151" s="9">
        <v>952971000</v>
      </c>
    </row>
    <row r="152" spans="1:14" x14ac:dyDescent="0.3">
      <c r="A152" s="8" t="s">
        <v>336</v>
      </c>
      <c r="B152" s="8" t="s">
        <v>337</v>
      </c>
      <c r="C152" s="8" t="s">
        <v>282</v>
      </c>
      <c r="D152" s="8" t="s">
        <v>279</v>
      </c>
      <c r="E152" s="9">
        <v>42891000</v>
      </c>
      <c r="F152" s="9">
        <v>80320000</v>
      </c>
      <c r="G152" s="9">
        <v>234144000</v>
      </c>
      <c r="H152" s="9">
        <v>237086000</v>
      </c>
      <c r="I152" s="39">
        <v>-59545000</v>
      </c>
      <c r="J152" s="39">
        <v>49049000</v>
      </c>
      <c r="K152" s="39">
        <v>571882000</v>
      </c>
      <c r="L152" s="9">
        <v>556054000</v>
      </c>
      <c r="M152" s="9">
        <v>228128000</v>
      </c>
      <c r="N152" s="9">
        <v>224946000</v>
      </c>
    </row>
    <row r="153" spans="1:14" x14ac:dyDescent="0.3">
      <c r="A153" s="8" t="s">
        <v>338</v>
      </c>
      <c r="B153" s="8" t="s">
        <v>339</v>
      </c>
      <c r="C153" s="8" t="s">
        <v>282</v>
      </c>
      <c r="D153" s="8" t="s">
        <v>279</v>
      </c>
      <c r="E153" s="9">
        <v>19809000</v>
      </c>
      <c r="F153" s="9">
        <v>26089000</v>
      </c>
      <c r="G153" s="9">
        <v>17241000</v>
      </c>
      <c r="H153" s="9">
        <v>17895000</v>
      </c>
      <c r="I153" s="9">
        <v>39273000</v>
      </c>
      <c r="J153" s="9">
        <v>61057000</v>
      </c>
      <c r="K153" s="9">
        <v>153077000</v>
      </c>
      <c r="L153" s="9">
        <v>199669000</v>
      </c>
      <c r="M153" s="9">
        <v>170335000</v>
      </c>
      <c r="N153" s="9">
        <v>136881000</v>
      </c>
    </row>
    <row r="154" spans="1:14" x14ac:dyDescent="0.3">
      <c r="A154" s="8" t="s">
        <v>340</v>
      </c>
      <c r="B154" s="8" t="s">
        <v>341</v>
      </c>
      <c r="C154" s="8" t="s">
        <v>282</v>
      </c>
      <c r="D154" s="8" t="s">
        <v>279</v>
      </c>
      <c r="E154" s="9">
        <v>6643000</v>
      </c>
      <c r="F154" s="9">
        <v>8026000</v>
      </c>
      <c r="G154" s="9">
        <v>15011000</v>
      </c>
      <c r="H154" s="9">
        <v>21346000</v>
      </c>
      <c r="I154" s="9">
        <v>23871000</v>
      </c>
      <c r="J154" s="9">
        <v>30414000</v>
      </c>
      <c r="K154" s="9">
        <v>48035000</v>
      </c>
      <c r="L154" s="9">
        <v>90048000</v>
      </c>
      <c r="M154" s="9">
        <v>107514000</v>
      </c>
      <c r="N154" s="9">
        <v>88614000</v>
      </c>
    </row>
    <row r="155" spans="1:14" x14ac:dyDescent="0.3">
      <c r="A155" s="8" t="s">
        <v>342</v>
      </c>
      <c r="B155" s="8" t="s">
        <v>343</v>
      </c>
      <c r="C155" s="8" t="s">
        <v>282</v>
      </c>
      <c r="D155" s="8" t="s">
        <v>279</v>
      </c>
      <c r="E155" s="9">
        <v>1086000000</v>
      </c>
      <c r="F155" s="9">
        <v>1411000000</v>
      </c>
      <c r="G155" s="9">
        <v>1463000000</v>
      </c>
      <c r="H155" s="9">
        <v>1417000000</v>
      </c>
      <c r="I155" s="9">
        <v>171000000</v>
      </c>
      <c r="J155" s="39">
        <v>1394000000</v>
      </c>
      <c r="K155" s="9">
        <v>1435000000</v>
      </c>
      <c r="L155" s="9">
        <v>2541000000</v>
      </c>
      <c r="M155" s="9">
        <v>742000000</v>
      </c>
      <c r="N155" s="9">
        <v>1888000000</v>
      </c>
    </row>
    <row r="156" spans="1:14" x14ac:dyDescent="0.3">
      <c r="A156" s="8" t="s">
        <v>344</v>
      </c>
      <c r="B156" s="8" t="s">
        <v>345</v>
      </c>
      <c r="C156" s="8" t="s">
        <v>282</v>
      </c>
      <c r="D156" s="8" t="s">
        <v>279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</row>
  </sheetData>
  <mergeCells count="2">
    <mergeCell ref="A1:N1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6"/>
  <sheetViews>
    <sheetView zoomScale="55" zoomScaleNormal="55" workbookViewId="0">
      <pane xSplit="4" ySplit="3" topLeftCell="E4" activePane="bottomRight" state="frozen"/>
      <selection pane="topRight"/>
      <selection pane="bottomLeft"/>
      <selection pane="bottomRight" activeCell="Q40" sqref="Q40"/>
    </sheetView>
  </sheetViews>
  <sheetFormatPr defaultRowHeight="14.4" x14ac:dyDescent="0.3"/>
  <cols>
    <col min="1" max="1" width="14" customWidth="1"/>
    <col min="2" max="2" width="32" customWidth="1"/>
    <col min="3" max="4" width="12" customWidth="1"/>
    <col min="5" max="7" width="30.33203125" bestFit="1" customWidth="1"/>
    <col min="8" max="8" width="52.44140625" customWidth="1"/>
    <col min="9" max="14" width="30.33203125" bestFit="1" customWidth="1"/>
  </cols>
  <sheetData>
    <row r="1" spans="1:14" ht="30" customHeight="1" x14ac:dyDescent="0.3">
      <c r="A1" s="55" t="s">
        <v>346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9.95" customHeight="1" x14ac:dyDescent="0.3">
      <c r="A2" s="57" t="s">
        <v>28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22.05" customHeight="1" x14ac:dyDescent="0.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</row>
    <row r="4" spans="1:14" x14ac:dyDescent="0.3">
      <c r="A4" s="6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8" t="s">
        <v>44</v>
      </c>
      <c r="B5" s="8" t="s">
        <v>45</v>
      </c>
      <c r="C5" s="8" t="s">
        <v>46</v>
      </c>
      <c r="D5" s="8" t="s">
        <v>43</v>
      </c>
      <c r="E5" s="9">
        <v>3105987668</v>
      </c>
      <c r="F5" s="9">
        <v>3109183856</v>
      </c>
      <c r="G5" s="9">
        <v>3109183856</v>
      </c>
      <c r="H5" s="9">
        <v>3109183856</v>
      </c>
      <c r="I5" s="9">
        <v>3109183856</v>
      </c>
      <c r="J5" s="9">
        <v>3109183856</v>
      </c>
      <c r="K5" s="9">
        <v>3073686277</v>
      </c>
      <c r="L5" s="9">
        <v>3073686277</v>
      </c>
      <c r="M5" s="9">
        <v>3132905277</v>
      </c>
      <c r="N5" s="9">
        <v>3132704859</v>
      </c>
    </row>
    <row r="6" spans="1:14" x14ac:dyDescent="0.3">
      <c r="A6" s="8" t="s">
        <v>47</v>
      </c>
      <c r="B6" s="8" t="s">
        <v>48</v>
      </c>
      <c r="C6" s="8" t="s">
        <v>46</v>
      </c>
      <c r="D6" s="8" t="s">
        <v>43</v>
      </c>
      <c r="E6" s="9">
        <v>218047951</v>
      </c>
      <c r="F6" s="9">
        <v>219322356</v>
      </c>
      <c r="G6" s="9">
        <v>219095844</v>
      </c>
      <c r="H6" s="9">
        <v>219758444</v>
      </c>
      <c r="I6" s="9">
        <v>221863663</v>
      </c>
      <c r="J6" s="9">
        <v>223797671</v>
      </c>
      <c r="K6" s="9">
        <v>224823927</v>
      </c>
      <c r="L6" s="9">
        <v>224363318</v>
      </c>
      <c r="M6" s="9">
        <v>225463566</v>
      </c>
      <c r="N6" s="9">
        <v>225792000</v>
      </c>
    </row>
    <row r="7" spans="1:14" x14ac:dyDescent="0.3">
      <c r="A7" s="8" t="s">
        <v>49</v>
      </c>
      <c r="B7" s="8" t="s">
        <v>50</v>
      </c>
      <c r="C7" s="8" t="s">
        <v>46</v>
      </c>
      <c r="D7" s="8" t="s">
        <v>43</v>
      </c>
      <c r="E7" s="9">
        <v>1556428701</v>
      </c>
      <c r="F7" s="9">
        <v>1558512070</v>
      </c>
      <c r="G7" s="9">
        <v>1560771499</v>
      </c>
      <c r="H7" s="9">
        <v>1563742903</v>
      </c>
      <c r="I7" s="9">
        <v>1567927100</v>
      </c>
      <c r="J7" s="9">
        <v>1569448327</v>
      </c>
      <c r="K7" s="9">
        <v>1573173478</v>
      </c>
      <c r="L7" s="9">
        <v>1570223226</v>
      </c>
      <c r="M7" s="9">
        <v>1541766041</v>
      </c>
      <c r="N7" s="9">
        <v>1538691000</v>
      </c>
    </row>
    <row r="8" spans="1:14" x14ac:dyDescent="0.3">
      <c r="A8" s="8" t="s">
        <v>51</v>
      </c>
      <c r="B8" s="8" t="s">
        <v>52</v>
      </c>
      <c r="C8" s="8" t="s">
        <v>46</v>
      </c>
      <c r="D8" s="8" t="s">
        <v>43</v>
      </c>
      <c r="E8" s="9">
        <v>142754548</v>
      </c>
      <c r="F8" s="9">
        <v>142746313</v>
      </c>
      <c r="G8" s="9">
        <v>133420894</v>
      </c>
      <c r="H8" s="9">
        <v>138134324</v>
      </c>
      <c r="I8" s="9">
        <v>140110863</v>
      </c>
      <c r="J8" s="9">
        <v>138590424</v>
      </c>
      <c r="K8" s="9">
        <v>139154500</v>
      </c>
      <c r="L8" s="9">
        <v>139226158</v>
      </c>
      <c r="M8" s="9">
        <v>138397134</v>
      </c>
      <c r="N8" s="9">
        <v>140528049</v>
      </c>
    </row>
    <row r="9" spans="1:14" x14ac:dyDescent="0.3">
      <c r="A9" s="8" t="s">
        <v>53</v>
      </c>
      <c r="B9" s="8" t="s">
        <v>54</v>
      </c>
      <c r="C9" s="8" t="s">
        <v>46</v>
      </c>
      <c r="D9" s="8" t="s">
        <v>43</v>
      </c>
      <c r="E9" s="9">
        <v>115867000</v>
      </c>
      <c r="F9" s="9">
        <v>116067000</v>
      </c>
      <c r="G9" s="9">
        <v>116482000</v>
      </c>
      <c r="H9" s="9">
        <v>115784000</v>
      </c>
      <c r="I9" s="9">
        <v>115719000</v>
      </c>
      <c r="J9" s="9">
        <v>115340000</v>
      </c>
      <c r="K9" s="9">
        <v>115016000</v>
      </c>
      <c r="L9" s="9">
        <v>114564000</v>
      </c>
      <c r="M9" s="9">
        <v>114081000</v>
      </c>
      <c r="N9" s="9">
        <v>114008000</v>
      </c>
    </row>
    <row r="10" spans="1:14" x14ac:dyDescent="0.3">
      <c r="A10" s="8" t="s">
        <v>55</v>
      </c>
      <c r="B10" s="8" t="s">
        <v>56</v>
      </c>
      <c r="C10" s="8" t="s">
        <v>46</v>
      </c>
      <c r="D10" s="8" t="s">
        <v>43</v>
      </c>
      <c r="E10" s="9">
        <v>737919428</v>
      </c>
      <c r="F10" s="9">
        <v>737046913</v>
      </c>
      <c r="G10" s="9">
        <v>734828052</v>
      </c>
      <c r="H10" s="9">
        <v>733175893</v>
      </c>
      <c r="I10" s="9">
        <v>733061303</v>
      </c>
      <c r="J10" s="9">
        <v>734362421</v>
      </c>
      <c r="K10" s="9">
        <v>735715806</v>
      </c>
      <c r="L10" s="9">
        <v>737252214</v>
      </c>
      <c r="M10" s="9">
        <v>739773622</v>
      </c>
      <c r="N10" s="9">
        <v>737328000</v>
      </c>
    </row>
    <row r="11" spans="1:14" x14ac:dyDescent="0.3">
      <c r="A11" s="8" t="s">
        <v>57</v>
      </c>
      <c r="B11" s="8" t="s">
        <v>58</v>
      </c>
      <c r="C11" s="8" t="s">
        <v>46</v>
      </c>
      <c r="D11" s="8" t="s">
        <v>43</v>
      </c>
      <c r="E11" s="9">
        <v>488022021</v>
      </c>
      <c r="F11" s="40">
        <v>817078746</v>
      </c>
      <c r="G11" s="40">
        <v>1514538059</v>
      </c>
      <c r="H11" s="9">
        <v>1510954842</v>
      </c>
      <c r="I11" s="9">
        <v>1511339224</v>
      </c>
      <c r="J11" s="9">
        <v>1509504749</v>
      </c>
      <c r="K11" s="9">
        <v>1510823282</v>
      </c>
      <c r="L11" s="9">
        <v>1508790220</v>
      </c>
      <c r="M11" s="9">
        <v>1507882573</v>
      </c>
      <c r="N11" s="9">
        <v>1505001132</v>
      </c>
    </row>
    <row r="12" spans="1:14" x14ac:dyDescent="0.3">
      <c r="A12" s="8" t="s">
        <v>59</v>
      </c>
      <c r="B12" s="8" t="s">
        <v>60</v>
      </c>
      <c r="C12" s="8" t="s">
        <v>46</v>
      </c>
      <c r="D12" s="8" t="s">
        <v>43</v>
      </c>
      <c r="E12" s="9">
        <v>710393574</v>
      </c>
      <c r="F12" s="9">
        <v>710393434</v>
      </c>
      <c r="G12" s="9">
        <v>710393434</v>
      </c>
      <c r="H12" s="9">
        <v>710393574</v>
      </c>
      <c r="I12" s="9">
        <v>732071661</v>
      </c>
      <c r="J12" s="9">
        <v>679015111</v>
      </c>
      <c r="K12" s="40">
        <v>1412323581</v>
      </c>
      <c r="L12" s="9">
        <v>1411912243</v>
      </c>
      <c r="M12" s="9">
        <v>1415172121</v>
      </c>
      <c r="N12" s="9">
        <v>1414585000</v>
      </c>
    </row>
    <row r="13" spans="1:14" x14ac:dyDescent="0.3">
      <c r="A13" s="8" t="s">
        <v>61</v>
      </c>
      <c r="B13" s="8" t="s">
        <v>62</v>
      </c>
      <c r="C13" s="8" t="s">
        <v>46</v>
      </c>
      <c r="D13" s="8" t="s">
        <v>43</v>
      </c>
      <c r="E13" s="9">
        <v>205531808</v>
      </c>
      <c r="F13" s="9">
        <v>205531808</v>
      </c>
      <c r="G13" s="9">
        <v>205806808</v>
      </c>
      <c r="H13" s="9">
        <v>204756665</v>
      </c>
      <c r="I13" s="9">
        <v>204835151</v>
      </c>
      <c r="J13" s="9">
        <v>205698335</v>
      </c>
      <c r="K13" s="9">
        <v>192131838</v>
      </c>
      <c r="L13" s="9">
        <v>186377503</v>
      </c>
      <c r="M13" s="9">
        <v>185131873</v>
      </c>
      <c r="N13" s="9">
        <v>183319589</v>
      </c>
    </row>
    <row r="14" spans="1:14" x14ac:dyDescent="0.3">
      <c r="A14" s="8" t="s">
        <v>63</v>
      </c>
      <c r="B14" s="8" t="s">
        <v>64</v>
      </c>
      <c r="C14" s="8" t="s">
        <v>46</v>
      </c>
      <c r="D14" s="8" t="s">
        <v>43</v>
      </c>
      <c r="E14" s="9">
        <v>1156034398</v>
      </c>
      <c r="F14" s="9">
        <v>1157508450</v>
      </c>
      <c r="G14" s="9">
        <v>1160785339</v>
      </c>
      <c r="H14" s="9">
        <v>1154903852</v>
      </c>
      <c r="I14" s="9">
        <v>1144315926</v>
      </c>
      <c r="J14" s="9">
        <v>1133816568</v>
      </c>
      <c r="K14" s="9">
        <v>1126588835</v>
      </c>
      <c r="L14" s="9">
        <v>1126061579</v>
      </c>
      <c r="M14" s="9">
        <v>1139659102</v>
      </c>
      <c r="N14" s="9">
        <v>1200346949</v>
      </c>
    </row>
    <row r="15" spans="1:14" x14ac:dyDescent="0.3">
      <c r="A15" s="8" t="s">
        <v>65</v>
      </c>
      <c r="B15" s="8" t="s">
        <v>66</v>
      </c>
      <c r="C15" s="8" t="s">
        <v>46</v>
      </c>
      <c r="D15" s="8" t="s">
        <v>43</v>
      </c>
      <c r="E15" s="9">
        <v>1361000000</v>
      </c>
      <c r="F15" s="9">
        <v>1362004209</v>
      </c>
      <c r="G15" s="9">
        <v>1364000000</v>
      </c>
      <c r="H15" s="9">
        <v>1357000000</v>
      </c>
      <c r="I15" s="9">
        <v>1354285714</v>
      </c>
      <c r="J15" s="9">
        <v>1351000000</v>
      </c>
      <c r="K15" s="9">
        <v>1354000000</v>
      </c>
      <c r="L15" s="9">
        <v>1351000000</v>
      </c>
      <c r="M15" s="9">
        <v>1332000000</v>
      </c>
      <c r="N15" s="9"/>
    </row>
    <row r="16" spans="1:14" x14ac:dyDescent="0.3">
      <c r="A16" s="8" t="s">
        <v>67</v>
      </c>
      <c r="B16" s="8" t="s">
        <v>68</v>
      </c>
      <c r="C16" s="8" t="s">
        <v>46</v>
      </c>
      <c r="D16" s="8" t="s">
        <v>43</v>
      </c>
      <c r="E16" s="9">
        <v>54883529</v>
      </c>
      <c r="F16" s="9">
        <v>54849893</v>
      </c>
      <c r="G16" s="9">
        <v>54997425</v>
      </c>
      <c r="H16" s="9">
        <v>55513113</v>
      </c>
      <c r="I16" s="9">
        <v>54711844</v>
      </c>
      <c r="J16" s="9">
        <v>54757637</v>
      </c>
      <c r="K16" s="9">
        <v>57117998</v>
      </c>
      <c r="L16" s="9">
        <v>57750850</v>
      </c>
      <c r="M16" s="9">
        <v>55745935</v>
      </c>
      <c r="N16" s="9">
        <v>55868709</v>
      </c>
    </row>
    <row r="17" spans="1:14" x14ac:dyDescent="0.3">
      <c r="A17" s="8" t="s">
        <v>69</v>
      </c>
      <c r="B17" s="8" t="s">
        <v>70</v>
      </c>
      <c r="C17" s="8" t="s">
        <v>46</v>
      </c>
      <c r="D17" s="8" t="s">
        <v>43</v>
      </c>
      <c r="E17" s="9">
        <v>9403357795</v>
      </c>
      <c r="F17" s="9">
        <v>9975849408</v>
      </c>
      <c r="G17" s="9">
        <v>10166679946</v>
      </c>
      <c r="H17" s="9">
        <v>10163621792</v>
      </c>
      <c r="I17" s="9">
        <v>10162072640</v>
      </c>
      <c r="J17" s="9">
        <v>10164612352</v>
      </c>
      <c r="K17" s="9">
        <v>10162568494</v>
      </c>
      <c r="L17" s="9">
        <v>10160538038</v>
      </c>
      <c r="M17" s="9">
        <v>10159406558</v>
      </c>
      <c r="N17" s="9">
        <v>10156151000</v>
      </c>
    </row>
    <row r="18" spans="1:14" x14ac:dyDescent="0.3">
      <c r="A18" s="8" t="s">
        <v>71</v>
      </c>
      <c r="B18" s="8" t="s">
        <v>72</v>
      </c>
      <c r="C18" s="8" t="s">
        <v>46</v>
      </c>
      <c r="D18" s="8" t="s">
        <v>43</v>
      </c>
      <c r="E18" s="9">
        <v>3598190045</v>
      </c>
      <c r="F18" s="9">
        <v>3601100000</v>
      </c>
      <c r="G18" s="9">
        <v>3601140133</v>
      </c>
      <c r="H18" s="9">
        <v>3601140133</v>
      </c>
      <c r="I18" s="9">
        <v>3592249603</v>
      </c>
      <c r="J18" s="9">
        <v>3572550000</v>
      </c>
      <c r="K18" s="9">
        <v>3565974000</v>
      </c>
      <c r="L18" s="9">
        <v>3483634000</v>
      </c>
      <c r="M18" s="9">
        <v>3303800000</v>
      </c>
      <c r="N18" s="9">
        <v>3167006000</v>
      </c>
    </row>
    <row r="19" spans="1:14" x14ac:dyDescent="0.3">
      <c r="A19" s="8" t="s">
        <v>73</v>
      </c>
      <c r="B19" s="8" t="s">
        <v>74</v>
      </c>
      <c r="C19" s="8" t="s">
        <v>46</v>
      </c>
      <c r="D19" s="8" t="s">
        <v>43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3">
      <c r="A20" s="8" t="s">
        <v>75</v>
      </c>
      <c r="B20" s="8" t="s">
        <v>76</v>
      </c>
      <c r="C20" s="8" t="s">
        <v>46</v>
      </c>
      <c r="D20" s="8" t="s">
        <v>43</v>
      </c>
      <c r="E20" s="9"/>
      <c r="F20" s="9"/>
      <c r="G20" s="9">
        <v>188606000</v>
      </c>
      <c r="H20" s="9">
        <v>188606000</v>
      </c>
      <c r="I20" s="9">
        <v>186767000</v>
      </c>
      <c r="J20" s="9">
        <v>184806000</v>
      </c>
      <c r="K20" s="9">
        <v>184446000</v>
      </c>
      <c r="L20" s="9">
        <v>182836000</v>
      </c>
      <c r="M20" s="9">
        <v>181220000</v>
      </c>
      <c r="N20" s="9">
        <v>179743000</v>
      </c>
    </row>
    <row r="21" spans="1:14" x14ac:dyDescent="0.3">
      <c r="A21" s="8" t="s">
        <v>77</v>
      </c>
      <c r="B21" s="8" t="s">
        <v>78</v>
      </c>
      <c r="C21" s="8" t="s">
        <v>46</v>
      </c>
      <c r="D21" s="8" t="s">
        <v>43</v>
      </c>
      <c r="E21" s="9">
        <v>606101380</v>
      </c>
      <c r="F21" s="9">
        <v>605659378</v>
      </c>
      <c r="G21" s="9">
        <v>607158443</v>
      </c>
      <c r="H21" s="9">
        <v>607575060</v>
      </c>
      <c r="I21" s="9">
        <v>607720344</v>
      </c>
      <c r="J21" s="9">
        <v>608966126</v>
      </c>
      <c r="K21" s="9">
        <v>609692634</v>
      </c>
      <c r="L21" s="9">
        <v>609932199</v>
      </c>
      <c r="M21" s="9">
        <v>611547802</v>
      </c>
      <c r="N21" s="9">
        <v>610829690</v>
      </c>
    </row>
    <row r="22" spans="1:14" x14ac:dyDescent="0.3">
      <c r="A22" s="8" t="s">
        <v>79</v>
      </c>
      <c r="B22" s="8" t="s">
        <v>80</v>
      </c>
      <c r="C22" s="8" t="s">
        <v>46</v>
      </c>
      <c r="D22" s="8" t="s">
        <v>43</v>
      </c>
      <c r="E22" s="9">
        <v>1473737913</v>
      </c>
      <c r="F22" s="9">
        <v>1471822892</v>
      </c>
      <c r="G22" s="9">
        <v>1471004233</v>
      </c>
      <c r="H22" s="9">
        <v>1467966686</v>
      </c>
      <c r="I22" s="9">
        <v>1472516974</v>
      </c>
      <c r="J22" s="9">
        <v>1467973723</v>
      </c>
      <c r="K22" s="9">
        <v>1461238457</v>
      </c>
      <c r="L22" s="9">
        <v>1454636032</v>
      </c>
      <c r="M22" s="9">
        <v>1446069736</v>
      </c>
      <c r="N22" s="9">
        <v>1441926307</v>
      </c>
    </row>
    <row r="23" spans="1:14" x14ac:dyDescent="0.3">
      <c r="A23" s="8" t="s">
        <v>81</v>
      </c>
      <c r="B23" s="8" t="s">
        <v>82</v>
      </c>
      <c r="C23" s="8" t="s">
        <v>46</v>
      </c>
      <c r="D23" s="8" t="s">
        <v>43</v>
      </c>
      <c r="E23" s="9"/>
      <c r="F23" s="9">
        <v>600000000</v>
      </c>
      <c r="G23" s="9">
        <v>600000000</v>
      </c>
      <c r="H23" s="9">
        <v>599966889</v>
      </c>
      <c r="I23" s="9">
        <v>599777882</v>
      </c>
      <c r="J23" s="39">
        <v>871314724</v>
      </c>
      <c r="K23" s="9">
        <v>960115529</v>
      </c>
      <c r="L23" s="9">
        <v>959914631</v>
      </c>
      <c r="M23" s="9">
        <v>956019333</v>
      </c>
      <c r="N23" s="9">
        <v>932386614</v>
      </c>
    </row>
    <row r="24" spans="1:14" x14ac:dyDescent="0.3">
      <c r="A24" s="8" t="s">
        <v>83</v>
      </c>
      <c r="B24" s="8" t="s">
        <v>84</v>
      </c>
      <c r="C24" s="8" t="s">
        <v>46</v>
      </c>
      <c r="D24" s="8" t="s">
        <v>43</v>
      </c>
      <c r="E24" s="9">
        <v>106854067</v>
      </c>
      <c r="F24" s="9">
        <v>106196360</v>
      </c>
      <c r="G24" s="9">
        <v>106973877</v>
      </c>
      <c r="H24" s="9">
        <v>106766319</v>
      </c>
      <c r="I24" s="9">
        <v>105452384</v>
      </c>
      <c r="J24" s="9">
        <v>107104047</v>
      </c>
      <c r="K24" s="9">
        <v>106664662</v>
      </c>
      <c r="L24" s="9">
        <v>105593321</v>
      </c>
      <c r="M24" s="9">
        <v>106927485</v>
      </c>
      <c r="N24" s="9">
        <v>107104891</v>
      </c>
    </row>
    <row r="25" spans="1:14" x14ac:dyDescent="0.3">
      <c r="A25" s="8" t="s">
        <v>85</v>
      </c>
      <c r="B25" s="8" t="s">
        <v>86</v>
      </c>
      <c r="C25" s="8" t="s">
        <v>46</v>
      </c>
      <c r="D25" s="8" t="s">
        <v>43</v>
      </c>
      <c r="E25" s="9">
        <v>15832484936</v>
      </c>
      <c r="F25" s="9">
        <v>15841479283</v>
      </c>
      <c r="G25" s="9">
        <v>15837253005</v>
      </c>
      <c r="H25" s="9">
        <v>16772376005</v>
      </c>
      <c r="I25" s="9">
        <v>17474056000</v>
      </c>
      <c r="J25" s="9">
        <v>18240491000</v>
      </c>
      <c r="K25" s="9">
        <v>19377549000</v>
      </c>
      <c r="L25" s="9">
        <v>19315542000</v>
      </c>
      <c r="M25" s="9">
        <v>18370426000</v>
      </c>
      <c r="N25" s="9">
        <v>18017340000</v>
      </c>
    </row>
    <row r="26" spans="1:14" x14ac:dyDescent="0.3">
      <c r="A26" s="8" t="s">
        <v>87</v>
      </c>
      <c r="B26" s="8" t="s">
        <v>88</v>
      </c>
      <c r="C26" s="8" t="s">
        <v>46</v>
      </c>
      <c r="D26" s="8" t="s">
        <v>43</v>
      </c>
      <c r="E26" s="9"/>
      <c r="F26" s="9"/>
      <c r="G26" s="9">
        <v>809135502</v>
      </c>
      <c r="H26" s="9">
        <v>804346153</v>
      </c>
      <c r="I26" s="9">
        <v>809135502</v>
      </c>
      <c r="J26" s="9">
        <v>809135502</v>
      </c>
      <c r="K26" s="9">
        <v>809768354</v>
      </c>
      <c r="L26" s="9">
        <v>810245718</v>
      </c>
      <c r="M26" s="9">
        <v>814014814</v>
      </c>
      <c r="N26" s="9">
        <v>811242309</v>
      </c>
    </row>
    <row r="27" spans="1:14" x14ac:dyDescent="0.3">
      <c r="A27" s="8" t="s">
        <v>89</v>
      </c>
      <c r="B27" s="8" t="s">
        <v>90</v>
      </c>
      <c r="C27" s="8" t="s">
        <v>46</v>
      </c>
      <c r="D27" s="8" t="s">
        <v>43</v>
      </c>
      <c r="E27" s="9"/>
      <c r="F27" s="9"/>
      <c r="G27" s="9"/>
      <c r="H27" s="9"/>
      <c r="I27" s="9"/>
      <c r="J27" s="9"/>
      <c r="K27" s="9"/>
      <c r="L27" s="9"/>
      <c r="M27" s="9">
        <v>269000000</v>
      </c>
      <c r="N27" s="9">
        <v>267000000</v>
      </c>
    </row>
    <row r="28" spans="1:14" x14ac:dyDescent="0.3">
      <c r="A28" s="8" t="s">
        <v>91</v>
      </c>
      <c r="B28" s="8" t="s">
        <v>92</v>
      </c>
      <c r="C28" s="8" t="s">
        <v>46</v>
      </c>
      <c r="D28" s="8" t="s">
        <v>43</v>
      </c>
      <c r="E28" s="9">
        <v>574543000</v>
      </c>
      <c r="F28" s="9">
        <v>574543000</v>
      </c>
      <c r="G28" s="9">
        <v>574425000</v>
      </c>
      <c r="H28" s="9">
        <v>574605000</v>
      </c>
      <c r="I28" s="9">
        <v>574914000</v>
      </c>
      <c r="J28" s="9">
        <v>574914000</v>
      </c>
      <c r="K28" s="9">
        <v>575229000</v>
      </c>
      <c r="L28" s="9">
        <v>575307000</v>
      </c>
      <c r="M28" s="9">
        <v>575307085</v>
      </c>
      <c r="N28" s="9">
        <v>575307000</v>
      </c>
    </row>
    <row r="29" spans="1:14" x14ac:dyDescent="0.3">
      <c r="A29" s="8" t="s">
        <v>93</v>
      </c>
      <c r="B29" s="8" t="s">
        <v>94</v>
      </c>
      <c r="C29" s="8" t="s">
        <v>46</v>
      </c>
      <c r="D29" s="8" t="s">
        <v>43</v>
      </c>
      <c r="E29" s="9">
        <v>847414629</v>
      </c>
      <c r="F29" s="9">
        <v>849895132</v>
      </c>
      <c r="G29" s="9">
        <v>854445929</v>
      </c>
      <c r="H29" s="9">
        <v>877685049</v>
      </c>
      <c r="I29" s="9">
        <v>871819196</v>
      </c>
      <c r="J29" s="9">
        <v>860611137</v>
      </c>
      <c r="K29" s="9">
        <v>862358884</v>
      </c>
      <c r="L29" s="9">
        <v>838844304</v>
      </c>
      <c r="M29" s="9">
        <v>840761242</v>
      </c>
      <c r="N29" s="9">
        <v>826608063</v>
      </c>
    </row>
    <row r="30" spans="1:14" x14ac:dyDescent="0.3">
      <c r="A30" s="8" t="s">
        <v>95</v>
      </c>
      <c r="B30" s="8" t="s">
        <v>96</v>
      </c>
      <c r="C30" s="8" t="s">
        <v>46</v>
      </c>
      <c r="D30" s="8" t="s">
        <v>43</v>
      </c>
      <c r="E30" s="9">
        <v>250086129</v>
      </c>
      <c r="F30" s="9">
        <v>249268029</v>
      </c>
      <c r="G30" s="9">
        <v>252060094</v>
      </c>
      <c r="H30" s="9">
        <v>251723961</v>
      </c>
      <c r="I30" s="9">
        <v>251723961</v>
      </c>
      <c r="J30" s="9">
        <v>252674625</v>
      </c>
      <c r="K30" s="9">
        <v>265570691</v>
      </c>
      <c r="L30" s="9">
        <v>268974283</v>
      </c>
      <c r="M30" s="9">
        <v>270106476</v>
      </c>
      <c r="N30" s="9">
        <v>270522873</v>
      </c>
    </row>
    <row r="31" spans="1:14" x14ac:dyDescent="0.3">
      <c r="A31" s="8" t="s">
        <v>97</v>
      </c>
      <c r="B31" s="8" t="s">
        <v>98</v>
      </c>
      <c r="C31" s="8" t="s">
        <v>46</v>
      </c>
      <c r="D31" s="8" t="s">
        <v>43</v>
      </c>
      <c r="E31" s="9"/>
      <c r="F31" s="9"/>
      <c r="G31" s="9"/>
      <c r="H31" s="9"/>
      <c r="I31" s="9"/>
      <c r="J31" s="9">
        <v>627778000</v>
      </c>
      <c r="K31" s="39">
        <v>834754000</v>
      </c>
      <c r="L31" s="40">
        <v>1310754000</v>
      </c>
      <c r="M31" s="9">
        <v>1311358000</v>
      </c>
      <c r="N31" s="9">
        <v>1280958000</v>
      </c>
    </row>
    <row r="32" spans="1:14" x14ac:dyDescent="0.3">
      <c r="A32" s="8" t="s">
        <v>99</v>
      </c>
      <c r="B32" s="8" t="s">
        <v>100</v>
      </c>
      <c r="C32" s="8" t="s">
        <v>46</v>
      </c>
      <c r="D32" s="8" t="s">
        <v>43</v>
      </c>
      <c r="E32" s="9"/>
      <c r="F32" s="9"/>
      <c r="G32" s="9"/>
      <c r="H32" s="9">
        <v>1000000000</v>
      </c>
      <c r="I32" s="9">
        <v>1000000000</v>
      </c>
      <c r="J32" s="9">
        <v>1000000000</v>
      </c>
      <c r="K32" s="9">
        <v>1000000000</v>
      </c>
      <c r="L32" s="9">
        <v>1000000000</v>
      </c>
      <c r="M32" s="9">
        <v>1000000000</v>
      </c>
      <c r="N32" s="9">
        <v>1066170213</v>
      </c>
    </row>
    <row r="33" spans="1:14" x14ac:dyDescent="0.3">
      <c r="A33" s="8" t="s">
        <v>101</v>
      </c>
      <c r="B33" s="8" t="s">
        <v>102</v>
      </c>
      <c r="C33" s="8" t="s">
        <v>46</v>
      </c>
      <c r="D33" s="8" t="s">
        <v>43</v>
      </c>
      <c r="E33" s="9"/>
      <c r="F33" s="9">
        <v>1306110000</v>
      </c>
      <c r="G33" s="9">
        <v>1304924242</v>
      </c>
      <c r="H33" s="9">
        <v>1306110000</v>
      </c>
      <c r="I33" s="9">
        <v>1300852035</v>
      </c>
      <c r="J33" s="9">
        <v>1300852035</v>
      </c>
      <c r="K33" s="9">
        <v>1300877079</v>
      </c>
      <c r="L33" s="9">
        <v>1298574009</v>
      </c>
      <c r="M33" s="9">
        <v>1296021578</v>
      </c>
      <c r="N33" s="9">
        <v>1294805195</v>
      </c>
    </row>
    <row r="34" spans="1:14" x14ac:dyDescent="0.3">
      <c r="A34" s="8" t="s">
        <v>103</v>
      </c>
      <c r="B34" s="8" t="s">
        <v>104</v>
      </c>
      <c r="C34" s="8" t="s">
        <v>46</v>
      </c>
      <c r="D34" s="8" t="s">
        <v>43</v>
      </c>
      <c r="E34" s="9">
        <v>221291692</v>
      </c>
      <c r="F34" s="9">
        <v>221408573</v>
      </c>
      <c r="G34" s="9">
        <v>211684000</v>
      </c>
      <c r="H34" s="9">
        <v>244957000</v>
      </c>
      <c r="I34" s="9">
        <v>263139000</v>
      </c>
      <c r="J34" s="9">
        <v>263274000</v>
      </c>
      <c r="K34" s="9">
        <v>263408000</v>
      </c>
      <c r="L34" s="9">
        <v>263497000</v>
      </c>
      <c r="M34" s="9">
        <v>272680412</v>
      </c>
      <c r="N34" s="9">
        <v>281540000</v>
      </c>
    </row>
    <row r="35" spans="1:14" x14ac:dyDescent="0.3">
      <c r="A35" s="8" t="s">
        <v>105</v>
      </c>
      <c r="B35" s="8" t="s">
        <v>106</v>
      </c>
      <c r="C35" s="8" t="s">
        <v>46</v>
      </c>
      <c r="D35" s="8" t="s">
        <v>43</v>
      </c>
      <c r="E35" s="9">
        <v>139043922</v>
      </c>
      <c r="F35" s="9">
        <v>175324479</v>
      </c>
      <c r="G35" s="9">
        <v>210422776</v>
      </c>
      <c r="H35" s="9">
        <v>209189917</v>
      </c>
      <c r="I35" s="9">
        <v>209205936</v>
      </c>
      <c r="J35" s="9">
        <v>208246118</v>
      </c>
      <c r="K35" s="9">
        <v>197471856</v>
      </c>
      <c r="L35" s="40">
        <v>940341988</v>
      </c>
      <c r="M35" s="40">
        <v>1995147895</v>
      </c>
      <c r="N35" s="9">
        <v>1967618000</v>
      </c>
    </row>
    <row r="36" spans="1:14" x14ac:dyDescent="0.3">
      <c r="A36" s="8" t="s">
        <v>107</v>
      </c>
      <c r="B36" s="8" t="s">
        <v>108</v>
      </c>
      <c r="C36" s="8" t="s">
        <v>46</v>
      </c>
      <c r="D36" s="8" t="s">
        <v>43</v>
      </c>
      <c r="E36" s="9">
        <v>3499511044</v>
      </c>
      <c r="F36" s="9">
        <v>3470733114</v>
      </c>
      <c r="G36" s="9">
        <v>3422406716</v>
      </c>
      <c r="H36" s="9">
        <v>3357806084</v>
      </c>
      <c r="I36" s="9">
        <v>3300593207</v>
      </c>
      <c r="J36" s="9">
        <v>3272020890</v>
      </c>
      <c r="K36" s="9">
        <v>3270833636</v>
      </c>
      <c r="L36" s="9">
        <v>3336596674</v>
      </c>
      <c r="M36" s="9">
        <v>3353119570</v>
      </c>
      <c r="N36" s="9">
        <v>3353942449</v>
      </c>
    </row>
    <row r="37" spans="1:14" x14ac:dyDescent="0.3">
      <c r="A37" s="8" t="s">
        <v>109</v>
      </c>
      <c r="B37" s="8" t="s">
        <v>110</v>
      </c>
      <c r="C37" s="8" t="s">
        <v>46</v>
      </c>
      <c r="D37" s="8" t="s">
        <v>43</v>
      </c>
      <c r="E37" s="9">
        <v>1510555000</v>
      </c>
      <c r="F37" s="9">
        <v>1513019000</v>
      </c>
      <c r="G37" s="9">
        <v>1535988000</v>
      </c>
      <c r="H37" s="9">
        <v>1548439000</v>
      </c>
      <c r="I37" s="9">
        <v>1564114000</v>
      </c>
      <c r="J37" s="9">
        <v>1544002000</v>
      </c>
      <c r="K37" s="40">
        <v>3059284000</v>
      </c>
      <c r="L37" s="9">
        <v>3140089000</v>
      </c>
      <c r="M37" s="9">
        <v>3107725000</v>
      </c>
      <c r="N37" s="9">
        <v>2949652000</v>
      </c>
    </row>
    <row r="38" spans="1:14" x14ac:dyDescent="0.3">
      <c r="A38" s="8" t="s">
        <v>111</v>
      </c>
      <c r="B38" s="8" t="s">
        <v>112</v>
      </c>
      <c r="C38" s="8" t="s">
        <v>46</v>
      </c>
      <c r="D38" s="8" t="s">
        <v>43</v>
      </c>
      <c r="E38" s="9">
        <v>876510959</v>
      </c>
      <c r="F38" s="9">
        <v>881246870</v>
      </c>
      <c r="G38" s="9">
        <v>884707764</v>
      </c>
      <c r="H38" s="9">
        <v>899363170</v>
      </c>
      <c r="I38" s="9">
        <v>897391304</v>
      </c>
      <c r="J38" s="9">
        <v>894578477</v>
      </c>
      <c r="K38" s="9">
        <v>904977376</v>
      </c>
      <c r="L38" s="9">
        <v>905606885</v>
      </c>
      <c r="M38" s="9">
        <v>909817559</v>
      </c>
      <c r="N38" s="9">
        <v>901210072</v>
      </c>
    </row>
    <row r="39" spans="1:14" x14ac:dyDescent="0.3">
      <c r="A39" s="8" t="s">
        <v>113</v>
      </c>
      <c r="B39" s="8" t="s">
        <v>114</v>
      </c>
      <c r="C39" s="8" t="s">
        <v>46</v>
      </c>
      <c r="D39" s="8" t="s">
        <v>43</v>
      </c>
      <c r="E39" s="9">
        <v>1180537000</v>
      </c>
      <c r="F39" s="9">
        <v>1180537000</v>
      </c>
      <c r="G39" s="9">
        <v>1180536830</v>
      </c>
      <c r="H39" s="9">
        <v>1180537000</v>
      </c>
      <c r="I39" s="9">
        <v>1180536830</v>
      </c>
      <c r="J39" s="9">
        <v>1180537000</v>
      </c>
      <c r="K39" s="9">
        <v>1180537000</v>
      </c>
      <c r="L39" s="9">
        <v>1180537000</v>
      </c>
      <c r="M39" s="9">
        <v>1178737751</v>
      </c>
      <c r="N39" s="9">
        <v>1125107734</v>
      </c>
    </row>
    <row r="40" spans="1:14" x14ac:dyDescent="0.3">
      <c r="A40" s="8" t="s">
        <v>115</v>
      </c>
      <c r="B40" s="8" t="s">
        <v>116</v>
      </c>
      <c r="C40" s="8" t="s">
        <v>46</v>
      </c>
      <c r="D40" s="8" t="s">
        <v>43</v>
      </c>
      <c r="E40" s="9">
        <v>2011824324</v>
      </c>
      <c r="F40" s="9">
        <v>2009841269</v>
      </c>
      <c r="G40" s="9">
        <v>2012573099</v>
      </c>
      <c r="H40" s="9">
        <v>2007386363</v>
      </c>
      <c r="I40" s="9">
        <v>2008753315</v>
      </c>
      <c r="J40" s="9">
        <v>2008951406</v>
      </c>
      <c r="K40" s="9">
        <v>1976603267</v>
      </c>
      <c r="L40" s="9">
        <v>1960586940</v>
      </c>
      <c r="M40" s="9">
        <v>2005710736</v>
      </c>
      <c r="N40" s="9">
        <v>2010032179</v>
      </c>
    </row>
    <row r="41" spans="1:14" x14ac:dyDescent="0.3">
      <c r="A41" s="8" t="s">
        <v>117</v>
      </c>
      <c r="B41" s="8" t="s">
        <v>118</v>
      </c>
      <c r="C41" s="8" t="s">
        <v>46</v>
      </c>
      <c r="D41" s="8" t="s">
        <v>43</v>
      </c>
      <c r="E41" s="9">
        <v>1682894737</v>
      </c>
      <c r="F41" s="9">
        <v>1682894737</v>
      </c>
      <c r="G41" s="9">
        <v>1947449190</v>
      </c>
      <c r="H41" s="9">
        <v>2219405841</v>
      </c>
      <c r="I41" s="9">
        <v>2222881000</v>
      </c>
      <c r="J41" s="9">
        <v>2226668543</v>
      </c>
      <c r="K41" s="9">
        <v>2221699000</v>
      </c>
      <c r="L41" s="9">
        <v>2069492000</v>
      </c>
      <c r="M41" s="9">
        <v>1712424000</v>
      </c>
      <c r="N41" s="9">
        <v>1693206000</v>
      </c>
    </row>
    <row r="42" spans="1:14" x14ac:dyDescent="0.3">
      <c r="A42" s="8" t="s">
        <v>119</v>
      </c>
      <c r="B42" s="8" t="s">
        <v>120</v>
      </c>
      <c r="C42" s="8" t="s">
        <v>46</v>
      </c>
      <c r="D42" s="8" t="s">
        <v>43</v>
      </c>
      <c r="E42" s="9">
        <v>707700000</v>
      </c>
      <c r="F42" s="9">
        <v>708700000</v>
      </c>
      <c r="G42" s="9">
        <v>710300000</v>
      </c>
      <c r="H42" s="9">
        <v>713500000</v>
      </c>
      <c r="I42" s="9">
        <v>716000000</v>
      </c>
      <c r="J42" s="9">
        <v>716100000</v>
      </c>
      <c r="K42" s="9">
        <v>716100000</v>
      </c>
      <c r="L42" s="9">
        <v>715300000</v>
      </c>
      <c r="M42" s="9">
        <v>716000000</v>
      </c>
      <c r="N42" s="9">
        <v>716000000</v>
      </c>
    </row>
    <row r="43" spans="1:14" x14ac:dyDescent="0.3">
      <c r="A43" s="6" t="s">
        <v>121</v>
      </c>
      <c r="B43" s="7"/>
      <c r="C43" s="7"/>
      <c r="D43" s="7"/>
      <c r="E43" s="47"/>
      <c r="F43" s="47"/>
      <c r="G43" s="47"/>
      <c r="H43" s="47"/>
      <c r="I43" s="47"/>
      <c r="J43" s="47"/>
      <c r="K43" s="47"/>
      <c r="L43" s="47"/>
      <c r="M43" s="47"/>
      <c r="N43" s="47"/>
    </row>
    <row r="44" spans="1:14" x14ac:dyDescent="0.3">
      <c r="A44" s="8" t="s">
        <v>122</v>
      </c>
      <c r="B44" s="8" t="s">
        <v>123</v>
      </c>
      <c r="C44" s="8" t="s">
        <v>124</v>
      </c>
      <c r="D44" s="8" t="s">
        <v>121</v>
      </c>
      <c r="E44" s="9">
        <v>201536418</v>
      </c>
      <c r="F44" s="9">
        <v>200188276</v>
      </c>
      <c r="G44" s="9">
        <v>202391673</v>
      </c>
      <c r="H44" s="9">
        <v>201759012</v>
      </c>
      <c r="I44" s="9">
        <v>197606107</v>
      </c>
      <c r="J44" s="9">
        <v>195155924</v>
      </c>
      <c r="K44" s="9">
        <v>194172984</v>
      </c>
      <c r="L44" s="9">
        <v>183263629</v>
      </c>
      <c r="M44" s="9">
        <v>178543596</v>
      </c>
      <c r="N44" s="9">
        <v>178549084</v>
      </c>
    </row>
    <row r="45" spans="1:14" x14ac:dyDescent="0.3">
      <c r="A45" s="8" t="s">
        <v>125</v>
      </c>
      <c r="B45" s="8" t="s">
        <v>126</v>
      </c>
      <c r="C45" s="8" t="s">
        <v>124</v>
      </c>
      <c r="D45" s="8" t="s">
        <v>121</v>
      </c>
      <c r="E45" s="9">
        <v>785621099</v>
      </c>
      <c r="F45" s="9">
        <v>773798837</v>
      </c>
      <c r="G45" s="9">
        <v>773772702</v>
      </c>
      <c r="H45" s="9">
        <v>775167941</v>
      </c>
      <c r="I45" s="9">
        <v>777039858</v>
      </c>
      <c r="J45" s="9">
        <v>783178191</v>
      </c>
      <c r="K45" s="9">
        <v>785326074</v>
      </c>
      <c r="L45" s="9">
        <v>787080579</v>
      </c>
      <c r="M45" s="9">
        <v>788720779</v>
      </c>
      <c r="N45" s="9">
        <v>789961671</v>
      </c>
    </row>
    <row r="46" spans="1:14" x14ac:dyDescent="0.3">
      <c r="A46" s="8" t="s">
        <v>127</v>
      </c>
      <c r="B46" s="8" t="s">
        <v>128</v>
      </c>
      <c r="C46" s="8" t="s">
        <v>124</v>
      </c>
      <c r="D46" s="8" t="s">
        <v>121</v>
      </c>
      <c r="E46" s="9">
        <v>454367277</v>
      </c>
      <c r="F46" s="9">
        <v>454699370</v>
      </c>
      <c r="G46" s="9">
        <v>446440727</v>
      </c>
      <c r="H46" s="9">
        <v>428106916</v>
      </c>
      <c r="I46" s="9">
        <v>418653403</v>
      </c>
      <c r="J46" s="9">
        <v>412927486</v>
      </c>
      <c r="K46" s="9">
        <v>410924074</v>
      </c>
      <c r="L46" s="9">
        <v>404793132</v>
      </c>
      <c r="M46" s="9">
        <v>396190104</v>
      </c>
      <c r="N46" s="9">
        <v>388462000</v>
      </c>
    </row>
    <row r="47" spans="1:14" x14ac:dyDescent="0.3">
      <c r="A47" s="8" t="s">
        <v>129</v>
      </c>
      <c r="B47" s="8" t="s">
        <v>130</v>
      </c>
      <c r="C47" s="8" t="s">
        <v>124</v>
      </c>
      <c r="D47" s="8" t="s">
        <v>121</v>
      </c>
      <c r="E47" s="9">
        <v>918479000</v>
      </c>
      <c r="F47" s="9">
        <v>918479000</v>
      </c>
      <c r="G47" s="9">
        <v>918479000</v>
      </c>
      <c r="H47" s="9">
        <v>918479000</v>
      </c>
      <c r="I47" s="9">
        <v>918479000</v>
      </c>
      <c r="J47" s="9">
        <v>918479000</v>
      </c>
      <c r="K47" s="9">
        <v>918479000</v>
      </c>
      <c r="L47" s="9">
        <v>901754000</v>
      </c>
      <c r="M47" s="9">
        <v>892641000</v>
      </c>
      <c r="N47" s="9">
        <v>895172000</v>
      </c>
    </row>
    <row r="48" spans="1:14" x14ac:dyDescent="0.3">
      <c r="A48" s="8" t="s">
        <v>131</v>
      </c>
      <c r="B48" s="8" t="s">
        <v>132</v>
      </c>
      <c r="C48" s="8" t="s">
        <v>124</v>
      </c>
      <c r="D48" s="8" t="s">
        <v>121</v>
      </c>
      <c r="E48" s="9">
        <v>656494656</v>
      </c>
      <c r="F48" s="9">
        <v>656804571</v>
      </c>
      <c r="G48" s="9">
        <v>657109486</v>
      </c>
      <c r="H48" s="9">
        <v>657600576</v>
      </c>
      <c r="I48" s="9">
        <v>658118053</v>
      </c>
      <c r="J48" s="9">
        <v>659460977</v>
      </c>
      <c r="K48" s="9">
        <v>659880348</v>
      </c>
      <c r="L48" s="9">
        <v>657098549</v>
      </c>
      <c r="M48" s="9">
        <v>638913477</v>
      </c>
      <c r="N48" s="9">
        <v>570599065</v>
      </c>
    </row>
    <row r="49" spans="1:14" x14ac:dyDescent="0.3">
      <c r="A49" s="8" t="s">
        <v>133</v>
      </c>
      <c r="B49" s="8" t="s">
        <v>134</v>
      </c>
      <c r="C49" s="8" t="s">
        <v>124</v>
      </c>
      <c r="D49" s="8" t="s">
        <v>121</v>
      </c>
      <c r="E49" s="9">
        <v>826947808</v>
      </c>
      <c r="F49" s="9">
        <v>832502808</v>
      </c>
      <c r="G49" s="9">
        <v>872108005</v>
      </c>
      <c r="H49" s="9">
        <v>940760000</v>
      </c>
      <c r="I49" s="9">
        <v>981690000</v>
      </c>
      <c r="J49" s="9">
        <v>982420000</v>
      </c>
      <c r="K49" s="9">
        <v>982420000</v>
      </c>
      <c r="L49" s="9">
        <v>982420000</v>
      </c>
      <c r="M49" s="9">
        <v>982420000</v>
      </c>
      <c r="N49" s="9">
        <v>982420000</v>
      </c>
    </row>
    <row r="50" spans="1:14" x14ac:dyDescent="0.3">
      <c r="A50" s="8" t="s">
        <v>135</v>
      </c>
      <c r="B50" s="8" t="s">
        <v>136</v>
      </c>
      <c r="C50" s="8" t="s">
        <v>124</v>
      </c>
      <c r="D50" s="8" t="s">
        <v>121</v>
      </c>
      <c r="E50" s="9">
        <v>226818984</v>
      </c>
      <c r="F50" s="9">
        <v>226818984</v>
      </c>
      <c r="G50" s="9">
        <v>226818984</v>
      </c>
      <c r="H50" s="9">
        <v>226818984</v>
      </c>
      <c r="I50" s="9">
        <v>226818984</v>
      </c>
      <c r="J50" s="9">
        <v>226818984</v>
      </c>
      <c r="K50" s="9">
        <v>226818984</v>
      </c>
      <c r="L50" s="9">
        <v>226818984</v>
      </c>
      <c r="M50" s="9">
        <v>226818984</v>
      </c>
      <c r="N50" s="9">
        <v>224959424</v>
      </c>
    </row>
    <row r="51" spans="1:14" x14ac:dyDescent="0.3">
      <c r="A51" s="8" t="s">
        <v>137</v>
      </c>
      <c r="B51" s="8" t="s">
        <v>138</v>
      </c>
      <c r="C51" s="8" t="s">
        <v>124</v>
      </c>
      <c r="D51" s="8" t="s">
        <v>121</v>
      </c>
      <c r="E51" s="9">
        <v>154500000</v>
      </c>
      <c r="F51" s="9">
        <v>154500000</v>
      </c>
      <c r="G51" s="9">
        <v>154500000</v>
      </c>
      <c r="H51" s="9">
        <v>154500000</v>
      </c>
      <c r="I51" s="9">
        <v>154500000</v>
      </c>
      <c r="J51" s="9">
        <v>154500000</v>
      </c>
      <c r="K51" s="9">
        <v>154500000</v>
      </c>
      <c r="L51" s="9">
        <v>154500000</v>
      </c>
      <c r="M51" s="9">
        <v>151100000</v>
      </c>
      <c r="N51" s="9">
        <v>144700000</v>
      </c>
    </row>
    <row r="52" spans="1:14" x14ac:dyDescent="0.3">
      <c r="A52" s="8" t="s">
        <v>139</v>
      </c>
      <c r="B52" s="8" t="s">
        <v>140</v>
      </c>
      <c r="C52" s="8" t="s">
        <v>124</v>
      </c>
      <c r="D52" s="8" t="s">
        <v>121</v>
      </c>
      <c r="E52" s="9">
        <v>1208568906</v>
      </c>
      <c r="F52" s="9">
        <v>1252357634</v>
      </c>
      <c r="G52" s="9">
        <v>1252357634</v>
      </c>
      <c r="H52" s="9">
        <v>1252357634</v>
      </c>
      <c r="I52" s="9">
        <v>1252357634</v>
      </c>
      <c r="J52" s="9">
        <v>1252357634</v>
      </c>
      <c r="K52" s="9">
        <v>1252357634</v>
      </c>
      <c r="L52" s="9">
        <v>1252357634</v>
      </c>
      <c r="M52" s="9">
        <v>1245699309</v>
      </c>
      <c r="N52" s="9">
        <v>1187512000</v>
      </c>
    </row>
    <row r="53" spans="1:14" x14ac:dyDescent="0.3">
      <c r="A53" s="8" t="s">
        <v>141</v>
      </c>
      <c r="B53" s="8" t="s">
        <v>142</v>
      </c>
      <c r="C53" s="8" t="s">
        <v>124</v>
      </c>
      <c r="D53" s="8" t="s">
        <v>121</v>
      </c>
      <c r="E53" s="9">
        <v>200000000</v>
      </c>
      <c r="F53" s="9">
        <v>200000000</v>
      </c>
      <c r="G53" s="9">
        <v>200000000</v>
      </c>
      <c r="H53" s="9">
        <v>200000000</v>
      </c>
      <c r="I53" s="9">
        <v>200000000</v>
      </c>
      <c r="J53" s="9">
        <v>200000000</v>
      </c>
      <c r="K53" s="9">
        <v>200000000</v>
      </c>
      <c r="L53" s="9">
        <v>200000000</v>
      </c>
      <c r="M53" s="9">
        <v>200000000</v>
      </c>
      <c r="N53" s="9">
        <v>200000000</v>
      </c>
    </row>
    <row r="54" spans="1:14" x14ac:dyDescent="0.3">
      <c r="A54" s="8" t="s">
        <v>143</v>
      </c>
      <c r="B54" s="8" t="s">
        <v>144</v>
      </c>
      <c r="C54" s="8" t="s">
        <v>124</v>
      </c>
      <c r="D54" s="8" t="s">
        <v>121</v>
      </c>
      <c r="E54" s="9"/>
      <c r="F54" s="9">
        <v>202500000</v>
      </c>
      <c r="G54" s="9">
        <v>202396416</v>
      </c>
      <c r="H54" s="9">
        <v>192768826</v>
      </c>
      <c r="I54" s="9">
        <v>182728724</v>
      </c>
      <c r="J54" s="9">
        <v>184912207</v>
      </c>
      <c r="K54" s="9">
        <v>193165396</v>
      </c>
      <c r="L54" s="9">
        <v>190933438</v>
      </c>
      <c r="M54" s="9">
        <v>189262192</v>
      </c>
      <c r="N54" s="9">
        <v>188740330</v>
      </c>
    </row>
    <row r="55" spans="1:14" x14ac:dyDescent="0.3">
      <c r="A55" s="8" t="s">
        <v>145</v>
      </c>
      <c r="B55" s="8" t="s">
        <v>146</v>
      </c>
      <c r="C55" s="8" t="s">
        <v>124</v>
      </c>
      <c r="D55" s="8" t="s">
        <v>121</v>
      </c>
      <c r="E55" s="9"/>
      <c r="F55" s="9"/>
      <c r="G55" s="9"/>
      <c r="H55" s="9"/>
      <c r="I55" s="9"/>
      <c r="J55" s="9"/>
      <c r="K55" s="9"/>
      <c r="L55" s="9">
        <v>822951882</v>
      </c>
      <c r="M55" s="9">
        <v>818000000</v>
      </c>
      <c r="N55" s="9">
        <v>796000000</v>
      </c>
    </row>
    <row r="56" spans="1:14" x14ac:dyDescent="0.3">
      <c r="A56" s="8" t="s">
        <v>147</v>
      </c>
      <c r="B56" s="8" t="s">
        <v>148</v>
      </c>
      <c r="C56" s="8" t="s">
        <v>124</v>
      </c>
      <c r="D56" s="8" t="s">
        <v>121</v>
      </c>
      <c r="E56" s="9">
        <v>1742394689</v>
      </c>
      <c r="F56" s="9">
        <v>1555280876</v>
      </c>
      <c r="G56" s="9">
        <v>1967700000</v>
      </c>
      <c r="H56" s="9">
        <v>2102199999</v>
      </c>
      <c r="I56" s="9">
        <v>2110000000</v>
      </c>
      <c r="J56" s="9">
        <v>2108199999</v>
      </c>
      <c r="K56" s="9">
        <v>2096500000</v>
      </c>
      <c r="L56" s="9">
        <v>2084900000</v>
      </c>
      <c r="M56" s="9">
        <v>2064100000</v>
      </c>
      <c r="N56" s="9">
        <v>1993600000</v>
      </c>
    </row>
    <row r="57" spans="1:14" x14ac:dyDescent="0.3">
      <c r="A57" s="8" t="s">
        <v>149</v>
      </c>
      <c r="B57" s="8" t="s">
        <v>150</v>
      </c>
      <c r="C57" s="8" t="s">
        <v>124</v>
      </c>
      <c r="D57" s="8" t="s">
        <v>121</v>
      </c>
      <c r="E57" s="9">
        <v>184997923</v>
      </c>
      <c r="F57" s="9">
        <v>186764058</v>
      </c>
      <c r="G57" s="9">
        <v>186835673</v>
      </c>
      <c r="H57" s="9">
        <v>184887281</v>
      </c>
      <c r="I57" s="9">
        <v>183381196</v>
      </c>
      <c r="J57" s="9">
        <v>183452436</v>
      </c>
      <c r="K57" s="9">
        <v>183546106</v>
      </c>
      <c r="L57" s="9">
        <v>183630715</v>
      </c>
      <c r="M57" s="9">
        <v>184298877</v>
      </c>
      <c r="N57" s="9">
        <v>183820000</v>
      </c>
    </row>
    <row r="58" spans="1:14" x14ac:dyDescent="0.3">
      <c r="A58" s="8" t="s">
        <v>151</v>
      </c>
      <c r="B58" s="8" t="s">
        <v>152</v>
      </c>
      <c r="C58" s="8" t="s">
        <v>124</v>
      </c>
      <c r="D58" s="8" t="s">
        <v>121</v>
      </c>
      <c r="E58" s="9">
        <v>1210620132</v>
      </c>
      <c r="F58" s="9">
        <v>1203092606</v>
      </c>
      <c r="G58" s="9">
        <v>1210097823</v>
      </c>
      <c r="H58" s="9">
        <v>1230118545</v>
      </c>
      <c r="I58" s="9">
        <v>1234109757</v>
      </c>
      <c r="J58" s="9">
        <v>1236900096</v>
      </c>
      <c r="K58" s="9">
        <v>1232451264</v>
      </c>
      <c r="L58" s="9">
        <v>1214024931</v>
      </c>
      <c r="M58" s="9">
        <v>1188885217</v>
      </c>
      <c r="N58" s="9">
        <v>1166162127</v>
      </c>
    </row>
    <row r="59" spans="1:14" x14ac:dyDescent="0.3">
      <c r="A59" s="8" t="s">
        <v>153</v>
      </c>
      <c r="B59" s="8" t="s">
        <v>154</v>
      </c>
      <c r="C59" s="8" t="s">
        <v>124</v>
      </c>
      <c r="D59" s="8" t="s">
        <v>121</v>
      </c>
      <c r="E59" s="9"/>
      <c r="F59" s="9"/>
      <c r="G59" s="9"/>
      <c r="H59" s="9"/>
      <c r="I59" s="9"/>
      <c r="J59" s="9"/>
      <c r="K59" s="9"/>
      <c r="L59" s="9"/>
      <c r="M59" s="9">
        <v>906490099</v>
      </c>
      <c r="N59" s="9">
        <v>911000000</v>
      </c>
    </row>
    <row r="60" spans="1:14" x14ac:dyDescent="0.3">
      <c r="A60" s="8" t="s">
        <v>155</v>
      </c>
      <c r="B60" s="8" t="s">
        <v>156</v>
      </c>
      <c r="C60" s="8" t="s">
        <v>124</v>
      </c>
      <c r="D60" s="8" t="s">
        <v>121</v>
      </c>
      <c r="E60" s="9">
        <v>4553000000</v>
      </c>
      <c r="F60" s="9">
        <v>4625000000</v>
      </c>
      <c r="G60" s="9">
        <v>4703000000</v>
      </c>
      <c r="H60" s="9">
        <v>4742000000</v>
      </c>
      <c r="I60" s="9">
        <v>4743000000</v>
      </c>
      <c r="J60" s="9">
        <v>4743000000</v>
      </c>
      <c r="K60" s="9">
        <v>4813000000</v>
      </c>
      <c r="L60" s="9">
        <v>4972000000</v>
      </c>
      <c r="M60" s="9">
        <v>4976000000</v>
      </c>
      <c r="N60" s="9">
        <v>4938000000</v>
      </c>
    </row>
    <row r="61" spans="1:14" x14ac:dyDescent="0.3">
      <c r="A61" s="8" t="s">
        <v>157</v>
      </c>
      <c r="B61" s="8" t="s">
        <v>158</v>
      </c>
      <c r="C61" s="8" t="s">
        <v>124</v>
      </c>
      <c r="D61" s="8" t="s">
        <v>121</v>
      </c>
      <c r="E61" s="9">
        <v>1944000000</v>
      </c>
      <c r="F61" s="9">
        <v>1952000000</v>
      </c>
      <c r="G61" s="9">
        <v>2129000000</v>
      </c>
      <c r="H61" s="9">
        <v>2167000000</v>
      </c>
      <c r="I61" s="9">
        <v>2293000000</v>
      </c>
      <c r="J61" s="9">
        <v>2607000000</v>
      </c>
      <c r="K61" s="9">
        <v>2608000000</v>
      </c>
      <c r="L61" s="9">
        <v>2609000000</v>
      </c>
      <c r="M61" s="9">
        <v>2611000000</v>
      </c>
      <c r="N61" s="9">
        <v>2612000000</v>
      </c>
    </row>
    <row r="62" spans="1:14" x14ac:dyDescent="0.3">
      <c r="A62" s="8" t="s">
        <v>159</v>
      </c>
      <c r="B62" s="8" t="s">
        <v>160</v>
      </c>
      <c r="C62" s="8" t="s">
        <v>124</v>
      </c>
      <c r="D62" s="8" t="s">
        <v>121</v>
      </c>
      <c r="E62" s="9">
        <v>544891919</v>
      </c>
      <c r="F62" s="9">
        <v>547397823</v>
      </c>
      <c r="G62" s="9">
        <v>555141474</v>
      </c>
      <c r="H62" s="9">
        <v>556563377</v>
      </c>
      <c r="I62" s="9">
        <v>556820762</v>
      </c>
      <c r="J62" s="9">
        <v>557451759</v>
      </c>
      <c r="K62" s="9">
        <v>558061878</v>
      </c>
      <c r="L62" s="9">
        <v>561264305</v>
      </c>
      <c r="M62" s="9">
        <v>563237277</v>
      </c>
      <c r="N62" s="9">
        <v>563237277</v>
      </c>
    </row>
    <row r="63" spans="1:14" x14ac:dyDescent="0.3">
      <c r="A63" s="8" t="s">
        <v>161</v>
      </c>
      <c r="B63" s="8" t="s">
        <v>162</v>
      </c>
      <c r="C63" s="8" t="s">
        <v>124</v>
      </c>
      <c r="D63" s="8" t="s">
        <v>121</v>
      </c>
      <c r="E63" s="9">
        <v>120621081</v>
      </c>
      <c r="F63" s="9">
        <v>120620906</v>
      </c>
      <c r="G63" s="9">
        <v>120596984</v>
      </c>
      <c r="H63" s="9">
        <v>120596999</v>
      </c>
      <c r="I63" s="9">
        <v>120596997</v>
      </c>
      <c r="J63" s="9">
        <v>120638387</v>
      </c>
      <c r="K63" s="9">
        <v>120600783</v>
      </c>
      <c r="L63" s="9">
        <v>120680061</v>
      </c>
      <c r="M63" s="9">
        <v>120608063</v>
      </c>
      <c r="N63" s="9">
        <v>120597011</v>
      </c>
    </row>
    <row r="64" spans="1:14" x14ac:dyDescent="0.3">
      <c r="A64" s="8" t="s">
        <v>163</v>
      </c>
      <c r="B64" s="8" t="s">
        <v>164</v>
      </c>
      <c r="C64" s="8" t="s">
        <v>124</v>
      </c>
      <c r="D64" s="8" t="s">
        <v>121</v>
      </c>
      <c r="E64" s="9">
        <v>187916000</v>
      </c>
      <c r="F64" s="9">
        <v>193023000</v>
      </c>
      <c r="G64" s="9">
        <v>198416000</v>
      </c>
      <c r="H64" s="9">
        <v>198416000</v>
      </c>
      <c r="I64" s="9">
        <v>198416000</v>
      </c>
      <c r="J64" s="9">
        <v>198416000</v>
      </c>
      <c r="K64" s="9">
        <v>197308000</v>
      </c>
      <c r="L64" s="9">
        <v>189028000</v>
      </c>
      <c r="M64" s="9">
        <v>185008000</v>
      </c>
      <c r="N64" s="9">
        <v>184260047</v>
      </c>
    </row>
    <row r="65" spans="1:14" x14ac:dyDescent="0.3">
      <c r="A65" s="8" t="s">
        <v>165</v>
      </c>
      <c r="B65" s="8" t="s">
        <v>166</v>
      </c>
      <c r="C65" s="8" t="s">
        <v>124</v>
      </c>
      <c r="D65" s="8" t="s">
        <v>121</v>
      </c>
      <c r="E65" s="9">
        <v>434278187</v>
      </c>
      <c r="F65" s="9">
        <v>434278198</v>
      </c>
      <c r="G65" s="9">
        <v>434278198</v>
      </c>
      <c r="H65" s="9">
        <v>434278198</v>
      </c>
      <c r="I65" s="9">
        <v>434278198</v>
      </c>
      <c r="J65" s="9">
        <v>434278198</v>
      </c>
      <c r="K65" s="9">
        <v>434278198</v>
      </c>
      <c r="L65" s="9">
        <v>428416547</v>
      </c>
      <c r="M65" s="9">
        <v>421086262</v>
      </c>
      <c r="N65" s="9">
        <v>419874477</v>
      </c>
    </row>
    <row r="66" spans="1:14" x14ac:dyDescent="0.3">
      <c r="A66" s="8" t="s">
        <v>167</v>
      </c>
      <c r="B66" s="8" t="s">
        <v>168</v>
      </c>
      <c r="C66" s="8" t="s">
        <v>124</v>
      </c>
      <c r="D66" s="8" t="s">
        <v>121</v>
      </c>
      <c r="E66" s="9">
        <v>1122600000</v>
      </c>
      <c r="F66" s="9">
        <v>1125200000</v>
      </c>
      <c r="G66" s="9">
        <v>1128600000</v>
      </c>
      <c r="H66" s="9">
        <v>1130500000</v>
      </c>
      <c r="I66" s="9">
        <v>1163400000</v>
      </c>
      <c r="J66" s="9">
        <v>1264500000</v>
      </c>
      <c r="K66" s="9">
        <v>1301200000</v>
      </c>
      <c r="L66" s="9">
        <v>1301800000</v>
      </c>
      <c r="M66" s="9">
        <v>1303000000</v>
      </c>
      <c r="N66" s="9">
        <v>1301000000</v>
      </c>
    </row>
    <row r="67" spans="1:14" x14ac:dyDescent="0.3">
      <c r="A67" s="8" t="s">
        <v>169</v>
      </c>
      <c r="B67" s="8" t="s">
        <v>170</v>
      </c>
      <c r="C67" s="8" t="s">
        <v>124</v>
      </c>
      <c r="D67" s="8" t="s">
        <v>121</v>
      </c>
      <c r="E67" s="9">
        <v>1069800000</v>
      </c>
      <c r="F67" s="9">
        <v>1069800000</v>
      </c>
      <c r="G67" s="9">
        <v>1069800000</v>
      </c>
      <c r="H67" s="9">
        <v>1069800000</v>
      </c>
      <c r="I67" s="9">
        <v>1069800000</v>
      </c>
      <c r="J67" s="9">
        <v>1069800000</v>
      </c>
      <c r="K67" s="9">
        <v>1069800000</v>
      </c>
      <c r="L67" s="9">
        <v>1069800000</v>
      </c>
      <c r="M67" s="9">
        <v>1059599999</v>
      </c>
      <c r="N67" s="9">
        <v>1002000000</v>
      </c>
    </row>
    <row r="68" spans="1:14" x14ac:dyDescent="0.3">
      <c r="A68" s="8" t="s">
        <v>171</v>
      </c>
      <c r="B68" s="8" t="s">
        <v>172</v>
      </c>
      <c r="C68" s="8" t="s">
        <v>124</v>
      </c>
      <c r="D68" s="8" t="s">
        <v>121</v>
      </c>
      <c r="E68" s="9">
        <v>434777878</v>
      </c>
      <c r="F68" s="9">
        <v>434400000</v>
      </c>
      <c r="G68" s="9">
        <v>434777878</v>
      </c>
      <c r="H68" s="9">
        <v>434777878</v>
      </c>
      <c r="I68" s="9">
        <v>434777878</v>
      </c>
      <c r="J68" s="9">
        <v>434777878</v>
      </c>
      <c r="K68" s="9">
        <v>434777878</v>
      </c>
      <c r="L68" s="9">
        <v>434777878</v>
      </c>
      <c r="M68" s="9">
        <v>434777878</v>
      </c>
      <c r="N68" s="9">
        <v>434777878</v>
      </c>
    </row>
    <row r="69" spans="1:14" x14ac:dyDescent="0.3">
      <c r="A69" s="8" t="s">
        <v>173</v>
      </c>
      <c r="B69" s="8" t="s">
        <v>174</v>
      </c>
      <c r="C69" s="8" t="s">
        <v>124</v>
      </c>
      <c r="D69" s="8" t="s">
        <v>121</v>
      </c>
      <c r="E69" s="9">
        <v>51073326</v>
      </c>
      <c r="F69" s="9">
        <v>51262220</v>
      </c>
      <c r="G69" s="9">
        <v>51442495</v>
      </c>
      <c r="H69" s="9">
        <v>55185185</v>
      </c>
      <c r="I69" s="9">
        <v>51813526</v>
      </c>
      <c r="J69" s="9">
        <v>52985567</v>
      </c>
      <c r="K69" s="9">
        <v>53325298</v>
      </c>
      <c r="L69" s="9">
        <v>53366518</v>
      </c>
      <c r="M69" s="9">
        <v>53691433</v>
      </c>
      <c r="N69" s="9">
        <v>54545454</v>
      </c>
    </row>
    <row r="70" spans="1:14" x14ac:dyDescent="0.3">
      <c r="A70" s="8" t="s">
        <v>175</v>
      </c>
      <c r="B70" s="8" t="s">
        <v>176</v>
      </c>
      <c r="C70" s="8" t="s">
        <v>124</v>
      </c>
      <c r="D70" s="8" t="s">
        <v>121</v>
      </c>
      <c r="E70" s="9">
        <v>165893895</v>
      </c>
      <c r="F70" s="9">
        <v>159975155</v>
      </c>
      <c r="G70" s="9">
        <v>154060991</v>
      </c>
      <c r="H70" s="9">
        <v>148703565</v>
      </c>
      <c r="I70" s="9">
        <v>143638536</v>
      </c>
      <c r="J70" s="9">
        <v>140285225</v>
      </c>
      <c r="K70" s="9">
        <v>140098931</v>
      </c>
      <c r="L70" s="9">
        <v>139364438</v>
      </c>
      <c r="M70" s="9">
        <v>135976812</v>
      </c>
      <c r="N70" s="9">
        <v>132886198</v>
      </c>
    </row>
    <row r="71" spans="1:14" x14ac:dyDescent="0.3">
      <c r="A71" s="8" t="s">
        <v>177</v>
      </c>
      <c r="B71" s="8" t="s">
        <v>178</v>
      </c>
      <c r="C71" s="8" t="s">
        <v>124</v>
      </c>
      <c r="D71" s="8" t="s">
        <v>121</v>
      </c>
      <c r="E71" s="9">
        <v>306250000</v>
      </c>
      <c r="F71" s="9">
        <v>306250000</v>
      </c>
      <c r="G71" s="9">
        <v>306250000</v>
      </c>
      <c r="H71" s="9">
        <v>306250000</v>
      </c>
      <c r="I71" s="9">
        <v>306250000</v>
      </c>
      <c r="J71" s="9">
        <v>306250000</v>
      </c>
      <c r="K71" s="9">
        <v>306250000</v>
      </c>
      <c r="L71" s="9">
        <v>306250000</v>
      </c>
      <c r="M71" s="9">
        <v>306250000</v>
      </c>
      <c r="N71" s="9">
        <v>306250000</v>
      </c>
    </row>
    <row r="72" spans="1:14" x14ac:dyDescent="0.3">
      <c r="A72" s="8" t="s">
        <v>179</v>
      </c>
      <c r="B72" s="8" t="s">
        <v>180</v>
      </c>
      <c r="C72" s="8" t="s">
        <v>124</v>
      </c>
      <c r="D72" s="8" t="s">
        <v>121</v>
      </c>
      <c r="E72" s="9">
        <v>212032295</v>
      </c>
      <c r="F72" s="9">
        <v>213228299</v>
      </c>
      <c r="G72" s="9">
        <v>215086501</v>
      </c>
      <c r="H72" s="9">
        <v>213734159</v>
      </c>
      <c r="I72" s="9">
        <v>213863358</v>
      </c>
      <c r="J72" s="9">
        <v>215419400</v>
      </c>
      <c r="K72" s="9">
        <v>215000683</v>
      </c>
      <c r="L72" s="9">
        <v>214617802</v>
      </c>
      <c r="M72" s="9">
        <v>215154401</v>
      </c>
      <c r="N72" s="9">
        <v>216435226</v>
      </c>
    </row>
    <row r="73" spans="1:14" x14ac:dyDescent="0.3">
      <c r="A73" s="8" t="s">
        <v>181</v>
      </c>
      <c r="B73" s="8" t="s">
        <v>182</v>
      </c>
      <c r="C73" s="8" t="s">
        <v>124</v>
      </c>
      <c r="D73" s="8" t="s">
        <v>121</v>
      </c>
      <c r="E73" s="9">
        <v>38980000</v>
      </c>
      <c r="F73" s="9">
        <v>42610000</v>
      </c>
      <c r="G73" s="9">
        <v>42800000</v>
      </c>
      <c r="H73" s="9">
        <v>42950000</v>
      </c>
      <c r="I73" s="9">
        <v>43060000</v>
      </c>
      <c r="J73" s="9">
        <v>43170000</v>
      </c>
      <c r="K73" s="9">
        <v>43280000</v>
      </c>
      <c r="L73" s="9">
        <v>43360000</v>
      </c>
      <c r="M73" s="9">
        <v>43410000</v>
      </c>
      <c r="N73" s="9">
        <v>40210602</v>
      </c>
    </row>
    <row r="74" spans="1:14" x14ac:dyDescent="0.3">
      <c r="A74" s="8" t="s">
        <v>183</v>
      </c>
      <c r="B74" s="8" t="s">
        <v>184</v>
      </c>
      <c r="C74" s="8" t="s">
        <v>124</v>
      </c>
      <c r="D74" s="8" t="s">
        <v>121</v>
      </c>
      <c r="E74" s="9">
        <v>614745000</v>
      </c>
      <c r="F74" s="9">
        <v>614745000</v>
      </c>
      <c r="G74" s="9">
        <v>614745000</v>
      </c>
      <c r="H74" s="9">
        <v>614745000</v>
      </c>
      <c r="I74" s="9">
        <v>614745000</v>
      </c>
      <c r="J74" s="9">
        <v>637286000</v>
      </c>
      <c r="K74" s="9">
        <v>676220000</v>
      </c>
      <c r="L74" s="9">
        <v>691247000</v>
      </c>
      <c r="M74" s="9">
        <v>743841000</v>
      </c>
      <c r="N74" s="9">
        <v>743554000</v>
      </c>
    </row>
    <row r="75" spans="1:14" x14ac:dyDescent="0.3">
      <c r="A75" s="8" t="s">
        <v>185</v>
      </c>
      <c r="B75" s="8" t="s">
        <v>186</v>
      </c>
      <c r="C75" s="8" t="s">
        <v>124</v>
      </c>
      <c r="D75" s="8" t="s">
        <v>121</v>
      </c>
      <c r="E75" s="9">
        <v>1197000000</v>
      </c>
      <c r="F75" s="9">
        <v>1198000000</v>
      </c>
      <c r="G75" s="9">
        <v>1197000000</v>
      </c>
      <c r="H75" s="9">
        <v>1194000000</v>
      </c>
      <c r="I75" s="9">
        <v>1194000000</v>
      </c>
      <c r="J75" s="9">
        <v>1182000000</v>
      </c>
      <c r="K75" s="9">
        <v>1179579340</v>
      </c>
      <c r="L75" s="9">
        <v>1170000000</v>
      </c>
      <c r="M75" s="9">
        <v>1167000000</v>
      </c>
      <c r="N75" s="9">
        <v>1166000000</v>
      </c>
    </row>
    <row r="76" spans="1:14" x14ac:dyDescent="0.3">
      <c r="A76" s="8" t="s">
        <v>187</v>
      </c>
      <c r="B76" s="8" t="s">
        <v>188</v>
      </c>
      <c r="C76" s="8" t="s">
        <v>124</v>
      </c>
      <c r="D76" s="8" t="s">
        <v>121</v>
      </c>
      <c r="E76" s="9">
        <v>68194868</v>
      </c>
      <c r="F76" s="9">
        <v>68388292</v>
      </c>
      <c r="G76" s="9">
        <v>68388292</v>
      </c>
      <c r="H76" s="9">
        <v>68388292</v>
      </c>
      <c r="I76" s="9">
        <v>68388292</v>
      </c>
      <c r="J76" s="9">
        <v>68415862</v>
      </c>
      <c r="K76" s="9">
        <v>68415862</v>
      </c>
      <c r="L76" s="9">
        <v>68415862</v>
      </c>
      <c r="M76" s="9">
        <v>68415862</v>
      </c>
      <c r="N76" s="9">
        <v>68975331</v>
      </c>
    </row>
    <row r="77" spans="1:14" x14ac:dyDescent="0.3">
      <c r="A77" s="8" t="s">
        <v>189</v>
      </c>
      <c r="B77" s="8" t="s">
        <v>190</v>
      </c>
      <c r="C77" s="8" t="s">
        <v>124</v>
      </c>
      <c r="D77" s="8" t="s">
        <v>121</v>
      </c>
      <c r="E77" s="9">
        <v>823408000</v>
      </c>
      <c r="F77" s="9">
        <v>808686000</v>
      </c>
      <c r="G77" s="9">
        <v>812180000</v>
      </c>
      <c r="H77" s="9">
        <v>815063000</v>
      </c>
      <c r="I77" s="9">
        <v>807273000</v>
      </c>
      <c r="J77" s="9">
        <v>806335000</v>
      </c>
      <c r="K77" s="9">
        <v>801829000</v>
      </c>
      <c r="L77" s="9">
        <v>801338000</v>
      </c>
      <c r="M77" s="9">
        <v>791538000</v>
      </c>
      <c r="N77" s="9">
        <v>787847000</v>
      </c>
    </row>
    <row r="78" spans="1:14" x14ac:dyDescent="0.3">
      <c r="A78" s="8" t="s">
        <v>191</v>
      </c>
      <c r="B78" s="8" t="s">
        <v>192</v>
      </c>
      <c r="C78" s="8" t="s">
        <v>124</v>
      </c>
      <c r="D78" s="8" t="s">
        <v>121</v>
      </c>
      <c r="E78" s="9"/>
      <c r="F78" s="9"/>
      <c r="G78" s="9"/>
      <c r="H78" s="9"/>
      <c r="I78" s="9"/>
      <c r="J78" s="9"/>
      <c r="K78" s="9">
        <v>714747000</v>
      </c>
      <c r="L78" s="9">
        <v>720827000</v>
      </c>
      <c r="M78" s="9">
        <v>828902000</v>
      </c>
      <c r="N78" s="9">
        <v>862804000</v>
      </c>
    </row>
    <row r="79" spans="1:14" x14ac:dyDescent="0.3">
      <c r="A79" s="8" t="s">
        <v>193</v>
      </c>
      <c r="B79" s="8" t="s">
        <v>194</v>
      </c>
      <c r="C79" s="8" t="s">
        <v>124</v>
      </c>
      <c r="D79" s="8" t="s">
        <v>121</v>
      </c>
      <c r="E79" s="9"/>
      <c r="F79" s="9"/>
      <c r="G79" s="9"/>
      <c r="H79" s="9"/>
      <c r="I79" s="9">
        <v>999245000</v>
      </c>
      <c r="J79" s="9">
        <v>1001859000</v>
      </c>
      <c r="K79" s="9">
        <v>1099690000</v>
      </c>
      <c r="L79" s="9">
        <v>1122794000</v>
      </c>
      <c r="M79" s="9">
        <v>1119472000</v>
      </c>
      <c r="N79" s="9">
        <v>1116091954</v>
      </c>
    </row>
    <row r="80" spans="1:14" x14ac:dyDescent="0.3">
      <c r="A80" s="8" t="s">
        <v>195</v>
      </c>
      <c r="B80" s="8" t="s">
        <v>196</v>
      </c>
      <c r="C80" s="8" t="s">
        <v>124</v>
      </c>
      <c r="D80" s="8" t="s">
        <v>121</v>
      </c>
      <c r="E80" s="9">
        <v>129812574</v>
      </c>
      <c r="F80" s="9">
        <v>129812574</v>
      </c>
      <c r="G80" s="9">
        <v>129812574</v>
      </c>
      <c r="H80" s="9">
        <v>129812574</v>
      </c>
      <c r="I80" s="9">
        <v>134802828</v>
      </c>
      <c r="J80" s="9">
        <v>135426610</v>
      </c>
      <c r="K80" s="9">
        <v>136633677</v>
      </c>
      <c r="L80" s="9">
        <v>139772054</v>
      </c>
      <c r="M80" s="9">
        <v>139772054</v>
      </c>
      <c r="N80" s="9">
        <v>139824561</v>
      </c>
    </row>
    <row r="81" spans="1:14" x14ac:dyDescent="0.3">
      <c r="A81" s="8" t="s">
        <v>197</v>
      </c>
      <c r="B81" s="8" t="s">
        <v>198</v>
      </c>
      <c r="C81" s="8" t="s">
        <v>124</v>
      </c>
      <c r="D81" s="8" t="s">
        <v>121</v>
      </c>
      <c r="E81" s="9">
        <v>501295263</v>
      </c>
      <c r="F81" s="9">
        <v>501295263</v>
      </c>
      <c r="G81" s="9">
        <v>501295263</v>
      </c>
      <c r="H81" s="9">
        <v>501295263</v>
      </c>
      <c r="I81" s="9">
        <v>501295263</v>
      </c>
      <c r="J81" s="9">
        <v>501295263</v>
      </c>
      <c r="K81" s="9">
        <v>501295263</v>
      </c>
      <c r="L81" s="9">
        <v>501295263</v>
      </c>
      <c r="M81" s="9">
        <v>501295263</v>
      </c>
      <c r="N81" s="9">
        <v>501295000</v>
      </c>
    </row>
    <row r="82" spans="1:14" x14ac:dyDescent="0.3">
      <c r="A82" s="8" t="s">
        <v>199</v>
      </c>
      <c r="B82" s="8" t="s">
        <v>200</v>
      </c>
      <c r="C82" s="8" t="s">
        <v>124</v>
      </c>
      <c r="D82" s="8" t="s">
        <v>121</v>
      </c>
      <c r="E82" s="9">
        <v>509571340</v>
      </c>
      <c r="F82" s="9">
        <v>587839331</v>
      </c>
      <c r="G82" s="9">
        <v>601037037</v>
      </c>
      <c r="H82" s="9">
        <v>637944806</v>
      </c>
      <c r="I82" s="9">
        <v>672020773</v>
      </c>
      <c r="J82" s="9">
        <v>693775179</v>
      </c>
      <c r="K82" s="9">
        <v>626466541</v>
      </c>
      <c r="L82" s="9">
        <v>785122908</v>
      </c>
      <c r="M82" s="9">
        <v>806251614</v>
      </c>
      <c r="N82" s="9">
        <v>819354465</v>
      </c>
    </row>
    <row r="83" spans="1:14" x14ac:dyDescent="0.3">
      <c r="A83" s="8" t="s">
        <v>201</v>
      </c>
      <c r="B83" s="8" t="s">
        <v>202</v>
      </c>
      <c r="C83" s="8" t="s">
        <v>124</v>
      </c>
      <c r="D83" s="8" t="s">
        <v>121</v>
      </c>
      <c r="E83" s="9">
        <v>246200000</v>
      </c>
      <c r="F83" s="9">
        <v>247200000</v>
      </c>
      <c r="G83" s="9">
        <v>247300000</v>
      </c>
      <c r="H83" s="9">
        <v>247300000</v>
      </c>
      <c r="I83" s="9">
        <v>247600000</v>
      </c>
      <c r="J83" s="9">
        <v>250500000</v>
      </c>
      <c r="K83" s="9">
        <v>257600000</v>
      </c>
      <c r="L83" s="9">
        <v>257899999</v>
      </c>
      <c r="M83" s="9">
        <v>259700000</v>
      </c>
      <c r="N83" s="9">
        <v>259100000</v>
      </c>
    </row>
    <row r="84" spans="1:14" x14ac:dyDescent="0.3">
      <c r="A84" s="6" t="s">
        <v>203</v>
      </c>
      <c r="B84" s="7"/>
      <c r="C84" s="7"/>
      <c r="D84" s="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 spans="1:14" x14ac:dyDescent="0.3">
      <c r="A85" s="8" t="s">
        <v>204</v>
      </c>
      <c r="B85" s="8" t="s">
        <v>205</v>
      </c>
      <c r="C85" s="8" t="s">
        <v>206</v>
      </c>
      <c r="D85" s="8" t="s">
        <v>203</v>
      </c>
      <c r="E85" s="9">
        <v>502395491</v>
      </c>
      <c r="F85" s="9">
        <v>502911125</v>
      </c>
      <c r="G85" s="9">
        <v>502412694</v>
      </c>
      <c r="H85" s="9">
        <v>502825461</v>
      </c>
      <c r="I85" s="9">
        <v>503218851</v>
      </c>
      <c r="J85" s="9">
        <v>503679272</v>
      </c>
      <c r="K85" s="9">
        <v>503627708</v>
      </c>
      <c r="L85" s="9">
        <v>502120694</v>
      </c>
      <c r="M85" s="9">
        <v>500056586</v>
      </c>
      <c r="N85" s="9">
        <v>499413000</v>
      </c>
    </row>
    <row r="86" spans="1:14" x14ac:dyDescent="0.3">
      <c r="A86" s="8" t="s">
        <v>207</v>
      </c>
      <c r="B86" s="8" t="s">
        <v>208</v>
      </c>
      <c r="C86" s="8" t="s">
        <v>206</v>
      </c>
      <c r="D86" s="8" t="s">
        <v>203</v>
      </c>
      <c r="E86" s="9">
        <v>568346000</v>
      </c>
      <c r="F86" s="9">
        <v>561222000</v>
      </c>
      <c r="G86" s="9">
        <v>557731000</v>
      </c>
      <c r="H86" s="9">
        <v>554006000</v>
      </c>
      <c r="I86" s="9">
        <v>551067000</v>
      </c>
      <c r="J86" s="9">
        <v>553767000</v>
      </c>
      <c r="K86" s="9">
        <v>556432000</v>
      </c>
      <c r="L86" s="9">
        <v>558129000</v>
      </c>
      <c r="M86" s="9">
        <v>566195190</v>
      </c>
      <c r="N86" s="9">
        <v>560716000</v>
      </c>
    </row>
    <row r="87" spans="1:14" x14ac:dyDescent="0.3">
      <c r="A87" s="8" t="s">
        <v>209</v>
      </c>
      <c r="B87" s="8" t="s">
        <v>126</v>
      </c>
      <c r="C87" s="8" t="s">
        <v>206</v>
      </c>
      <c r="D87" s="8" t="s">
        <v>203</v>
      </c>
      <c r="E87" s="9">
        <v>785621099</v>
      </c>
      <c r="F87" s="9">
        <v>773798837</v>
      </c>
      <c r="G87" s="9">
        <v>773772702</v>
      </c>
      <c r="H87" s="9">
        <v>775167941</v>
      </c>
      <c r="I87" s="9">
        <v>777039858</v>
      </c>
      <c r="J87" s="9">
        <v>783178191</v>
      </c>
      <c r="K87" s="9">
        <v>785326074</v>
      </c>
      <c r="L87" s="9">
        <v>787080579</v>
      </c>
      <c r="M87" s="9">
        <v>788720779</v>
      </c>
      <c r="N87" s="9">
        <v>789961671</v>
      </c>
    </row>
    <row r="88" spans="1:14" x14ac:dyDescent="0.3">
      <c r="A88" s="8" t="s">
        <v>210</v>
      </c>
      <c r="B88" s="8" t="s">
        <v>211</v>
      </c>
      <c r="C88" s="8" t="s">
        <v>206</v>
      </c>
      <c r="D88" s="8" t="s">
        <v>203</v>
      </c>
      <c r="E88" s="9">
        <v>2295037940</v>
      </c>
      <c r="F88" s="9">
        <v>2379182155</v>
      </c>
      <c r="G88" s="9">
        <v>2481802636</v>
      </c>
      <c r="H88" s="9">
        <v>2607456934</v>
      </c>
      <c r="I88" s="9">
        <v>2601621815</v>
      </c>
      <c r="J88" s="9">
        <v>2602026749</v>
      </c>
      <c r="K88" s="9">
        <v>2631422625</v>
      </c>
      <c r="L88" s="9">
        <v>2554707397</v>
      </c>
      <c r="M88" s="9">
        <v>2434000000</v>
      </c>
      <c r="N88" s="9">
        <v>2298022000</v>
      </c>
    </row>
    <row r="89" spans="1:14" x14ac:dyDescent="0.3">
      <c r="A89" s="8" t="s">
        <v>212</v>
      </c>
      <c r="B89" s="8" t="s">
        <v>213</v>
      </c>
      <c r="C89" s="8" t="s">
        <v>206</v>
      </c>
      <c r="D89" s="8" t="s">
        <v>203</v>
      </c>
      <c r="E89" s="9">
        <v>1320658682</v>
      </c>
      <c r="F89" s="9">
        <v>1286600000</v>
      </c>
      <c r="G89" s="9">
        <v>1266107382</v>
      </c>
      <c r="H89" s="9">
        <v>1247100000</v>
      </c>
      <c r="I89" s="9">
        <v>1249900000</v>
      </c>
      <c r="J89" s="9">
        <v>1253600000</v>
      </c>
      <c r="K89" s="9">
        <v>1252500000</v>
      </c>
      <c r="L89" s="9">
        <v>1251900000</v>
      </c>
      <c r="M89" s="9">
        <v>1251700000</v>
      </c>
      <c r="N89" s="9">
        <v>1251400000</v>
      </c>
    </row>
    <row r="90" spans="1:14" x14ac:dyDescent="0.3">
      <c r="A90" s="8" t="s">
        <v>214</v>
      </c>
      <c r="B90" s="8" t="s">
        <v>215</v>
      </c>
      <c r="C90" s="8" t="s">
        <v>206</v>
      </c>
      <c r="D90" s="8" t="s">
        <v>203</v>
      </c>
      <c r="E90" s="9">
        <v>416428144</v>
      </c>
      <c r="F90" s="9">
        <v>416325118</v>
      </c>
      <c r="G90" s="9">
        <v>410241043</v>
      </c>
      <c r="H90" s="9">
        <v>430911810</v>
      </c>
      <c r="I90" s="9">
        <v>429723372</v>
      </c>
      <c r="J90" s="9">
        <v>426035732</v>
      </c>
      <c r="K90" s="9">
        <v>426650425</v>
      </c>
      <c r="L90" s="9">
        <v>426680657</v>
      </c>
      <c r="M90" s="9">
        <v>417795492</v>
      </c>
      <c r="N90" s="9">
        <v>416149530</v>
      </c>
    </row>
    <row r="91" spans="1:14" x14ac:dyDescent="0.3">
      <c r="A91" s="8" t="s">
        <v>216</v>
      </c>
      <c r="B91" s="8" t="s">
        <v>217</v>
      </c>
      <c r="C91" s="8" t="s">
        <v>206</v>
      </c>
      <c r="D91" s="8" t="s">
        <v>203</v>
      </c>
      <c r="E91" s="9">
        <v>515310142</v>
      </c>
      <c r="F91" s="9">
        <v>528176878</v>
      </c>
      <c r="G91" s="9">
        <v>567550568</v>
      </c>
      <c r="H91" s="9">
        <v>569380990</v>
      </c>
      <c r="I91" s="9">
        <v>570170118</v>
      </c>
      <c r="J91" s="9">
        <v>570640133</v>
      </c>
      <c r="K91" s="9">
        <v>572911439</v>
      </c>
      <c r="L91" s="9">
        <v>574275927</v>
      </c>
      <c r="M91" s="9">
        <v>574321080</v>
      </c>
      <c r="N91" s="9">
        <v>576457564</v>
      </c>
    </row>
    <row r="92" spans="1:14" x14ac:dyDescent="0.3">
      <c r="A92" s="8" t="s">
        <v>218</v>
      </c>
      <c r="B92" s="8" t="s">
        <v>219</v>
      </c>
      <c r="C92" s="8" t="s">
        <v>206</v>
      </c>
      <c r="D92" s="8" t="s">
        <v>203</v>
      </c>
      <c r="E92" s="9">
        <v>557351236</v>
      </c>
      <c r="F92" s="9">
        <v>559190339</v>
      </c>
      <c r="G92" s="9">
        <v>559233644</v>
      </c>
      <c r="H92" s="9">
        <v>559603188</v>
      </c>
      <c r="I92" s="9">
        <v>559739718</v>
      </c>
      <c r="J92" s="9">
        <v>559101322</v>
      </c>
      <c r="K92" s="9">
        <v>557600698</v>
      </c>
      <c r="L92" s="9">
        <v>535898658</v>
      </c>
      <c r="M92" s="9">
        <v>535428641</v>
      </c>
      <c r="N92" s="9">
        <v>534482831</v>
      </c>
    </row>
    <row r="93" spans="1:14" x14ac:dyDescent="0.3">
      <c r="A93" s="8" t="s">
        <v>220</v>
      </c>
      <c r="B93" s="8" t="s">
        <v>221</v>
      </c>
      <c r="C93" s="8" t="s">
        <v>206</v>
      </c>
      <c r="D93" s="8" t="s">
        <v>203</v>
      </c>
      <c r="E93" s="9">
        <v>212226832</v>
      </c>
      <c r="F93" s="9">
        <v>214614327</v>
      </c>
      <c r="G93" s="9">
        <v>220533089</v>
      </c>
      <c r="H93" s="9">
        <v>260699711</v>
      </c>
      <c r="I93" s="40">
        <v>434084752</v>
      </c>
      <c r="J93" s="9">
        <v>435868811</v>
      </c>
      <c r="K93" s="9">
        <v>438815944</v>
      </c>
      <c r="L93" s="9">
        <v>442049822</v>
      </c>
      <c r="M93" s="9">
        <v>448066944</v>
      </c>
      <c r="N93" s="9">
        <v>453926761</v>
      </c>
    </row>
    <row r="94" spans="1:14" x14ac:dyDescent="0.3">
      <c r="A94" s="8" t="s">
        <v>222</v>
      </c>
      <c r="B94" s="8" t="s">
        <v>223</v>
      </c>
      <c r="C94" s="8" t="s">
        <v>206</v>
      </c>
      <c r="D94" s="8" t="s">
        <v>203</v>
      </c>
      <c r="E94" s="9">
        <v>1242989279</v>
      </c>
      <c r="F94" s="9">
        <v>1244469997</v>
      </c>
      <c r="G94" s="9">
        <v>1246386807</v>
      </c>
      <c r="H94" s="9">
        <v>1248334552</v>
      </c>
      <c r="I94" s="9">
        <v>1247993812</v>
      </c>
      <c r="J94" s="9">
        <v>1247821717</v>
      </c>
      <c r="K94" s="9">
        <v>1247014704</v>
      </c>
      <c r="L94" s="9">
        <v>1232991607</v>
      </c>
      <c r="M94" s="39">
        <v>1793300946</v>
      </c>
      <c r="N94" s="39">
        <v>1133302000</v>
      </c>
    </row>
    <row r="95" spans="1:14" x14ac:dyDescent="0.3">
      <c r="A95" s="8" t="s">
        <v>224</v>
      </c>
      <c r="B95" s="8" t="s">
        <v>225</v>
      </c>
      <c r="C95" s="8" t="s">
        <v>206</v>
      </c>
      <c r="D95" s="8" t="s">
        <v>203</v>
      </c>
      <c r="E95" s="9">
        <v>2429000000</v>
      </c>
      <c r="F95" s="9">
        <v>2416000000</v>
      </c>
      <c r="G95" s="9">
        <v>2395000000</v>
      </c>
      <c r="H95" s="9">
        <v>2383000000</v>
      </c>
      <c r="I95" s="9">
        <v>2383000000</v>
      </c>
      <c r="J95" s="9">
        <v>2381000000</v>
      </c>
      <c r="K95" s="9">
        <v>2380000000</v>
      </c>
      <c r="L95" s="9">
        <v>2290000000</v>
      </c>
      <c r="M95" s="9">
        <v>2226204119</v>
      </c>
      <c r="N95" s="9">
        <v>2253142857</v>
      </c>
    </row>
    <row r="96" spans="1:14" x14ac:dyDescent="0.3">
      <c r="A96" s="8" t="s">
        <v>226</v>
      </c>
      <c r="B96" s="8" t="s">
        <v>227</v>
      </c>
      <c r="C96" s="8" t="s">
        <v>206</v>
      </c>
      <c r="D96" s="8" t="s">
        <v>203</v>
      </c>
      <c r="E96" s="9">
        <v>104395884</v>
      </c>
      <c r="F96" s="9">
        <v>104518900</v>
      </c>
      <c r="G96" s="9">
        <v>104435755</v>
      </c>
      <c r="H96" s="9">
        <v>104227077</v>
      </c>
      <c r="I96" s="9">
        <v>104233233</v>
      </c>
      <c r="J96" s="9">
        <v>104430772</v>
      </c>
      <c r="K96" s="9">
        <v>104623330</v>
      </c>
      <c r="L96" s="9">
        <v>104564729</v>
      </c>
      <c r="M96" s="9">
        <v>104648079</v>
      </c>
      <c r="N96" s="9">
        <v>104780332</v>
      </c>
    </row>
    <row r="97" spans="1:14" x14ac:dyDescent="0.3">
      <c r="A97" s="8" t="s">
        <v>228</v>
      </c>
      <c r="B97" s="8" t="s">
        <v>229</v>
      </c>
      <c r="C97" s="8" t="s">
        <v>206</v>
      </c>
      <c r="D97" s="8" t="s">
        <v>203</v>
      </c>
      <c r="E97" s="9">
        <v>553979808</v>
      </c>
      <c r="F97" s="9">
        <v>554774808</v>
      </c>
      <c r="G97" s="9">
        <v>554583515</v>
      </c>
      <c r="H97" s="9">
        <v>554776489</v>
      </c>
      <c r="I97" s="9">
        <v>554542443</v>
      </c>
      <c r="J97" s="9">
        <v>557552014</v>
      </c>
      <c r="K97" s="9">
        <v>569510302</v>
      </c>
      <c r="L97" s="9">
        <v>564345439</v>
      </c>
      <c r="M97" s="9">
        <v>568208021</v>
      </c>
      <c r="N97" s="9">
        <v>570142000</v>
      </c>
    </row>
    <row r="98" spans="1:14" x14ac:dyDescent="0.3">
      <c r="A98" s="8" t="s">
        <v>230</v>
      </c>
      <c r="B98" s="8" t="s">
        <v>231</v>
      </c>
      <c r="C98" s="8" t="s">
        <v>206</v>
      </c>
      <c r="D98" s="8" t="s">
        <v>203</v>
      </c>
      <c r="E98" s="9">
        <v>609647527</v>
      </c>
      <c r="F98" s="9">
        <v>616442041</v>
      </c>
      <c r="G98" s="9">
        <v>626954761</v>
      </c>
      <c r="H98" s="9">
        <v>642721076</v>
      </c>
      <c r="I98" s="9">
        <v>648250543</v>
      </c>
      <c r="J98" s="9">
        <v>649331592</v>
      </c>
      <c r="K98" s="9">
        <v>646155699</v>
      </c>
      <c r="L98" s="9">
        <v>639050821</v>
      </c>
      <c r="M98" s="9">
        <v>641030818</v>
      </c>
      <c r="N98" s="9">
        <v>643283916</v>
      </c>
    </row>
    <row r="99" spans="1:14" x14ac:dyDescent="0.3">
      <c r="A99" s="8" t="s">
        <v>232</v>
      </c>
      <c r="B99" s="8" t="s">
        <v>233</v>
      </c>
      <c r="C99" s="8" t="s">
        <v>206</v>
      </c>
      <c r="D99" s="8" t="s">
        <v>203</v>
      </c>
      <c r="E99" s="9">
        <v>792503322</v>
      </c>
      <c r="F99" s="9">
        <v>798767809</v>
      </c>
      <c r="G99" s="9">
        <v>800596132</v>
      </c>
      <c r="H99" s="9">
        <v>801909473</v>
      </c>
      <c r="I99" s="9">
        <v>829901725</v>
      </c>
      <c r="J99" s="9">
        <v>850384674</v>
      </c>
      <c r="K99" s="9">
        <v>846261490</v>
      </c>
      <c r="L99" s="9">
        <v>822437425</v>
      </c>
      <c r="M99" s="9">
        <v>799315070</v>
      </c>
      <c r="N99" s="9">
        <v>795169000</v>
      </c>
    </row>
    <row r="100" spans="1:14" x14ac:dyDescent="0.3">
      <c r="A100" s="8" t="s">
        <v>234</v>
      </c>
      <c r="B100" s="8" t="s">
        <v>235</v>
      </c>
      <c r="C100" s="8" t="s">
        <v>206</v>
      </c>
      <c r="D100" s="8" t="s">
        <v>203</v>
      </c>
      <c r="E100" s="9">
        <v>2392000000</v>
      </c>
      <c r="F100" s="9">
        <v>2396000000</v>
      </c>
      <c r="G100" s="9">
        <v>2396000000</v>
      </c>
      <c r="H100" s="9">
        <v>2396308756</v>
      </c>
      <c r="I100" s="9">
        <v>2413000000</v>
      </c>
      <c r="J100" s="9">
        <v>2416000000</v>
      </c>
      <c r="K100" s="9">
        <v>2419000000</v>
      </c>
      <c r="L100" s="9">
        <v>2420000000</v>
      </c>
      <c r="M100" s="9">
        <v>2421449644</v>
      </c>
      <c r="N100" s="9">
        <v>2425000000</v>
      </c>
    </row>
    <row r="101" spans="1:14" x14ac:dyDescent="0.3">
      <c r="A101" s="8" t="s">
        <v>236</v>
      </c>
      <c r="B101" s="8" t="s">
        <v>237</v>
      </c>
      <c r="C101" s="8" t="s">
        <v>206</v>
      </c>
      <c r="D101" s="8" t="s">
        <v>203</v>
      </c>
      <c r="E101" s="9">
        <v>562001188</v>
      </c>
      <c r="F101" s="9">
        <v>554624285</v>
      </c>
      <c r="G101" s="9">
        <v>553383836</v>
      </c>
      <c r="H101" s="9">
        <v>547105985</v>
      </c>
      <c r="I101" s="9">
        <v>542079771</v>
      </c>
      <c r="J101" s="9">
        <v>536452195</v>
      </c>
      <c r="K101" s="9">
        <v>526244506</v>
      </c>
      <c r="L101" s="9">
        <v>514372413</v>
      </c>
      <c r="M101" s="9">
        <v>507282902</v>
      </c>
      <c r="N101" s="9">
        <v>499715108</v>
      </c>
    </row>
    <row r="102" spans="1:14" x14ac:dyDescent="0.3">
      <c r="A102" s="8" t="s">
        <v>238</v>
      </c>
      <c r="B102" s="8" t="s">
        <v>239</v>
      </c>
      <c r="C102" s="8" t="s">
        <v>206</v>
      </c>
      <c r="D102" s="8" t="s">
        <v>203</v>
      </c>
      <c r="E102" s="9">
        <v>266375725</v>
      </c>
      <c r="F102" s="9">
        <v>266395359</v>
      </c>
      <c r="G102" s="9">
        <v>266432980</v>
      </c>
      <c r="H102" s="9">
        <v>266878862</v>
      </c>
      <c r="I102" s="9">
        <v>266833977</v>
      </c>
      <c r="J102" s="9">
        <v>267172454</v>
      </c>
      <c r="K102" s="9">
        <v>266896342</v>
      </c>
      <c r="L102" s="9">
        <v>266608414</v>
      </c>
      <c r="M102" s="9">
        <v>265083085</v>
      </c>
      <c r="N102" s="9">
        <v>261976092</v>
      </c>
    </row>
    <row r="103" spans="1:14" x14ac:dyDescent="0.3">
      <c r="A103" s="8" t="s">
        <v>240</v>
      </c>
      <c r="B103" s="8" t="s">
        <v>241</v>
      </c>
      <c r="C103" s="8" t="s">
        <v>206</v>
      </c>
      <c r="D103" s="8" t="s">
        <v>203</v>
      </c>
      <c r="E103" s="9">
        <v>2648620953</v>
      </c>
      <c r="F103" s="9">
        <v>2654045007</v>
      </c>
      <c r="G103" s="9">
        <v>2659421767</v>
      </c>
      <c r="H103" s="9">
        <v>2656683856</v>
      </c>
      <c r="I103" s="9">
        <v>2652532564</v>
      </c>
      <c r="J103" s="9">
        <v>2656122534</v>
      </c>
      <c r="K103" s="9">
        <v>2656981542</v>
      </c>
      <c r="L103" s="9">
        <v>2658328369</v>
      </c>
      <c r="M103" s="9">
        <v>2659184216</v>
      </c>
      <c r="N103" s="9">
        <v>2658606000</v>
      </c>
    </row>
    <row r="104" spans="1:14" x14ac:dyDescent="0.3">
      <c r="A104" s="8" t="s">
        <v>242</v>
      </c>
      <c r="B104" s="8" t="s">
        <v>243</v>
      </c>
      <c r="C104" s="8" t="s">
        <v>206</v>
      </c>
      <c r="D104" s="8" t="s">
        <v>203</v>
      </c>
      <c r="E104" s="9">
        <v>125996327</v>
      </c>
      <c r="F104" s="9">
        <v>126000194</v>
      </c>
      <c r="G104" s="9">
        <v>125999511</v>
      </c>
      <c r="H104" s="9">
        <v>125956038</v>
      </c>
      <c r="I104" s="9">
        <v>125498766</v>
      </c>
      <c r="J104" s="9">
        <v>125011945</v>
      </c>
      <c r="K104" s="9">
        <v>124584509</v>
      </c>
      <c r="L104" s="9">
        <v>123159116</v>
      </c>
      <c r="M104" s="9">
        <v>122382930</v>
      </c>
      <c r="N104" s="9">
        <v>122619048</v>
      </c>
    </row>
    <row r="105" spans="1:14" x14ac:dyDescent="0.3">
      <c r="A105" s="8" t="s">
        <v>244</v>
      </c>
      <c r="B105" s="8" t="s">
        <v>245</v>
      </c>
      <c r="C105" s="8" t="s">
        <v>206</v>
      </c>
      <c r="D105" s="8" t="s">
        <v>203</v>
      </c>
      <c r="E105" s="9">
        <v>222677137</v>
      </c>
      <c r="F105" s="9">
        <v>223305084</v>
      </c>
      <c r="G105" s="9">
        <v>226384707</v>
      </c>
      <c r="H105" s="9">
        <v>229231677</v>
      </c>
      <c r="I105" s="9">
        <v>234293034</v>
      </c>
      <c r="J105" s="9">
        <v>239838347</v>
      </c>
      <c r="K105" s="9">
        <v>248620158</v>
      </c>
      <c r="L105" s="9">
        <v>250972110</v>
      </c>
      <c r="M105" s="9">
        <v>250706485</v>
      </c>
      <c r="N105" s="9">
        <v>250677462</v>
      </c>
    </row>
    <row r="106" spans="1:14" x14ac:dyDescent="0.3">
      <c r="A106" s="8" t="s">
        <v>246</v>
      </c>
      <c r="B106" s="8" t="s">
        <v>247</v>
      </c>
      <c r="C106" s="8" t="s">
        <v>206</v>
      </c>
      <c r="D106" s="8" t="s">
        <v>203</v>
      </c>
      <c r="E106" s="9">
        <v>208112000</v>
      </c>
      <c r="F106" s="9">
        <v>210872000</v>
      </c>
      <c r="G106" s="9">
        <v>212438000</v>
      </c>
      <c r="H106" s="9">
        <v>212438000</v>
      </c>
      <c r="I106" s="9">
        <v>212502000</v>
      </c>
      <c r="J106" s="9">
        <v>212704000</v>
      </c>
      <c r="K106" s="9">
        <v>212852000</v>
      </c>
      <c r="L106" s="9">
        <v>211833000</v>
      </c>
      <c r="M106" s="9">
        <v>208507000</v>
      </c>
      <c r="N106" s="9">
        <v>205523000</v>
      </c>
    </row>
    <row r="107" spans="1:14" x14ac:dyDescent="0.3">
      <c r="A107" s="8" t="s">
        <v>248</v>
      </c>
      <c r="B107" s="8" t="s">
        <v>249</v>
      </c>
      <c r="C107" s="8" t="s">
        <v>206</v>
      </c>
      <c r="D107" s="8" t="s">
        <v>203</v>
      </c>
      <c r="E107" s="9">
        <v>177633311</v>
      </c>
      <c r="F107" s="9">
        <v>175274630</v>
      </c>
      <c r="G107" s="9">
        <v>168057561</v>
      </c>
      <c r="H107" s="9">
        <v>167088363</v>
      </c>
      <c r="I107" s="9">
        <v>166171198</v>
      </c>
      <c r="J107" s="9">
        <v>167620101</v>
      </c>
      <c r="K107" s="9">
        <v>168574058</v>
      </c>
      <c r="L107" s="9">
        <v>170251066</v>
      </c>
      <c r="M107" s="9">
        <v>177481342</v>
      </c>
      <c r="N107" s="9">
        <v>170201409</v>
      </c>
    </row>
    <row r="108" spans="1:14" x14ac:dyDescent="0.3">
      <c r="A108" s="8" t="s">
        <v>250</v>
      </c>
      <c r="B108" s="8" t="s">
        <v>251</v>
      </c>
      <c r="C108" s="8" t="s">
        <v>206</v>
      </c>
      <c r="D108" s="8" t="s">
        <v>203</v>
      </c>
      <c r="E108" s="9">
        <v>738936000</v>
      </c>
      <c r="F108" s="9">
        <v>722740000</v>
      </c>
      <c r="G108" s="9">
        <v>719556000</v>
      </c>
      <c r="H108" s="9">
        <v>715960000</v>
      </c>
      <c r="I108" s="9">
        <v>718048000</v>
      </c>
      <c r="J108" s="9">
        <v>713240000</v>
      </c>
      <c r="K108" s="9">
        <v>713448000</v>
      </c>
      <c r="L108" s="9">
        <v>712364000</v>
      </c>
      <c r="M108" s="9">
        <v>714258055</v>
      </c>
      <c r="N108" s="9">
        <v>709850000</v>
      </c>
    </row>
    <row r="109" spans="1:14" x14ac:dyDescent="0.3">
      <c r="A109" s="8" t="s">
        <v>252</v>
      </c>
      <c r="B109" s="8" t="s">
        <v>253</v>
      </c>
      <c r="C109" s="8" t="s">
        <v>206</v>
      </c>
      <c r="D109" s="8" t="s">
        <v>203</v>
      </c>
      <c r="E109" s="9">
        <v>548500000</v>
      </c>
      <c r="F109" s="9">
        <v>566833333</v>
      </c>
      <c r="G109" s="9">
        <v>571267728</v>
      </c>
      <c r="H109" s="9">
        <v>571578876</v>
      </c>
      <c r="I109" s="9">
        <v>573964631</v>
      </c>
      <c r="J109" s="9">
        <v>575520372</v>
      </c>
      <c r="K109" s="9">
        <v>592900000</v>
      </c>
      <c r="L109" s="9">
        <v>688300000</v>
      </c>
      <c r="M109" s="9">
        <v>705000000</v>
      </c>
      <c r="N109" s="9">
        <v>720000000</v>
      </c>
    </row>
    <row r="110" spans="1:14" x14ac:dyDescent="0.3">
      <c r="A110" s="8" t="s">
        <v>254</v>
      </c>
      <c r="B110" s="8" t="s">
        <v>110</v>
      </c>
      <c r="C110" s="8" t="s">
        <v>206</v>
      </c>
      <c r="D110" s="8" t="s">
        <v>203</v>
      </c>
      <c r="E110" s="9">
        <v>1510555000</v>
      </c>
      <c r="F110" s="9">
        <v>1513019000</v>
      </c>
      <c r="G110" s="9">
        <v>1535988000</v>
      </c>
      <c r="H110" s="9">
        <v>1548439000</v>
      </c>
      <c r="I110" s="9">
        <v>1564114000</v>
      </c>
      <c r="J110" s="9">
        <v>1544002000</v>
      </c>
      <c r="K110" s="40">
        <v>3059284000</v>
      </c>
      <c r="L110" s="9">
        <v>3140089000</v>
      </c>
      <c r="M110" s="9">
        <v>3107725000</v>
      </c>
      <c r="N110" s="9">
        <v>2949652000</v>
      </c>
    </row>
    <row r="111" spans="1:14" x14ac:dyDescent="0.3">
      <c r="A111" s="8" t="s">
        <v>255</v>
      </c>
      <c r="B111" s="8" t="s">
        <v>256</v>
      </c>
      <c r="C111" s="8" t="s">
        <v>206</v>
      </c>
      <c r="D111" s="8" t="s">
        <v>203</v>
      </c>
      <c r="E111" s="9">
        <v>263980715</v>
      </c>
      <c r="F111" s="9">
        <v>263994148</v>
      </c>
      <c r="G111" s="9">
        <v>264232623</v>
      </c>
      <c r="H111" s="9">
        <v>264113889</v>
      </c>
      <c r="I111" s="9">
        <v>264173497</v>
      </c>
      <c r="J111" s="9">
        <v>262858086</v>
      </c>
      <c r="K111" s="9">
        <v>260796076</v>
      </c>
      <c r="L111" s="9">
        <v>259031733</v>
      </c>
      <c r="M111" s="9">
        <v>256048279</v>
      </c>
      <c r="N111" s="9">
        <v>252596000</v>
      </c>
    </row>
    <row r="112" spans="1:14" x14ac:dyDescent="0.3">
      <c r="A112" s="8" t="s">
        <v>257</v>
      </c>
      <c r="B112" s="8" t="s">
        <v>258</v>
      </c>
      <c r="C112" s="8" t="s">
        <v>206</v>
      </c>
      <c r="D112" s="8" t="s">
        <v>203</v>
      </c>
      <c r="E112" s="9">
        <v>1262403810</v>
      </c>
      <c r="F112" s="9">
        <v>1269581330</v>
      </c>
      <c r="G112" s="9">
        <v>1274693265</v>
      </c>
      <c r="H112" s="9">
        <v>1291820050</v>
      </c>
      <c r="I112" s="9">
        <v>1296989835</v>
      </c>
      <c r="J112" s="9">
        <v>1302226275</v>
      </c>
      <c r="K112" s="9">
        <v>1309780561</v>
      </c>
      <c r="L112" s="9">
        <v>1312255968</v>
      </c>
      <c r="M112" s="9">
        <v>1315087124</v>
      </c>
      <c r="N112" s="9">
        <v>1313000000</v>
      </c>
    </row>
    <row r="113" spans="1:14" x14ac:dyDescent="0.3">
      <c r="A113" s="8" t="s">
        <v>259</v>
      </c>
      <c r="B113" s="8" t="s">
        <v>260</v>
      </c>
      <c r="C113" s="8" t="s">
        <v>206</v>
      </c>
      <c r="D113" s="8" t="s">
        <v>203</v>
      </c>
      <c r="E113" s="9">
        <v>2609187553</v>
      </c>
      <c r="F113" s="9">
        <v>2736877451</v>
      </c>
      <c r="G113" s="9">
        <v>2843579170</v>
      </c>
      <c r="H113" s="9">
        <v>2853704584</v>
      </c>
      <c r="I113" s="9">
        <v>2873414500</v>
      </c>
      <c r="J113" s="9">
        <v>2885319047</v>
      </c>
      <c r="K113" s="9">
        <v>2990030437</v>
      </c>
      <c r="L113" s="9">
        <v>2989007006</v>
      </c>
      <c r="M113" s="9">
        <v>3031055333</v>
      </c>
      <c r="N113" s="9">
        <v>3015082000</v>
      </c>
    </row>
    <row r="114" spans="1:14" x14ac:dyDescent="0.3">
      <c r="A114" s="8" t="s">
        <v>261</v>
      </c>
      <c r="B114" s="8" t="s">
        <v>262</v>
      </c>
      <c r="C114" s="8" t="s">
        <v>206</v>
      </c>
      <c r="D114" s="8" t="s">
        <v>203</v>
      </c>
      <c r="E114" s="9">
        <v>98488530</v>
      </c>
      <c r="F114" s="9">
        <v>99153052</v>
      </c>
      <c r="G114" s="9">
        <v>99744934</v>
      </c>
      <c r="H114" s="9">
        <v>122405156</v>
      </c>
      <c r="I114" s="9">
        <v>138350731</v>
      </c>
      <c r="J114" s="9">
        <v>138437274</v>
      </c>
      <c r="K114" s="9">
        <v>138545360</v>
      </c>
      <c r="L114" s="9">
        <v>138717455</v>
      </c>
      <c r="M114" s="9">
        <v>138965717</v>
      </c>
      <c r="N114" s="9">
        <v>139497322</v>
      </c>
    </row>
    <row r="115" spans="1:14" x14ac:dyDescent="0.3">
      <c r="A115" s="8" t="s">
        <v>263</v>
      </c>
      <c r="B115" s="8" t="s">
        <v>264</v>
      </c>
      <c r="C115" s="8" t="s">
        <v>206</v>
      </c>
      <c r="D115" s="8" t="s">
        <v>203</v>
      </c>
      <c r="E115" s="9">
        <v>57111038</v>
      </c>
      <c r="F115" s="9">
        <v>57263301</v>
      </c>
      <c r="G115" s="9">
        <v>57767405</v>
      </c>
      <c r="H115" s="9">
        <v>57706532</v>
      </c>
      <c r="I115" s="9">
        <v>58252492</v>
      </c>
      <c r="J115" s="9">
        <v>58713193</v>
      </c>
      <c r="K115" s="9">
        <v>58727538</v>
      </c>
      <c r="L115" s="9">
        <v>58894129</v>
      </c>
      <c r="M115" s="9">
        <v>58603469</v>
      </c>
      <c r="N115" s="9">
        <v>59706774</v>
      </c>
    </row>
    <row r="116" spans="1:14" x14ac:dyDescent="0.3">
      <c r="A116" s="8" t="s">
        <v>265</v>
      </c>
      <c r="B116" s="8" t="s">
        <v>266</v>
      </c>
      <c r="C116" s="8" t="s">
        <v>206</v>
      </c>
      <c r="D116" s="8" t="s">
        <v>203</v>
      </c>
      <c r="E116" s="9">
        <v>26337144</v>
      </c>
      <c r="F116" s="9">
        <v>26378347</v>
      </c>
      <c r="G116" s="9">
        <v>28856129</v>
      </c>
      <c r="H116" s="9">
        <v>28945113</v>
      </c>
      <c r="I116" s="9">
        <v>26529619</v>
      </c>
      <c r="J116" s="9">
        <v>26506323</v>
      </c>
      <c r="K116" s="9">
        <v>28571634</v>
      </c>
      <c r="L116" s="9">
        <v>28674721</v>
      </c>
      <c r="M116" s="9">
        <v>28759894</v>
      </c>
      <c r="N116" s="9">
        <v>28472222</v>
      </c>
    </row>
    <row r="117" spans="1:14" x14ac:dyDescent="0.3">
      <c r="A117" s="8" t="s">
        <v>267</v>
      </c>
      <c r="B117" s="8" t="s">
        <v>112</v>
      </c>
      <c r="C117" s="8" t="s">
        <v>206</v>
      </c>
      <c r="D117" s="8" t="s">
        <v>203</v>
      </c>
      <c r="E117" s="9">
        <v>886532167</v>
      </c>
      <c r="F117" s="9">
        <v>881246870</v>
      </c>
      <c r="G117" s="9">
        <v>884707764</v>
      </c>
      <c r="H117" s="9">
        <v>906783462</v>
      </c>
      <c r="I117" s="9">
        <v>897391304</v>
      </c>
      <c r="J117" s="9">
        <v>894578477</v>
      </c>
      <c r="K117" s="9">
        <v>904332429</v>
      </c>
      <c r="L117" s="9">
        <v>905606885</v>
      </c>
      <c r="M117" s="9">
        <v>903513952</v>
      </c>
      <c r="N117" s="9"/>
    </row>
    <row r="118" spans="1:14" x14ac:dyDescent="0.3">
      <c r="A118" s="8" t="s">
        <v>269</v>
      </c>
      <c r="B118" s="8" t="s">
        <v>270</v>
      </c>
      <c r="C118" s="8" t="s">
        <v>206</v>
      </c>
      <c r="D118" s="8" t="s">
        <v>203</v>
      </c>
      <c r="E118" s="9">
        <v>272708000</v>
      </c>
      <c r="F118" s="9">
        <v>271968000</v>
      </c>
      <c r="G118" s="9">
        <v>271080000</v>
      </c>
      <c r="H118" s="9">
        <v>269850000</v>
      </c>
      <c r="I118" s="9">
        <v>271639000</v>
      </c>
      <c r="J118" s="9">
        <v>271349000</v>
      </c>
      <c r="K118" s="9">
        <v>272102000</v>
      </c>
      <c r="L118" s="9">
        <v>272097000</v>
      </c>
      <c r="M118" s="9">
        <v>271009000</v>
      </c>
      <c r="N118" s="9">
        <v>272374000</v>
      </c>
    </row>
    <row r="119" spans="1:14" x14ac:dyDescent="0.3">
      <c r="A119" s="8" t="s">
        <v>271</v>
      </c>
      <c r="B119" s="8" t="s">
        <v>272</v>
      </c>
      <c r="C119" s="8" t="s">
        <v>206</v>
      </c>
      <c r="D119" s="8" t="s">
        <v>203</v>
      </c>
      <c r="E119" s="9">
        <v>152087430</v>
      </c>
      <c r="F119" s="9">
        <v>151277059</v>
      </c>
      <c r="G119" s="9">
        <v>148998961</v>
      </c>
      <c r="H119" s="9">
        <v>148077776</v>
      </c>
      <c r="I119" s="9">
        <v>145721534</v>
      </c>
      <c r="J119" s="9">
        <v>145778963</v>
      </c>
      <c r="K119" s="9">
        <v>146004484</v>
      </c>
      <c r="L119" s="9">
        <v>146295576</v>
      </c>
      <c r="M119" s="9">
        <v>146127620</v>
      </c>
      <c r="N119" s="9">
        <v>146451943</v>
      </c>
    </row>
    <row r="120" spans="1:14" x14ac:dyDescent="0.3">
      <c r="A120" s="8" t="s">
        <v>273</v>
      </c>
      <c r="B120" s="8" t="s">
        <v>274</v>
      </c>
      <c r="C120" s="8" t="s">
        <v>206</v>
      </c>
      <c r="D120" s="8" t="s">
        <v>203</v>
      </c>
      <c r="E120" s="9">
        <v>723322791</v>
      </c>
      <c r="F120" s="9">
        <v>740030536</v>
      </c>
      <c r="G120" s="9">
        <v>747061020</v>
      </c>
      <c r="H120" s="9">
        <v>775059936</v>
      </c>
      <c r="I120" s="9">
        <v>790674090</v>
      </c>
      <c r="J120" s="9">
        <v>805713713</v>
      </c>
      <c r="K120" s="9">
        <v>786946494</v>
      </c>
      <c r="L120" s="9">
        <v>741377552</v>
      </c>
      <c r="M120" s="9">
        <v>714170185</v>
      </c>
      <c r="N120" s="9">
        <v>669712548</v>
      </c>
    </row>
    <row r="121" spans="1:14" x14ac:dyDescent="0.3">
      <c r="A121" s="8" t="s">
        <v>275</v>
      </c>
      <c r="B121" s="8" t="s">
        <v>276</v>
      </c>
      <c r="C121" s="8" t="s">
        <v>206</v>
      </c>
      <c r="D121" s="8" t="s">
        <v>203</v>
      </c>
      <c r="E121" s="9">
        <v>227773000</v>
      </c>
      <c r="F121" s="9">
        <v>230113056</v>
      </c>
      <c r="G121" s="9">
        <v>233064000</v>
      </c>
      <c r="H121" s="9">
        <v>236451000</v>
      </c>
      <c r="I121" s="9">
        <v>240766760</v>
      </c>
      <c r="J121" s="9">
        <v>244338168</v>
      </c>
      <c r="K121" s="9">
        <v>247730265</v>
      </c>
      <c r="L121" s="9">
        <v>248992939</v>
      </c>
      <c r="M121" s="9">
        <v>249032353</v>
      </c>
      <c r="N121" s="9">
        <v>245286351</v>
      </c>
    </row>
    <row r="122" spans="1:14" x14ac:dyDescent="0.3">
      <c r="A122" s="8" t="s">
        <v>277</v>
      </c>
      <c r="B122" s="8" t="s">
        <v>278</v>
      </c>
      <c r="C122" s="8" t="s">
        <v>206</v>
      </c>
      <c r="D122" s="8" t="s">
        <v>203</v>
      </c>
      <c r="E122" s="9">
        <v>118392857</v>
      </c>
      <c r="F122" s="9">
        <v>118041702</v>
      </c>
      <c r="G122" s="9">
        <v>117871287</v>
      </c>
      <c r="H122" s="9">
        <v>117791777</v>
      </c>
      <c r="I122" s="9">
        <v>118302104</v>
      </c>
      <c r="J122" s="9">
        <v>118146538</v>
      </c>
      <c r="K122" s="9">
        <v>118265377</v>
      </c>
      <c r="L122" s="9">
        <v>117946146</v>
      </c>
      <c r="M122" s="9">
        <v>118052805</v>
      </c>
      <c r="N122" s="9">
        <v>117765668</v>
      </c>
    </row>
    <row r="123" spans="1:14" x14ac:dyDescent="0.3">
      <c r="A123" s="6" t="s">
        <v>279</v>
      </c>
      <c r="B123" s="7"/>
      <c r="C123" s="7"/>
      <c r="D123" s="7"/>
      <c r="E123" s="47"/>
      <c r="F123" s="47"/>
      <c r="G123" s="47"/>
      <c r="H123" s="47"/>
      <c r="I123" s="47"/>
      <c r="J123" s="47"/>
      <c r="K123" s="47"/>
      <c r="L123" s="47"/>
      <c r="M123" s="47"/>
      <c r="N123" s="47"/>
    </row>
    <row r="124" spans="1:14" x14ac:dyDescent="0.3">
      <c r="A124" s="8" t="s">
        <v>280</v>
      </c>
      <c r="B124" s="8" t="s">
        <v>281</v>
      </c>
      <c r="C124" s="8" t="s">
        <v>282</v>
      </c>
      <c r="D124" s="8" t="s">
        <v>279</v>
      </c>
      <c r="E124" s="9">
        <v>3113773370</v>
      </c>
      <c r="F124" s="9">
        <v>3113152000</v>
      </c>
      <c r="G124" s="9">
        <v>3113647003</v>
      </c>
      <c r="H124" s="9">
        <v>3113218213</v>
      </c>
      <c r="I124" s="9">
        <v>3113701857</v>
      </c>
      <c r="J124" s="9">
        <v>3114384000</v>
      </c>
      <c r="K124" s="9">
        <v>3114856963</v>
      </c>
      <c r="L124" s="9">
        <v>3113570977</v>
      </c>
      <c r="M124" s="9">
        <v>3112455000</v>
      </c>
      <c r="N124" s="9">
        <v>3110357000</v>
      </c>
    </row>
    <row r="125" spans="1:14" x14ac:dyDescent="0.3">
      <c r="A125" s="8" t="s">
        <v>283</v>
      </c>
      <c r="B125" s="8" t="s">
        <v>284</v>
      </c>
      <c r="C125" s="8" t="s">
        <v>282</v>
      </c>
      <c r="D125" s="8" t="s">
        <v>279</v>
      </c>
      <c r="E125" s="9">
        <v>14973482000</v>
      </c>
      <c r="F125" s="9">
        <v>15042293000</v>
      </c>
      <c r="G125" s="9">
        <v>16063779000</v>
      </c>
      <c r="H125" s="9">
        <v>16150091000</v>
      </c>
      <c r="I125" s="9">
        <v>17059222000</v>
      </c>
      <c r="J125" s="9">
        <v>17316289000</v>
      </c>
      <c r="K125" s="9">
        <v>17272055000</v>
      </c>
      <c r="L125" s="9">
        <v>16848345000</v>
      </c>
      <c r="M125" s="9">
        <v>16172085000</v>
      </c>
      <c r="N125" s="9">
        <v>15497607000</v>
      </c>
    </row>
    <row r="126" spans="1:14" x14ac:dyDescent="0.3">
      <c r="A126" s="8" t="s">
        <v>285</v>
      </c>
      <c r="B126" s="8" t="s">
        <v>286</v>
      </c>
      <c r="C126" s="8" t="s">
        <v>282</v>
      </c>
      <c r="D126" s="8" t="s">
        <v>279</v>
      </c>
      <c r="E126" s="9">
        <v>6351224068</v>
      </c>
      <c r="F126" s="9">
        <v>6625942701</v>
      </c>
      <c r="G126" s="9">
        <v>6680254609</v>
      </c>
      <c r="H126" s="9">
        <v>6739846883</v>
      </c>
      <c r="I126" s="9">
        <v>6674166000</v>
      </c>
      <c r="J126" s="9">
        <v>6437104000</v>
      </c>
      <c r="K126" s="9">
        <v>6439532000</v>
      </c>
      <c r="L126" s="9">
        <v>6657793000</v>
      </c>
      <c r="M126" s="9">
        <v>6431576000</v>
      </c>
      <c r="N126" s="9">
        <v>6440265000</v>
      </c>
    </row>
    <row r="127" spans="1:14" x14ac:dyDescent="0.3">
      <c r="A127" s="8" t="s">
        <v>287</v>
      </c>
      <c r="B127" s="8" t="s">
        <v>288</v>
      </c>
      <c r="C127" s="8" t="s">
        <v>282</v>
      </c>
      <c r="D127" s="8" t="s">
        <v>279</v>
      </c>
      <c r="E127" s="9">
        <v>6517000000</v>
      </c>
      <c r="F127" s="9">
        <v>6950000000</v>
      </c>
      <c r="G127" s="9">
        <v>7331250000</v>
      </c>
      <c r="H127" s="9">
        <v>6636000000</v>
      </c>
      <c r="I127" s="9">
        <v>6648000000</v>
      </c>
      <c r="J127" s="9">
        <v>6653534000</v>
      </c>
      <c r="K127" s="9">
        <v>6401000000</v>
      </c>
      <c r="L127" s="9">
        <v>6189000000</v>
      </c>
      <c r="M127" s="9">
        <v>5955000000</v>
      </c>
      <c r="N127" s="9">
        <v>6026477000</v>
      </c>
    </row>
    <row r="128" spans="1:14" x14ac:dyDescent="0.3">
      <c r="A128" s="8" t="s">
        <v>289</v>
      </c>
      <c r="B128" s="8" t="s">
        <v>290</v>
      </c>
      <c r="C128" s="8" t="s">
        <v>282</v>
      </c>
      <c r="D128" s="8" t="s">
        <v>279</v>
      </c>
      <c r="E128" s="9">
        <v>4928000000</v>
      </c>
      <c r="F128" s="9">
        <v>4909254000</v>
      </c>
      <c r="G128" s="9">
        <v>5110188000</v>
      </c>
      <c r="H128" s="9">
        <v>5126575000</v>
      </c>
      <c r="I128" s="9">
        <v>5119138000</v>
      </c>
      <c r="J128" s="9">
        <v>5471160000</v>
      </c>
      <c r="K128" s="9">
        <v>5726631000</v>
      </c>
      <c r="L128" s="9">
        <v>5740105000</v>
      </c>
      <c r="M128" s="9">
        <v>5668142000</v>
      </c>
      <c r="N128" s="9">
        <v>5635695000</v>
      </c>
    </row>
    <row r="129" spans="1:14" x14ac:dyDescent="0.3">
      <c r="A129" s="8" t="s">
        <v>291</v>
      </c>
      <c r="B129" s="8" t="s">
        <v>292</v>
      </c>
      <c r="C129" s="8" t="s">
        <v>282</v>
      </c>
      <c r="D129" s="8" t="s">
        <v>279</v>
      </c>
      <c r="E129" s="9">
        <v>731860000</v>
      </c>
      <c r="F129" s="9">
        <v>759432000</v>
      </c>
      <c r="G129" s="9">
        <v>730892000</v>
      </c>
      <c r="H129" s="9">
        <v>809388000</v>
      </c>
      <c r="I129" s="9">
        <v>731679000</v>
      </c>
      <c r="J129" s="9">
        <v>746866000</v>
      </c>
      <c r="K129" s="9">
        <v>731772000</v>
      </c>
      <c r="L129" s="9">
        <v>723477000</v>
      </c>
      <c r="M129" s="9">
        <v>728255000</v>
      </c>
      <c r="N129" s="9">
        <v>724191000</v>
      </c>
    </row>
    <row r="130" spans="1:14" x14ac:dyDescent="0.3">
      <c r="A130" s="8" t="s">
        <v>293</v>
      </c>
      <c r="B130" s="8" t="s">
        <v>294</v>
      </c>
      <c r="C130" s="8" t="s">
        <v>282</v>
      </c>
      <c r="D130" s="8" t="s">
        <v>279</v>
      </c>
      <c r="E130" s="9">
        <v>5820365000</v>
      </c>
      <c r="F130" s="9">
        <v>5841965000</v>
      </c>
      <c r="G130" s="9">
        <v>5977811000</v>
      </c>
      <c r="H130" s="9">
        <v>5978642000</v>
      </c>
      <c r="I130" s="9">
        <v>5978000000</v>
      </c>
      <c r="J130" s="9">
        <v>5977000000</v>
      </c>
      <c r="K130" s="9">
        <v>7575000000</v>
      </c>
      <c r="L130" s="9">
        <v>7819000000</v>
      </c>
      <c r="M130" s="9">
        <v>7470000000</v>
      </c>
      <c r="N130" s="9">
        <v>7262000000</v>
      </c>
    </row>
    <row r="131" spans="1:14" x14ac:dyDescent="0.3">
      <c r="A131" s="8" t="s">
        <v>295</v>
      </c>
      <c r="B131" s="8" t="s">
        <v>296</v>
      </c>
      <c r="C131" s="8" t="s">
        <v>282</v>
      </c>
      <c r="D131" s="8" t="s">
        <v>279</v>
      </c>
      <c r="E131" s="9">
        <v>436568659</v>
      </c>
      <c r="F131" s="9">
        <v>436819780</v>
      </c>
      <c r="G131" s="9">
        <v>437148585</v>
      </c>
      <c r="H131" s="9">
        <v>430367526</v>
      </c>
      <c r="I131" s="9">
        <v>430812845</v>
      </c>
      <c r="J131" s="9">
        <v>445207000</v>
      </c>
      <c r="K131" s="9">
        <v>450032743</v>
      </c>
      <c r="L131" s="9">
        <v>449949027</v>
      </c>
      <c r="M131" s="9">
        <v>447439058</v>
      </c>
      <c r="N131" s="9">
        <v>436069462</v>
      </c>
    </row>
    <row r="132" spans="1:14" x14ac:dyDescent="0.3">
      <c r="A132" s="8" t="s">
        <v>297</v>
      </c>
      <c r="B132" s="8" t="s">
        <v>298</v>
      </c>
      <c r="C132" s="8" t="s">
        <v>282</v>
      </c>
      <c r="D132" s="8" t="s">
        <v>279</v>
      </c>
      <c r="E132" s="9">
        <v>1487000000</v>
      </c>
      <c r="F132" s="9">
        <v>1538000000</v>
      </c>
      <c r="G132" s="9">
        <v>1622000000</v>
      </c>
      <c r="H132" s="9">
        <v>1671000000</v>
      </c>
      <c r="I132" s="9">
        <v>1636563000</v>
      </c>
      <c r="J132" s="9">
        <v>1572000000</v>
      </c>
      <c r="K132" s="9">
        <v>1491000000</v>
      </c>
      <c r="L132" s="9">
        <v>1414000000</v>
      </c>
      <c r="M132" s="9">
        <v>1264000000</v>
      </c>
      <c r="N132" s="9">
        <v>1183000000</v>
      </c>
    </row>
    <row r="133" spans="1:14" x14ac:dyDescent="0.3">
      <c r="A133" s="8" t="s">
        <v>299</v>
      </c>
      <c r="B133" s="8" t="s">
        <v>300</v>
      </c>
      <c r="C133" s="8" t="s">
        <v>282</v>
      </c>
      <c r="D133" s="8" t="s">
        <v>279</v>
      </c>
      <c r="E133" s="9"/>
      <c r="F133" s="9">
        <v>150000000</v>
      </c>
      <c r="G133" s="9">
        <v>150000000</v>
      </c>
      <c r="H133" s="9">
        <v>150000000</v>
      </c>
      <c r="I133" s="9">
        <v>150000000</v>
      </c>
      <c r="J133" s="9">
        <v>150000000</v>
      </c>
      <c r="K133" s="9">
        <v>150000000</v>
      </c>
      <c r="L133" s="9">
        <v>150000000</v>
      </c>
      <c r="M133" s="9">
        <v>150028887</v>
      </c>
      <c r="N133" s="9">
        <v>150056168</v>
      </c>
    </row>
    <row r="134" spans="1:14" x14ac:dyDescent="0.3">
      <c r="A134" s="8" t="s">
        <v>301</v>
      </c>
      <c r="B134" s="8" t="s">
        <v>302</v>
      </c>
      <c r="C134" s="8" t="s">
        <v>282</v>
      </c>
      <c r="D134" s="8" t="s">
        <v>279</v>
      </c>
      <c r="E134" s="9">
        <v>238734000</v>
      </c>
      <c r="F134" s="9">
        <v>238426000</v>
      </c>
      <c r="G134" s="9">
        <v>238426000</v>
      </c>
      <c r="H134" s="9">
        <v>238426000</v>
      </c>
      <c r="I134" s="9">
        <v>238928000</v>
      </c>
      <c r="J134" s="9">
        <v>261488000</v>
      </c>
      <c r="K134" s="9">
        <v>261488000</v>
      </c>
      <c r="L134" s="9">
        <v>261344000</v>
      </c>
      <c r="M134" s="9">
        <v>261471756</v>
      </c>
      <c r="N134" s="9">
        <v>261029000</v>
      </c>
    </row>
    <row r="135" spans="1:14" x14ac:dyDescent="0.3">
      <c r="A135" s="8" t="s">
        <v>303</v>
      </c>
      <c r="B135" s="8" t="s">
        <v>304</v>
      </c>
      <c r="C135" s="8" t="s">
        <v>282</v>
      </c>
      <c r="D135" s="8" t="s">
        <v>279</v>
      </c>
      <c r="E135" s="9">
        <v>539745044</v>
      </c>
      <c r="F135" s="9">
        <v>539134758</v>
      </c>
      <c r="G135" s="9">
        <v>539255512</v>
      </c>
      <c r="H135" s="9">
        <v>538890849</v>
      </c>
      <c r="I135" s="9">
        <v>539521154</v>
      </c>
      <c r="J135" s="9">
        <v>538840069</v>
      </c>
      <c r="K135" s="9">
        <v>539029181</v>
      </c>
      <c r="L135" s="9">
        <v>539308168</v>
      </c>
      <c r="M135" s="9">
        <v>539630047</v>
      </c>
      <c r="N135" s="9">
        <v>539630047</v>
      </c>
    </row>
    <row r="136" spans="1:14" x14ac:dyDescent="0.3">
      <c r="A136" s="8" t="s">
        <v>305</v>
      </c>
      <c r="B136" s="8" t="s">
        <v>306</v>
      </c>
      <c r="C136" s="8" t="s">
        <v>282</v>
      </c>
      <c r="D136" s="8" t="s">
        <v>279</v>
      </c>
      <c r="E136" s="9">
        <v>3078540607</v>
      </c>
      <c r="F136" s="9">
        <v>3050065939</v>
      </c>
      <c r="G136" s="9">
        <v>3053042167</v>
      </c>
      <c r="H136" s="9">
        <v>3054260000</v>
      </c>
      <c r="I136" s="9">
        <v>3051880000</v>
      </c>
      <c r="J136" s="9">
        <v>3049200000</v>
      </c>
      <c r="K136" s="9">
        <v>3049400000</v>
      </c>
      <c r="L136" s="9">
        <v>3054600000</v>
      </c>
      <c r="M136" s="9">
        <v>3064200000</v>
      </c>
      <c r="N136" s="9">
        <v>3067400000</v>
      </c>
    </row>
    <row r="137" spans="1:14" x14ac:dyDescent="0.3">
      <c r="A137" s="8" t="s">
        <v>307</v>
      </c>
      <c r="B137" s="8" t="s">
        <v>308</v>
      </c>
      <c r="C137" s="8" t="s">
        <v>282</v>
      </c>
      <c r="D137" s="8" t="s">
        <v>279</v>
      </c>
      <c r="E137" s="9">
        <v>56794911</v>
      </c>
      <c r="F137" s="9">
        <v>57010458</v>
      </c>
      <c r="G137" s="9">
        <v>57117274</v>
      </c>
      <c r="H137" s="9">
        <v>55588989</v>
      </c>
      <c r="I137" s="9">
        <v>54438737</v>
      </c>
      <c r="J137" s="9">
        <v>54523975</v>
      </c>
      <c r="K137" s="9">
        <v>54628413</v>
      </c>
      <c r="L137" s="9">
        <v>54684851</v>
      </c>
      <c r="M137" s="9">
        <v>54723941</v>
      </c>
      <c r="N137" s="9">
        <v>54477000</v>
      </c>
    </row>
    <row r="138" spans="1:14" x14ac:dyDescent="0.3">
      <c r="A138" s="8" t="s">
        <v>309</v>
      </c>
      <c r="B138" s="8" t="s">
        <v>310</v>
      </c>
      <c r="C138" s="8" t="s">
        <v>282</v>
      </c>
      <c r="D138" s="8" t="s">
        <v>279</v>
      </c>
      <c r="E138" s="9">
        <v>310863500</v>
      </c>
      <c r="F138" s="40">
        <v>468300000</v>
      </c>
      <c r="G138" s="9">
        <v>486415000</v>
      </c>
      <c r="H138" s="9">
        <v>466659000</v>
      </c>
      <c r="I138" s="9">
        <v>437718000</v>
      </c>
      <c r="J138" s="39">
        <v>293848000</v>
      </c>
      <c r="K138" s="9">
        <v>321850000</v>
      </c>
      <c r="L138" s="9">
        <v>283588000</v>
      </c>
      <c r="M138" s="9">
        <v>260320000</v>
      </c>
      <c r="N138" s="9">
        <v>258680000</v>
      </c>
    </row>
    <row r="139" spans="1:14" x14ac:dyDescent="0.3">
      <c r="A139" s="8" t="s">
        <v>311</v>
      </c>
      <c r="B139" s="8" t="s">
        <v>312</v>
      </c>
      <c r="C139" s="8" t="s">
        <v>282</v>
      </c>
      <c r="D139" s="8" t="s">
        <v>279</v>
      </c>
      <c r="E139" s="9">
        <v>685283873</v>
      </c>
      <c r="F139" s="9">
        <v>683225815</v>
      </c>
      <c r="G139" s="9">
        <v>684197276</v>
      </c>
      <c r="H139" s="9">
        <v>684709377</v>
      </c>
      <c r="I139" s="9">
        <v>685115836</v>
      </c>
      <c r="J139" s="9">
        <v>684542744</v>
      </c>
      <c r="K139" s="9">
        <v>678539948</v>
      </c>
      <c r="L139" s="9">
        <v>678410694</v>
      </c>
      <c r="M139" s="9">
        <v>679092279</v>
      </c>
      <c r="N139" s="9">
        <v>679916715</v>
      </c>
    </row>
    <row r="140" spans="1:14" x14ac:dyDescent="0.3">
      <c r="A140" s="8" t="s">
        <v>313</v>
      </c>
      <c r="B140" s="8" t="s">
        <v>314</v>
      </c>
      <c r="C140" s="8" t="s">
        <v>282</v>
      </c>
      <c r="D140" s="8" t="s">
        <v>279</v>
      </c>
      <c r="E140" s="9"/>
      <c r="F140" s="9">
        <v>304271244</v>
      </c>
      <c r="G140" s="9">
        <v>304225724</v>
      </c>
      <c r="H140" s="9">
        <v>304037720</v>
      </c>
      <c r="I140" s="9">
        <v>342863712</v>
      </c>
      <c r="J140" s="9">
        <v>415863130</v>
      </c>
      <c r="K140" s="39">
        <v>610542810</v>
      </c>
      <c r="L140" s="9">
        <v>672772636</v>
      </c>
      <c r="M140" s="9">
        <v>668713007</v>
      </c>
      <c r="N140" s="9">
        <v>548984928</v>
      </c>
    </row>
    <row r="141" spans="1:14" x14ac:dyDescent="0.3">
      <c r="A141" s="8" t="s">
        <v>315</v>
      </c>
      <c r="B141" s="8" t="s">
        <v>316</v>
      </c>
      <c r="C141" s="8" t="s">
        <v>282</v>
      </c>
      <c r="D141" s="8" t="s">
        <v>279</v>
      </c>
      <c r="E141" s="9">
        <v>2124412411</v>
      </c>
      <c r="F141" s="9">
        <v>2181617696</v>
      </c>
      <c r="G141" s="9">
        <v>2160885474</v>
      </c>
      <c r="H141" s="9">
        <v>2099979400</v>
      </c>
      <c r="I141" s="9">
        <v>2034927181</v>
      </c>
      <c r="J141" s="40">
        <v>3527466937</v>
      </c>
      <c r="K141" s="39">
        <v>4962774957</v>
      </c>
      <c r="L141" s="9">
        <v>4958420000</v>
      </c>
      <c r="M141" s="9">
        <v>4932631000</v>
      </c>
      <c r="N141" s="9">
        <v>4903453000</v>
      </c>
    </row>
    <row r="142" spans="1:14" x14ac:dyDescent="0.3">
      <c r="A142" s="8" t="s">
        <v>317</v>
      </c>
      <c r="B142" s="8" t="s">
        <v>318</v>
      </c>
      <c r="C142" s="8" t="s">
        <v>282</v>
      </c>
      <c r="D142" s="8" t="s">
        <v>279</v>
      </c>
      <c r="E142" s="9">
        <v>223377458</v>
      </c>
      <c r="F142" s="40">
        <v>359870354</v>
      </c>
      <c r="G142" s="39">
        <v>467899126</v>
      </c>
      <c r="H142" s="9">
        <v>467812182</v>
      </c>
      <c r="I142" s="9">
        <v>464454482</v>
      </c>
      <c r="J142" s="9">
        <v>469650000</v>
      </c>
      <c r="K142" s="9">
        <v>466396524</v>
      </c>
      <c r="L142" s="9">
        <v>467891000</v>
      </c>
      <c r="M142" s="9">
        <v>468324000</v>
      </c>
      <c r="N142" s="9">
        <v>509857000</v>
      </c>
    </row>
    <row r="143" spans="1:14" x14ac:dyDescent="0.3">
      <c r="A143" s="8" t="s">
        <v>319</v>
      </c>
      <c r="B143" s="8" t="s">
        <v>268</v>
      </c>
      <c r="C143" s="8" t="s">
        <v>282</v>
      </c>
      <c r="D143" s="8" t="s">
        <v>279</v>
      </c>
      <c r="E143" s="9">
        <v>771604946</v>
      </c>
      <c r="F143" s="9">
        <v>953332380</v>
      </c>
      <c r="G143" s="9">
        <v>1020000000</v>
      </c>
      <c r="H143" s="9">
        <v>1015000000</v>
      </c>
      <c r="I143" s="9">
        <v>1013000000</v>
      </c>
      <c r="J143" s="9">
        <v>1140000000</v>
      </c>
      <c r="K143" s="9">
        <v>1105000000</v>
      </c>
      <c r="L143" s="9">
        <v>911000000</v>
      </c>
      <c r="M143" s="9">
        <v>842000000</v>
      </c>
      <c r="N143" s="9">
        <v>788000000</v>
      </c>
    </row>
    <row r="144" spans="1:14" x14ac:dyDescent="0.3">
      <c r="A144" s="8" t="s">
        <v>320</v>
      </c>
      <c r="B144" s="8" t="s">
        <v>321</v>
      </c>
      <c r="C144" s="8" t="s">
        <v>282</v>
      </c>
      <c r="D144" s="8" t="s">
        <v>279</v>
      </c>
      <c r="E144" s="9">
        <v>4963202362</v>
      </c>
      <c r="F144" s="9">
        <v>5534330239</v>
      </c>
      <c r="G144" s="9">
        <v>5654165701</v>
      </c>
      <c r="H144" s="9">
        <v>5648773279</v>
      </c>
      <c r="I144" s="9">
        <v>5538122771</v>
      </c>
      <c r="J144" s="9">
        <v>5582484318</v>
      </c>
      <c r="K144" s="9">
        <v>5586444414</v>
      </c>
      <c r="L144" s="9">
        <v>5593885977</v>
      </c>
      <c r="M144" s="9">
        <v>5401000000</v>
      </c>
      <c r="N144" s="9">
        <v>5376450440</v>
      </c>
    </row>
    <row r="145" spans="1:14" x14ac:dyDescent="0.3">
      <c r="A145" s="8" t="s">
        <v>322</v>
      </c>
      <c r="B145" s="8" t="s">
        <v>323</v>
      </c>
      <c r="C145" s="8" t="s">
        <v>282</v>
      </c>
      <c r="D145" s="8" t="s">
        <v>279</v>
      </c>
      <c r="E145" s="9">
        <v>1001689341</v>
      </c>
      <c r="F145" s="9">
        <v>1000468342</v>
      </c>
      <c r="G145" s="9">
        <v>1000478210</v>
      </c>
      <c r="H145" s="9">
        <v>997663816</v>
      </c>
      <c r="I145" s="9">
        <v>977636309</v>
      </c>
      <c r="J145" s="9">
        <v>962554727</v>
      </c>
      <c r="K145" s="9">
        <v>960934956</v>
      </c>
      <c r="L145" s="9">
        <v>960908336</v>
      </c>
      <c r="M145" s="9">
        <v>960734206</v>
      </c>
      <c r="N145" s="9">
        <v>960734206</v>
      </c>
    </row>
    <row r="146" spans="1:14" x14ac:dyDescent="0.3">
      <c r="A146" s="8" t="s">
        <v>324</v>
      </c>
      <c r="B146" s="8" t="s">
        <v>325</v>
      </c>
      <c r="C146" s="8" t="s">
        <v>282</v>
      </c>
      <c r="D146" s="8" t="s">
        <v>279</v>
      </c>
      <c r="E146" s="9">
        <v>318583700</v>
      </c>
      <c r="F146" s="9">
        <v>336240000</v>
      </c>
      <c r="G146" s="9">
        <v>373312000</v>
      </c>
      <c r="H146" s="9">
        <v>448214000</v>
      </c>
      <c r="I146" s="9">
        <v>507661000</v>
      </c>
      <c r="J146" s="9">
        <v>507139000</v>
      </c>
      <c r="K146" s="9">
        <v>515705000</v>
      </c>
      <c r="L146" s="9">
        <v>531429000</v>
      </c>
      <c r="M146" s="9">
        <v>531476000</v>
      </c>
      <c r="N146" s="9">
        <v>576863000</v>
      </c>
    </row>
    <row r="147" spans="1:14" x14ac:dyDescent="0.3">
      <c r="A147" s="8" t="s">
        <v>326</v>
      </c>
      <c r="B147" s="8" t="s">
        <v>327</v>
      </c>
      <c r="C147" s="8" t="s">
        <v>282</v>
      </c>
      <c r="D147" s="8" t="s">
        <v>279</v>
      </c>
      <c r="E147" s="9">
        <v>132749000</v>
      </c>
      <c r="F147" s="9">
        <v>132550999</v>
      </c>
      <c r="G147" s="9">
        <v>132364000</v>
      </c>
      <c r="H147" s="9">
        <v>132336000</v>
      </c>
      <c r="I147" s="9">
        <v>132269000</v>
      </c>
      <c r="J147" s="9">
        <v>132228000</v>
      </c>
      <c r="K147" s="9">
        <v>131982000</v>
      </c>
      <c r="L147" s="9">
        <v>131854999</v>
      </c>
      <c r="M147" s="9">
        <v>131841000</v>
      </c>
      <c r="N147" s="9">
        <v>131937999</v>
      </c>
    </row>
    <row r="148" spans="1:14" x14ac:dyDescent="0.3">
      <c r="A148" s="8" t="s">
        <v>328</v>
      </c>
      <c r="B148" s="8" t="s">
        <v>329</v>
      </c>
      <c r="C148" s="8" t="s">
        <v>282</v>
      </c>
      <c r="D148" s="8" t="s">
        <v>279</v>
      </c>
      <c r="E148" s="9">
        <v>541355874</v>
      </c>
      <c r="F148" s="9">
        <v>523899315</v>
      </c>
      <c r="G148" s="9">
        <v>522463000</v>
      </c>
      <c r="H148" s="9">
        <v>589338000</v>
      </c>
      <c r="I148" s="9">
        <v>556679000</v>
      </c>
      <c r="J148" s="9">
        <v>576661000</v>
      </c>
      <c r="K148" s="9">
        <v>605217000</v>
      </c>
      <c r="L148" s="9">
        <v>629199000</v>
      </c>
      <c r="M148" s="9">
        <v>652871000</v>
      </c>
      <c r="N148" s="9">
        <v>734622000</v>
      </c>
    </row>
    <row r="149" spans="1:14" x14ac:dyDescent="0.3">
      <c r="A149" s="8" t="s">
        <v>330</v>
      </c>
      <c r="B149" s="8" t="s">
        <v>331</v>
      </c>
      <c r="C149" s="8" t="s">
        <v>282</v>
      </c>
      <c r="D149" s="8" t="s">
        <v>279</v>
      </c>
      <c r="E149" s="9"/>
      <c r="F149" s="9"/>
      <c r="G149" s="9"/>
      <c r="H149" s="9">
        <v>1606703000</v>
      </c>
      <c r="I149" s="9">
        <v>1604781000</v>
      </c>
      <c r="J149" s="9">
        <v>1582947000</v>
      </c>
      <c r="K149" s="9">
        <v>2033709000</v>
      </c>
      <c r="L149" s="39">
        <v>2653106000</v>
      </c>
      <c r="M149" s="9">
        <v>2655118000</v>
      </c>
      <c r="N149" s="9">
        <v>2569157515</v>
      </c>
    </row>
    <row r="150" spans="1:14" x14ac:dyDescent="0.3">
      <c r="A150" s="8" t="s">
        <v>332</v>
      </c>
      <c r="B150" s="8" t="s">
        <v>333</v>
      </c>
      <c r="C150" s="8" t="s">
        <v>282</v>
      </c>
      <c r="D150" s="8" t="s">
        <v>279</v>
      </c>
      <c r="E150" s="9">
        <v>18381676</v>
      </c>
      <c r="F150" s="9">
        <v>18382759</v>
      </c>
      <c r="G150" s="9">
        <v>18389676</v>
      </c>
      <c r="H150" s="9">
        <v>18413259</v>
      </c>
      <c r="I150" s="9">
        <v>18436999</v>
      </c>
      <c r="J150" s="9">
        <v>18293000</v>
      </c>
      <c r="K150" s="9">
        <v>18070000</v>
      </c>
      <c r="L150" s="9">
        <v>18050000</v>
      </c>
      <c r="M150" s="9">
        <v>17900000</v>
      </c>
      <c r="N150" s="9">
        <v>17539000</v>
      </c>
    </row>
    <row r="151" spans="1:14" x14ac:dyDescent="0.3">
      <c r="A151" s="8" t="s">
        <v>334</v>
      </c>
      <c r="B151" s="8" t="s">
        <v>335</v>
      </c>
      <c r="C151" s="8" t="s">
        <v>282</v>
      </c>
      <c r="D151" s="8" t="s">
        <v>279</v>
      </c>
      <c r="E151" s="9">
        <v>898866000</v>
      </c>
      <c r="F151" s="9">
        <v>898848573</v>
      </c>
      <c r="G151" s="9">
        <v>898683000</v>
      </c>
      <c r="H151" s="9">
        <v>898634000</v>
      </c>
      <c r="I151" s="9">
        <v>898663000</v>
      </c>
      <c r="J151" s="9">
        <v>898628000</v>
      </c>
      <c r="K151" s="9">
        <v>897715000</v>
      </c>
      <c r="L151" s="9">
        <v>898592000</v>
      </c>
      <c r="M151" s="9">
        <v>898620000</v>
      </c>
      <c r="N151" s="9">
        <v>898617256</v>
      </c>
    </row>
    <row r="152" spans="1:14" x14ac:dyDescent="0.3">
      <c r="A152" s="8" t="s">
        <v>336</v>
      </c>
      <c r="B152" s="8" t="s">
        <v>337</v>
      </c>
      <c r="C152" s="8" t="s">
        <v>282</v>
      </c>
      <c r="D152" s="8" t="s">
        <v>279</v>
      </c>
      <c r="E152" s="9">
        <v>263965000</v>
      </c>
      <c r="F152" s="9">
        <v>270896000</v>
      </c>
      <c r="G152" s="9">
        <v>276067000</v>
      </c>
      <c r="H152" s="9">
        <v>276068000</v>
      </c>
      <c r="I152" s="9">
        <v>272993000</v>
      </c>
      <c r="J152" s="9">
        <v>270453000</v>
      </c>
      <c r="K152" s="9">
        <v>270436000</v>
      </c>
      <c r="L152" s="9">
        <v>257598000</v>
      </c>
      <c r="M152" s="9">
        <v>249260000</v>
      </c>
      <c r="N152" s="9">
        <v>249335000</v>
      </c>
    </row>
    <row r="153" spans="1:14" x14ac:dyDescent="0.3">
      <c r="A153" s="8" t="s">
        <v>338</v>
      </c>
      <c r="B153" s="8" t="s">
        <v>339</v>
      </c>
      <c r="C153" s="8" t="s">
        <v>282</v>
      </c>
      <c r="D153" s="8" t="s">
        <v>279</v>
      </c>
      <c r="E153" s="9">
        <v>49537000</v>
      </c>
      <c r="F153" s="9">
        <v>49031000</v>
      </c>
      <c r="G153" s="9">
        <v>49308000</v>
      </c>
      <c r="H153" s="9">
        <v>51223000</v>
      </c>
      <c r="I153" s="9">
        <v>55180000</v>
      </c>
      <c r="J153" s="9">
        <v>55386000</v>
      </c>
      <c r="K153" s="9">
        <v>55404000</v>
      </c>
      <c r="L153" s="9">
        <v>53466000</v>
      </c>
      <c r="M153" s="9">
        <v>51820146</v>
      </c>
      <c r="N153" s="9">
        <v>51266292</v>
      </c>
    </row>
    <row r="154" spans="1:14" x14ac:dyDescent="0.3">
      <c r="A154" s="8" t="s">
        <v>340</v>
      </c>
      <c r="B154" s="8" t="s">
        <v>341</v>
      </c>
      <c r="C154" s="8" t="s">
        <v>282</v>
      </c>
      <c r="D154" s="8" t="s">
        <v>279</v>
      </c>
      <c r="E154" s="9">
        <v>107097961</v>
      </c>
      <c r="F154" s="9">
        <v>107097961</v>
      </c>
      <c r="G154" s="9">
        <v>107097961</v>
      </c>
      <c r="H154" s="9">
        <v>116710905</v>
      </c>
      <c r="I154" s="9">
        <v>124950876</v>
      </c>
      <c r="J154" s="9">
        <v>124951000</v>
      </c>
      <c r="K154" s="9">
        <v>124951000</v>
      </c>
      <c r="L154" s="9">
        <v>124951000</v>
      </c>
      <c r="M154" s="9">
        <v>125016279</v>
      </c>
      <c r="N154" s="9">
        <v>124950876</v>
      </c>
    </row>
    <row r="155" spans="1:14" x14ac:dyDescent="0.3">
      <c r="A155" s="8" t="s">
        <v>342</v>
      </c>
      <c r="B155" s="8" t="s">
        <v>343</v>
      </c>
      <c r="C155" s="8" t="s">
        <v>282</v>
      </c>
      <c r="D155" s="8" t="s">
        <v>279</v>
      </c>
      <c r="E155" s="9">
        <v>1054368932</v>
      </c>
      <c r="F155" s="9">
        <v>1058752117</v>
      </c>
      <c r="G155" s="9">
        <v>1058752117</v>
      </c>
      <c r="H155" s="9">
        <v>1057462687</v>
      </c>
      <c r="I155" s="9">
        <v>1058752117</v>
      </c>
      <c r="J155" s="9">
        <v>1058731417</v>
      </c>
      <c r="K155" s="9">
        <v>1058650233</v>
      </c>
      <c r="L155" s="9">
        <v>1058566751</v>
      </c>
      <c r="M155" s="9">
        <v>1058471772</v>
      </c>
      <c r="N155" s="9">
        <v>1060674157</v>
      </c>
    </row>
    <row r="156" spans="1:14" x14ac:dyDescent="0.3">
      <c r="A156" s="8" t="s">
        <v>344</v>
      </c>
      <c r="B156" s="8" t="s">
        <v>345</v>
      </c>
      <c r="C156" s="8" t="s">
        <v>282</v>
      </c>
      <c r="D156" s="8" t="s">
        <v>279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</row>
  </sheetData>
  <mergeCells count="2">
    <mergeCell ref="A1:N1"/>
    <mergeCell ref="A2:N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7462-C61D-40FD-B17C-499D2B2FAFC9}">
  <dimension ref="A1:N156"/>
  <sheetViews>
    <sheetView zoomScale="68" workbookViewId="0">
      <pane xSplit="4" ySplit="3" topLeftCell="E112" activePane="bottomRight" state="frozen"/>
      <selection pane="topRight" activeCell="E1" sqref="E1"/>
      <selection pane="bottomLeft" activeCell="A4" sqref="A4"/>
      <selection pane="bottomRight"/>
    </sheetView>
  </sheetViews>
  <sheetFormatPr defaultRowHeight="14.4" x14ac:dyDescent="0.3"/>
  <cols>
    <col min="1" max="1" width="66.33203125" bestFit="1" customWidth="1"/>
    <col min="2" max="2" width="25.77734375" bestFit="1" customWidth="1"/>
    <col min="3" max="3" width="8.77734375" bestFit="1" customWidth="1"/>
    <col min="4" max="4" width="9.33203125" bestFit="1" customWidth="1"/>
    <col min="5" max="6" width="6.21875" bestFit="1" customWidth="1"/>
    <col min="7" max="9" width="5.5546875" bestFit="1" customWidth="1"/>
    <col min="10" max="11" width="6.21875" bestFit="1" customWidth="1"/>
    <col min="12" max="12" width="5.5546875" bestFit="1" customWidth="1"/>
    <col min="13" max="14" width="6.21875" bestFit="1" customWidth="1"/>
  </cols>
  <sheetData>
    <row r="1" spans="1:14" ht="17.399999999999999" x14ac:dyDescent="0.3">
      <c r="A1" s="11" t="s">
        <v>671</v>
      </c>
    </row>
    <row r="2" spans="1:14" x14ac:dyDescent="0.3">
      <c r="A2" s="12" t="s">
        <v>672</v>
      </c>
    </row>
    <row r="3" spans="1:14" x14ac:dyDescent="0.3">
      <c r="A3" s="14" t="s">
        <v>29</v>
      </c>
      <c r="B3" s="14" t="s">
        <v>30</v>
      </c>
      <c r="C3" s="14" t="s">
        <v>31</v>
      </c>
      <c r="D3" s="14" t="s">
        <v>32</v>
      </c>
      <c r="E3" s="14">
        <v>2015</v>
      </c>
      <c r="F3" s="14">
        <v>2016</v>
      </c>
      <c r="G3" s="14">
        <v>2017</v>
      </c>
      <c r="H3" s="14">
        <v>2018</v>
      </c>
      <c r="I3" s="14">
        <v>2019</v>
      </c>
      <c r="J3" s="14">
        <v>2020</v>
      </c>
      <c r="K3" s="14">
        <v>2021</v>
      </c>
      <c r="L3" s="14">
        <v>2022</v>
      </c>
      <c r="M3" s="14">
        <v>2023</v>
      </c>
      <c r="N3" s="14">
        <v>2024</v>
      </c>
    </row>
    <row r="4" spans="1:14" x14ac:dyDescent="0.3">
      <c r="A4" s="53" t="str">
        <f>'Net Income'!A4</f>
        <v>FTSE MIB</v>
      </c>
      <c r="B4" s="53">
        <f>'Net Income'!B4</f>
        <v>0</v>
      </c>
      <c r="C4" s="53">
        <f>'Net Income'!C4</f>
        <v>0</v>
      </c>
      <c r="D4" s="53">
        <f>'Net Income'!D4</f>
        <v>0</v>
      </c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1:14" x14ac:dyDescent="0.3">
      <c r="A5" s="51" t="str">
        <f>'Net Income'!A5</f>
        <v>A2A.MI</v>
      </c>
      <c r="B5" s="51" t="str">
        <f>'Net Income'!B5</f>
        <v>A2A</v>
      </c>
      <c r="C5" s="51" t="str">
        <f>'Net Income'!C5</f>
        <v>Italy</v>
      </c>
      <c r="D5" s="51" t="str">
        <f>'Net Income'!D5</f>
        <v>FTSE MIB</v>
      </c>
      <c r="E5" s="52">
        <f>IFERROR('Net Income'!E5/'Avg Shares Outstanding'!E5,"")</f>
        <v>2.3502990933317511E-2</v>
      </c>
      <c r="F5" s="52">
        <f>IFERROR('Net Income'!F5/'Avg Shares Outstanding'!F5,"")</f>
        <v>7.204462983677605E-2</v>
      </c>
      <c r="G5" s="52">
        <f>IFERROR('Net Income'!G5/'Avg Shares Outstanding'!G5,"")</f>
        <v>9.4236948848997235E-2</v>
      </c>
      <c r="H5" s="52">
        <f>IFERROR('Net Income'!H5/'Avg Shares Outstanding'!H5,"")</f>
        <v>0.11063996724933464</v>
      </c>
      <c r="I5" s="52">
        <f>IFERROR('Net Income'!I5/'Avg Shares Outstanding'!I5,"")</f>
        <v>0.12511321877904411</v>
      </c>
      <c r="J5" s="52">
        <f>IFERROR('Net Income'!J5/'Avg Shares Outstanding'!J5,"")</f>
        <v>0.11707252348476108</v>
      </c>
      <c r="K5" s="52">
        <f>IFERROR('Net Income'!K5/'Avg Shares Outstanding'!K5,"")</f>
        <v>0.16397249249911006</v>
      </c>
      <c r="L5" s="52">
        <f>IFERROR('Net Income'!L5/'Avg Shares Outstanding'!L5,"")</f>
        <v>0.13046224105583953</v>
      </c>
      <c r="M5" s="52">
        <f>IFERROR('Net Income'!M5/'Avg Shares Outstanding'!M5,"")</f>
        <v>0.21034788534399726</v>
      </c>
      <c r="N5" s="52">
        <f>IFERROR('Net Income'!N5/'Avg Shares Outstanding'!N5,"")</f>
        <v>0.27579999996418431</v>
      </c>
    </row>
    <row r="6" spans="1:14" x14ac:dyDescent="0.3">
      <c r="A6" s="51" t="str">
        <f>'Net Income'!A6</f>
        <v>AMP.MI</v>
      </c>
      <c r="B6" s="51" t="str">
        <f>'Net Income'!B6</f>
        <v>Amplifon</v>
      </c>
      <c r="C6" s="51" t="str">
        <f>'Net Income'!C6</f>
        <v>Italy</v>
      </c>
      <c r="D6" s="51" t="str">
        <f>'Net Income'!D6</f>
        <v>FTSE MIB</v>
      </c>
      <c r="E6" s="52">
        <f>IFERROR('Net Income'!E6/'Avg Shares Outstanding'!E6,"")</f>
        <v>0.21465461970793753</v>
      </c>
      <c r="F6" s="52">
        <f>IFERROR('Net Income'!F6/'Avg Shares Outstanding'!F6,"")</f>
        <v>0.29007530814596938</v>
      </c>
      <c r="G6" s="52">
        <f>IFERROR('Net Income'!G6/'Avg Shares Outstanding'!G6,"")</f>
        <v>0.45905936946937248</v>
      </c>
      <c r="H6" s="52">
        <f>IFERROR('Net Income'!H6/'Avg Shares Outstanding'!H6,"")</f>
        <v>0.45706093550607774</v>
      </c>
      <c r="I6" s="52">
        <f>IFERROR('Net Income'!I6/'Avg Shares Outstanding'!I6,"")</f>
        <v>0.48978727985754028</v>
      </c>
      <c r="J6" s="52">
        <f>IFERROR('Net Income'!J6/'Avg Shares Outstanding'!J6,"")</f>
        <v>0.4513183696178858</v>
      </c>
      <c r="K6" s="52">
        <f>IFERROR('Net Income'!K6/'Avg Shares Outstanding'!K6,"")</f>
        <v>0.7018158703366123</v>
      </c>
      <c r="L6" s="52">
        <f>IFERROR('Net Income'!L6/'Avg Shares Outstanding'!L6,"")</f>
        <v>0.79569602371453607</v>
      </c>
      <c r="M6" s="52">
        <f>IFERROR('Net Income'!M6/'Avg Shares Outstanding'!M6,"")</f>
        <v>0.68808900148416885</v>
      </c>
      <c r="N6" s="52">
        <f>IFERROR('Net Income'!N6/'Avg Shares Outstanding'!N6,"")</f>
        <v>0.64384034863945583</v>
      </c>
    </row>
    <row r="7" spans="1:14" x14ac:dyDescent="0.3">
      <c r="A7" s="51" t="str">
        <f>'Net Income'!A7</f>
        <v>G.MI</v>
      </c>
      <c r="B7" s="51" t="str">
        <f>'Net Income'!B7</f>
        <v>Assicurazioni Generali</v>
      </c>
      <c r="C7" s="51" t="str">
        <f>'Net Income'!C7</f>
        <v>Italy</v>
      </c>
      <c r="D7" s="51" t="str">
        <f>'Net Income'!D7</f>
        <v>FTSE MIB</v>
      </c>
      <c r="E7" s="52">
        <f>IFERROR('Net Income'!E7/'Avg Shares Outstanding'!E7,"")</f>
        <v>1.3042679042706755</v>
      </c>
      <c r="F7" s="52">
        <f>IFERROR('Net Income'!F7/'Avg Shares Outstanding'!F7,"")</f>
        <v>1.3352479201524567</v>
      </c>
      <c r="G7" s="52">
        <f>IFERROR('Net Income'!G7/'Avg Shares Outstanding'!G7,"")</f>
        <v>1.3518955217672128</v>
      </c>
      <c r="H7" s="52">
        <f>IFERROR('Net Income'!H7/'Avg Shares Outstanding'!H7,"")</f>
        <v>1.4765854384184534</v>
      </c>
      <c r="I7" s="52">
        <f>IFERROR('Net Income'!I7/'Avg Shares Outstanding'!I7,"")</f>
        <v>1.7028852935828458</v>
      </c>
      <c r="J7" s="52">
        <f>IFERROR('Net Income'!J7/'Avg Shares Outstanding'!J7,"")</f>
        <v>1.1112184899605171</v>
      </c>
      <c r="K7" s="52">
        <f>IFERROR('Net Income'!K7/'Avg Shares Outstanding'!K7,"")</f>
        <v>1.8097177709984251</v>
      </c>
      <c r="L7" s="52">
        <f>IFERROR('Net Income'!L7/'Avg Shares Outstanding'!L7,"")</f>
        <v>1.8545133913335707</v>
      </c>
      <c r="M7" s="52">
        <f>IFERROR('Net Income'!M7/'Avg Shares Outstanding'!M7,"")</f>
        <v>2.4303298297903035</v>
      </c>
      <c r="N7" s="52">
        <f>IFERROR('Net Income'!N7/'Avg Shares Outstanding'!N7,"")</f>
        <v>2.4202390213499658</v>
      </c>
    </row>
    <row r="8" spans="1:14" x14ac:dyDescent="0.3">
      <c r="A8" s="51" t="str">
        <f>'Net Income'!A8</f>
        <v>AZM.MI</v>
      </c>
      <c r="B8" s="51" t="str">
        <f>'Net Income'!B8</f>
        <v>Azimut Holding</v>
      </c>
      <c r="C8" s="51" t="str">
        <f>'Net Income'!C8</f>
        <v>Italy</v>
      </c>
      <c r="D8" s="51" t="str">
        <f>'Net Income'!D8</f>
        <v>FTSE MIB</v>
      </c>
      <c r="E8" s="52">
        <f>IFERROR('Net Income'!E8/'Avg Shares Outstanding'!E8,"")</f>
        <v>1.7331917158954544</v>
      </c>
      <c r="F8" s="52">
        <f>IFERROR('Net Income'!F8/'Avg Shares Outstanding'!F8,"")</f>
        <v>1.2097335221540888</v>
      </c>
      <c r="G8" s="52">
        <f>IFERROR('Net Income'!G8/'Avg Shares Outstanding'!G8,"")</f>
        <v>1.6098378114600251</v>
      </c>
      <c r="H8" s="52">
        <f>IFERROR('Net Income'!H8/'Avg Shares Outstanding'!H8,"")</f>
        <v>0.88425524129686983</v>
      </c>
      <c r="I8" s="52">
        <f>IFERROR('Net Income'!I8/'Avg Shares Outstanding'!I8,"")</f>
        <v>2.6408444861266753</v>
      </c>
      <c r="J8" s="52">
        <f>IFERROR('Net Income'!J8/'Avg Shares Outstanding'!J8,"")</f>
        <v>2.7540863862282432</v>
      </c>
      <c r="K8" s="52">
        <f>IFERROR('Net Income'!K8/'Avg Shares Outstanding'!K8,"")</f>
        <v>4.3509696057260099</v>
      </c>
      <c r="L8" s="52">
        <f>IFERROR('Net Income'!L8/'Avg Shares Outstanding'!L8,"")</f>
        <v>2.9194298387519968</v>
      </c>
      <c r="M8" s="52">
        <f>IFERROR('Net Income'!M8/'Avg Shares Outstanding'!M8,"")</f>
        <v>3.1399999945085568</v>
      </c>
      <c r="N8" s="52">
        <f>IFERROR('Net Income'!N8/'Avg Shares Outstanding'!N8,"")</f>
        <v>4.0999999935955849</v>
      </c>
    </row>
    <row r="9" spans="1:14" x14ac:dyDescent="0.3">
      <c r="A9" s="51" t="str">
        <f>'Net Income'!A9</f>
        <v>BGN.MI</v>
      </c>
      <c r="B9" s="51" t="str">
        <f>'Net Income'!B9</f>
        <v>Banca Generali</v>
      </c>
      <c r="C9" s="51" t="str">
        <f>'Net Income'!C9</f>
        <v>Italy</v>
      </c>
      <c r="D9" s="51" t="str">
        <f>'Net Income'!D9</f>
        <v>FTSE MIB</v>
      </c>
      <c r="E9" s="52">
        <f>IFERROR('Net Income'!E9/'Avg Shares Outstanding'!E9,"")</f>
        <v>1.7568332657270835</v>
      </c>
      <c r="F9" s="52">
        <f>IFERROR('Net Income'!F9/'Avg Shares Outstanding'!F9,"")</f>
        <v>1.3431380151119612</v>
      </c>
      <c r="G9" s="52">
        <f>IFERROR('Net Income'!G9/'Avg Shares Outstanding'!G9,"")</f>
        <v>1.7522449820573136</v>
      </c>
      <c r="H9" s="52">
        <f>IFERROR('Net Income'!H9/'Avg Shares Outstanding'!H9,"")</f>
        <v>1.55570717888482</v>
      </c>
      <c r="I9" s="52">
        <f>IFERROR('Net Income'!I9/'Avg Shares Outstanding'!I9,"")</f>
        <v>2.3517227075933942</v>
      </c>
      <c r="J9" s="52">
        <f>IFERROR('Net Income'!J9/'Avg Shares Outstanding'!J9,"")</f>
        <v>2.3835529738165424</v>
      </c>
      <c r="K9" s="52">
        <f>IFERROR('Net Income'!K9/'Avg Shares Outstanding'!K9,"")</f>
        <v>2.8092004590665645</v>
      </c>
      <c r="L9" s="52">
        <f>IFERROR('Net Income'!L9/'Avg Shares Outstanding'!L9,"")</f>
        <v>1.8595195698474216</v>
      </c>
      <c r="M9" s="52">
        <f>IFERROR('Net Income'!M9/'Avg Shares Outstanding'!M9,"")</f>
        <v>2.8588108449259737</v>
      </c>
      <c r="N9" s="52">
        <f>IFERROR('Net Income'!N9/'Avg Shares Outstanding'!N9,"")</f>
        <v>3.7824100063153461</v>
      </c>
    </row>
    <row r="10" spans="1:14" x14ac:dyDescent="0.3">
      <c r="A10" s="51" t="str">
        <f>'Net Income'!A10</f>
        <v>BMED.MI</v>
      </c>
      <c r="B10" s="51" t="str">
        <f>'Net Income'!B10</f>
        <v>Banca Mediolanum</v>
      </c>
      <c r="C10" s="51" t="str">
        <f>'Net Income'!C10</f>
        <v>Italy</v>
      </c>
      <c r="D10" s="51" t="str">
        <f>'Net Income'!D10</f>
        <v>FTSE MIB</v>
      </c>
      <c r="E10" s="52">
        <f>IFERROR('Net Income'!E10/'Avg Shares Outstanding'!E10,"")</f>
        <v>0.59439145163691232</v>
      </c>
      <c r="F10" s="52">
        <f>IFERROR('Net Income'!F10/'Avg Shares Outstanding'!F10,"")</f>
        <v>0.53392395118816538</v>
      </c>
      <c r="G10" s="52">
        <f>IFERROR('Net Income'!G10/'Avg Shares Outstanding'!G10,"")</f>
        <v>0.51711689417104612</v>
      </c>
      <c r="H10" s="52">
        <f>IFERROR('Net Income'!H10/'Avg Shares Outstanding'!H10,"")</f>
        <v>0.34877033252373996</v>
      </c>
      <c r="I10" s="52">
        <f>IFERROR('Net Income'!I10/'Avg Shares Outstanding'!I10,"")</f>
        <v>0.77132976148926524</v>
      </c>
      <c r="J10" s="52">
        <f>IFERROR('Net Income'!J10/'Avg Shares Outstanding'!J10,"")</f>
        <v>0.59161796352321794</v>
      </c>
      <c r="K10" s="52">
        <f>IFERROR('Net Income'!K10/'Avg Shares Outstanding'!K10,"")</f>
        <v>0.96919896811351092</v>
      </c>
      <c r="L10" s="52">
        <f>IFERROR('Net Income'!L10/'Avg Shares Outstanding'!L10,"")</f>
        <v>0.68745673512484018</v>
      </c>
      <c r="M10" s="52">
        <f>IFERROR('Net Income'!M10/'Avg Shares Outstanding'!M10,"")</f>
        <v>1.1109750004035694</v>
      </c>
      <c r="N10" s="52">
        <f>IFERROR('Net Income'!N10/'Avg Shares Outstanding'!N10,"")</f>
        <v>1.518495160905323</v>
      </c>
    </row>
    <row r="11" spans="1:14" x14ac:dyDescent="0.3">
      <c r="A11" s="51" t="str">
        <f>'Net Income'!A11</f>
        <v>BAMI.MI</v>
      </c>
      <c r="B11" s="51" t="str">
        <f>'Net Income'!B11</f>
        <v>Banco BPM</v>
      </c>
      <c r="C11" s="51" t="str">
        <f>'Net Income'!C11</f>
        <v>Italy</v>
      </c>
      <c r="D11" s="51" t="str">
        <f>'Net Income'!D11</f>
        <v>FTSE MIB</v>
      </c>
      <c r="E11" s="52">
        <f>IFERROR('Net Income'!E11/'Avg Shares Outstanding'!E11,"")</f>
        <v>0.88125736440897207</v>
      </c>
      <c r="F11" s="52">
        <f>IFERROR('Net Income'!F11/'Avg Shares Outstanding'!F11,"")</f>
        <v>-2.0581370011550884</v>
      </c>
      <c r="G11" s="52">
        <f>IFERROR('Net Income'!G11/'Avg Shares Outstanding'!G11,"")</f>
        <v>1.7274983513636484</v>
      </c>
      <c r="H11" s="52">
        <f>IFERROR('Net Income'!H11/'Avg Shares Outstanding'!H11,"")</f>
        <v>-3.9334067668979351E-2</v>
      </c>
      <c r="I11" s="52">
        <f>IFERROR('Net Income'!I11/'Avg Shares Outstanding'!I11,"")</f>
        <v>0.52734752552151054</v>
      </c>
      <c r="J11" s="52">
        <f>IFERROR('Net Income'!J11/'Avg Shares Outstanding'!J11,"")</f>
        <v>1.3832351315113352E-2</v>
      </c>
      <c r="K11" s="52">
        <f>IFERROR('Net Income'!K11/'Avg Shares Outstanding'!K11,"")</f>
        <v>0.37666086218017392</v>
      </c>
      <c r="L11" s="52">
        <f>IFERROR('Net Income'!L11/'Avg Shares Outstanding'!L11,"")</f>
        <v>0.45403727497650403</v>
      </c>
      <c r="M11" s="52">
        <f>IFERROR('Net Income'!M11/'Avg Shares Outstanding'!M11,"")</f>
        <v>0.83856198263788806</v>
      </c>
      <c r="N11" s="52">
        <f>IFERROR('Net Income'!N11/'Avg Shares Outstanding'!N11,"")</f>
        <v>1.2760076781124972</v>
      </c>
    </row>
    <row r="12" spans="1:14" x14ac:dyDescent="0.3">
      <c r="A12" s="51" t="str">
        <f>'Net Income'!A12</f>
        <v>BPE.MI</v>
      </c>
      <c r="B12" s="51" t="str">
        <f>'Net Income'!B12</f>
        <v>BPER Banca</v>
      </c>
      <c r="C12" s="51" t="str">
        <f>'Net Income'!C12</f>
        <v>Italy</v>
      </c>
      <c r="D12" s="51" t="str">
        <f>'Net Income'!D12</f>
        <v>FTSE MIB</v>
      </c>
      <c r="E12" s="52">
        <f>IFERROR('Net Income'!E12/'Avg Shares Outstanding'!E12,"")</f>
        <v>0.31061795612469884</v>
      </c>
      <c r="F12" s="52">
        <f>IFERROR('Net Income'!F12/'Avg Shares Outstanding'!F12,"")</f>
        <v>2.012828288612814E-2</v>
      </c>
      <c r="G12" s="52">
        <f>IFERROR('Net Income'!G12/'Avg Shares Outstanding'!G12,"")</f>
        <v>0.24836659737482877</v>
      </c>
      <c r="H12" s="52">
        <f>IFERROR('Net Income'!H12/'Avg Shares Outstanding'!H12,"")</f>
        <v>0.56581733663035638</v>
      </c>
      <c r="I12" s="52">
        <f>IFERROR('Net Income'!I12/'Avg Shares Outstanding'!I12,"")</f>
        <v>0.51850525053994678</v>
      </c>
      <c r="J12" s="52">
        <f>IFERROR('Net Income'!J12/'Avg Shares Outstanding'!J12,"")</f>
        <v>0.34892448807372711</v>
      </c>
      <c r="K12" s="52">
        <f>IFERROR('Net Income'!K12/'Avg Shares Outstanding'!K12,"")</f>
        <v>0.37181493466828974</v>
      </c>
      <c r="L12" s="52">
        <f>IFERROR('Net Income'!L12/'Avg Shares Outstanding'!L12,"")</f>
        <v>1.026250042935565</v>
      </c>
      <c r="M12" s="52">
        <f>IFERROR('Net Income'!M12/'Avg Shares Outstanding'!M12,"")</f>
        <v>1.0737181558708786</v>
      </c>
      <c r="N12" s="52">
        <f>IFERROR('Net Income'!N12/'Avg Shares Outstanding'!N12,"")</f>
        <v>0.99156218961744969</v>
      </c>
    </row>
    <row r="13" spans="1:14" x14ac:dyDescent="0.3">
      <c r="A13" s="51" t="str">
        <f>'Net Income'!A13</f>
        <v>BZU.MI</v>
      </c>
      <c r="B13" s="51" t="str">
        <f>'Net Income'!B13</f>
        <v>Buzzi</v>
      </c>
      <c r="C13" s="51" t="str">
        <f>'Net Income'!C13</f>
        <v>Italy</v>
      </c>
      <c r="D13" s="51" t="str">
        <f>'Net Income'!D13</f>
        <v>FTSE MIB</v>
      </c>
      <c r="E13" s="52">
        <f>IFERROR('Net Income'!E13/'Avg Shares Outstanding'!E13,"")</f>
        <v>0.60978396103049903</v>
      </c>
      <c r="F13" s="52">
        <f>IFERROR('Net Income'!F13/'Avg Shares Outstanding'!F13,"")</f>
        <v>0.7097003691029663</v>
      </c>
      <c r="G13" s="52">
        <f>IFERROR('Net Income'!G13/'Avg Shares Outstanding'!G13,"")</f>
        <v>1.9028622221282399</v>
      </c>
      <c r="H13" s="52">
        <f>IFERROR('Net Income'!H13/'Avg Shares Outstanding'!H13,"")</f>
        <v>1.866278687436133</v>
      </c>
      <c r="I13" s="52">
        <f>IFERROR('Net Income'!I13/'Avg Shares Outstanding'!I13,"")</f>
        <v>1.8828360177301795</v>
      </c>
      <c r="J13" s="52">
        <f>IFERROR('Net Income'!J13/'Avg Shares Outstanding'!J13,"")</f>
        <v>2.7236292408492271</v>
      </c>
      <c r="K13" s="52">
        <f>IFERROR('Net Income'!K13/'Avg Shares Outstanding'!K13,"")</f>
        <v>2.8204747617102379</v>
      </c>
      <c r="L13" s="52">
        <f>IFERROR('Net Income'!L13/'Avg Shares Outstanding'!L13,"")</f>
        <v>2.4615953782791049</v>
      </c>
      <c r="M13" s="52">
        <f>IFERROR('Net Income'!M13/'Avg Shares Outstanding'!M13,"")</f>
        <v>5.2208460074295253</v>
      </c>
      <c r="N13" s="52">
        <f>IFERROR('Net Income'!N13/'Avg Shares Outstanding'!N13,"")</f>
        <v>5.1402908174750488</v>
      </c>
    </row>
    <row r="14" spans="1:14" x14ac:dyDescent="0.3">
      <c r="A14" s="51" t="str">
        <f>'Net Income'!A14</f>
        <v>CPR.MI</v>
      </c>
      <c r="B14" s="51" t="str">
        <f>'Net Income'!B14</f>
        <v>Campari Group</v>
      </c>
      <c r="C14" s="51" t="str">
        <f>'Net Income'!C14</f>
        <v>Italy</v>
      </c>
      <c r="D14" s="51" t="str">
        <f>'Net Income'!D14</f>
        <v>FTSE MIB</v>
      </c>
      <c r="E14" s="52">
        <f>IFERROR('Net Income'!E14/'Avg Shares Outstanding'!E14,"")</f>
        <v>0.15172558905120054</v>
      </c>
      <c r="F14" s="52">
        <f>IFERROR('Net Income'!F14/'Avg Shares Outstanding'!F14,"")</f>
        <v>0.14367065743666926</v>
      </c>
      <c r="G14" s="52">
        <f>IFERROR('Net Income'!G14/'Avg Shares Outstanding'!G14,"")</f>
        <v>0.30703351259332196</v>
      </c>
      <c r="H14" s="52">
        <f>IFERROR('Net Income'!H14/'Avg Shares Outstanding'!H14,"")</f>
        <v>0.25655815372585666</v>
      </c>
      <c r="I14" s="52">
        <f>IFERROR('Net Income'!I14/'Avg Shares Outstanding'!I14,"")</f>
        <v>0.26950599305038425</v>
      </c>
      <c r="J14" s="52">
        <f>IFERROR('Net Income'!J14/'Avg Shares Outstanding'!J14,"")</f>
        <v>0.16572345589502799</v>
      </c>
      <c r="K14" s="52">
        <f>IFERROR('Net Income'!K14/'Avg Shares Outstanding'!K14,"")</f>
        <v>0.25279852875516912</v>
      </c>
      <c r="L14" s="52">
        <f>IFERROR('Net Income'!L14/'Avg Shares Outstanding'!L14,"")</f>
        <v>0.2957209500884676</v>
      </c>
      <c r="M14" s="52">
        <f>IFERROR('Net Income'!M14/'Avg Shares Outstanding'!M14,"")</f>
        <v>0.28999900006940849</v>
      </c>
      <c r="N14" s="52">
        <f>IFERROR('Net Income'!N14/'Avg Shares Outstanding'!N14,"")</f>
        <v>0.16795144117952851</v>
      </c>
    </row>
    <row r="15" spans="1:14" x14ac:dyDescent="0.3">
      <c r="A15" s="51" t="str">
        <f>'Net Income'!A15</f>
        <v>CNHI.MI</v>
      </c>
      <c r="B15" s="51" t="str">
        <f>'Net Income'!B15</f>
        <v>CNH Industrial</v>
      </c>
      <c r="C15" s="51" t="str">
        <f>'Net Income'!C15</f>
        <v>Italy</v>
      </c>
      <c r="D15" s="51" t="str">
        <f>'Net Income'!D15</f>
        <v>FTSE MIB</v>
      </c>
      <c r="E15" s="52">
        <f>IFERROR('Net Income'!E15/'Avg Shares Outstanding'!E15,"")</f>
        <v>0.18589272593681117</v>
      </c>
      <c r="F15" s="52">
        <f>IFERROR('Net Income'!F15/'Avg Shares Outstanding'!F15,"")</f>
        <v>-0.18502145465836808</v>
      </c>
      <c r="G15" s="52">
        <f>IFERROR('Net Income'!G15/'Avg Shares Outstanding'!G15,"")</f>
        <v>0.21627565982404692</v>
      </c>
      <c r="H15" s="52">
        <f>IFERROR('Net Income'!H15/'Avg Shares Outstanding'!H15,"")</f>
        <v>0.78703021370670601</v>
      </c>
      <c r="I15" s="52">
        <f>IFERROR('Net Income'!I15/'Avg Shares Outstanding'!I15,"")</f>
        <v>1.0500000002215191</v>
      </c>
      <c r="J15" s="52">
        <f>IFERROR('Net Income'!J15/'Avg Shares Outstanding'!J15,"")</f>
        <v>-0.33678756476683935</v>
      </c>
      <c r="K15" s="52">
        <f>IFERROR('Net Income'!K15/'Avg Shares Outstanding'!K15,"")</f>
        <v>1.2725258493353029</v>
      </c>
      <c r="L15" s="52">
        <f>IFERROR('Net Income'!L15/'Avg Shares Outstanding'!L15,"")</f>
        <v>1.5018504811250926</v>
      </c>
      <c r="M15" s="52">
        <f>IFERROR('Net Income'!M15/'Avg Shares Outstanding'!M15,"")</f>
        <v>1.707957957957958</v>
      </c>
      <c r="N15" s="52" t="str">
        <f>IFERROR('Net Income'!N15/'Avg Shares Outstanding'!N15,"")</f>
        <v/>
      </c>
    </row>
    <row r="16" spans="1:14" x14ac:dyDescent="0.3">
      <c r="A16" s="51" t="str">
        <f>'Net Income'!A16</f>
        <v>DIA.MI</v>
      </c>
      <c r="B16" s="51" t="str">
        <f>'Net Income'!B16</f>
        <v>DiaSorin</v>
      </c>
      <c r="C16" s="51" t="str">
        <f>'Net Income'!C16</f>
        <v>Italy</v>
      </c>
      <c r="D16" s="51" t="str">
        <f>'Net Income'!D16</f>
        <v>FTSE MIB</v>
      </c>
      <c r="E16" s="52">
        <f>IFERROR('Net Income'!E16/'Avg Shares Outstanding'!E16,"")</f>
        <v>1.8296928391758482</v>
      </c>
      <c r="F16" s="52">
        <f>IFERROR('Net Income'!F16/'Avg Shares Outstanding'!F16,"")</f>
        <v>2.0489192203164373</v>
      </c>
      <c r="G16" s="52">
        <f>IFERROR('Net Income'!G16/'Avg Shares Outstanding'!G16,"")</f>
        <v>2.5433554389137312</v>
      </c>
      <c r="H16" s="52">
        <f>IFERROR('Net Income'!H16/'Avg Shares Outstanding'!H16,"")</f>
        <v>2.848480141980148</v>
      </c>
      <c r="I16" s="52">
        <f>IFERROR('Net Income'!I16/'Avg Shares Outstanding'!I16,"")</f>
        <v>3.2120101819269697</v>
      </c>
      <c r="J16" s="52">
        <f>IFERROR('Net Income'!J16/'Avg Shares Outstanding'!J16,"")</f>
        <v>4.5266927789451543</v>
      </c>
      <c r="K16" s="52">
        <f>IFERROR('Net Income'!K16/'Avg Shares Outstanding'!K16,"")</f>
        <v>5.4443084647329547</v>
      </c>
      <c r="L16" s="52">
        <f>IFERROR('Net Income'!L16/'Avg Shares Outstanding'!L16,"")</f>
        <v>4.1714883850194413</v>
      </c>
      <c r="M16" s="52">
        <f>IFERROR('Net Income'!M16/'Avg Shares Outstanding'!M16,"")</f>
        <v>2.8674557167262509</v>
      </c>
      <c r="N16" s="52">
        <f>IFERROR('Net Income'!N16/'Avg Shares Outstanding'!N16,"")</f>
        <v>3.3669115210806106</v>
      </c>
    </row>
    <row r="17" spans="1:14" x14ac:dyDescent="0.3">
      <c r="A17" s="51" t="str">
        <f>'Net Income'!A17</f>
        <v>ENEL.MI</v>
      </c>
      <c r="B17" s="51" t="str">
        <f>'Net Income'!B17</f>
        <v>Enel</v>
      </c>
      <c r="C17" s="51" t="str">
        <f>'Net Income'!C17</f>
        <v>Italy</v>
      </c>
      <c r="D17" s="51" t="str">
        <f>'Net Income'!D17</f>
        <v>FTSE MIB</v>
      </c>
      <c r="E17" s="52">
        <f>IFERROR('Net Income'!E17/'Avg Shares Outstanding'!E17,"")</f>
        <v>0.23353360021753805</v>
      </c>
      <c r="F17" s="52">
        <f>IFERROR('Net Income'!F17/'Avg Shares Outstanding'!F17,"")</f>
        <v>0.2576221727985411</v>
      </c>
      <c r="G17" s="52">
        <f>IFERROR('Net Income'!G17/'Avg Shares Outstanding'!G17,"")</f>
        <v>0.37170443252586283</v>
      </c>
      <c r="H17" s="52">
        <f>IFERROR('Net Income'!H17/'Avg Shares Outstanding'!H17,"")</f>
        <v>0.4711902998761251</v>
      </c>
      <c r="I17" s="52">
        <f>IFERROR('Net Income'!I17/'Avg Shares Outstanding'!I17,"")</f>
        <v>0.21393273567467827</v>
      </c>
      <c r="J17" s="52">
        <f>IFERROR('Net Income'!J17/'Avg Shares Outstanding'!J17,"")</f>
        <v>0.25677319602714149</v>
      </c>
      <c r="K17" s="52">
        <f>IFERROR('Net Income'!K17/'Avg Shares Outstanding'!K17,"")</f>
        <v>0.3137986230432584</v>
      </c>
      <c r="L17" s="52">
        <f>IFERROR('Net Income'!L17/'Avg Shares Outstanding'!L17,"")</f>
        <v>0.1655424145561375</v>
      </c>
      <c r="M17" s="52">
        <f>IFERROR('Net Income'!M17/'Avg Shares Outstanding'!M17,"")</f>
        <v>0.33840559292242867</v>
      </c>
      <c r="N17" s="52">
        <f>IFERROR('Net Income'!N17/'Avg Shares Outstanding'!N17,"")</f>
        <v>0.69081288767762516</v>
      </c>
    </row>
    <row r="18" spans="1:14" x14ac:dyDescent="0.3">
      <c r="A18" s="51" t="str">
        <f>'Net Income'!A18</f>
        <v>ENI.MI</v>
      </c>
      <c r="B18" s="51" t="str">
        <f>'Net Income'!B18</f>
        <v>Eni</v>
      </c>
      <c r="C18" s="51" t="str">
        <f>'Net Income'!C18</f>
        <v>Italy</v>
      </c>
      <c r="D18" s="51" t="str">
        <f>'Net Income'!D18</f>
        <v>FTSE MIB</v>
      </c>
      <c r="E18" s="52">
        <f>IFERROR('Net Income'!E18/'Avg Shares Outstanding'!E18,"")</f>
        <v>-2.4395598593236616</v>
      </c>
      <c r="F18" s="52">
        <f>IFERROR('Net Income'!F18/'Avg Shares Outstanding'!F18,"")</f>
        <v>-0.40654244536391659</v>
      </c>
      <c r="G18" s="52">
        <f>IFERROR('Net Income'!G18/'Avg Shares Outstanding'!G18,"")</f>
        <v>0.93692549453476104</v>
      </c>
      <c r="H18" s="52">
        <f>IFERROR('Net Income'!H18/'Avg Shares Outstanding'!H18,"")</f>
        <v>1.1457482485033859</v>
      </c>
      <c r="I18" s="52">
        <f>IFERROR('Net Income'!I18/'Avg Shares Outstanding'!I18,"")</f>
        <v>4.119980968928233E-2</v>
      </c>
      <c r="J18" s="52">
        <f>IFERROR('Net Income'!J18/'Avg Shares Outstanding'!J18,"")</f>
        <v>-2.4170410491105794</v>
      </c>
      <c r="K18" s="52">
        <f>IFERROR('Net Income'!K18/'Avg Shares Outstanding'!K18,"")</f>
        <v>1.6323730907740774</v>
      </c>
      <c r="L18" s="52">
        <f>IFERROR('Net Income'!L18/'Avg Shares Outstanding'!L18,"")</f>
        <v>3.9863544792593024</v>
      </c>
      <c r="M18" s="52">
        <f>IFERROR('Net Income'!M18/'Avg Shares Outstanding'!M18,"")</f>
        <v>1.4440946788546523</v>
      </c>
      <c r="N18" s="52">
        <f>IFERROR('Net Income'!N18/'Avg Shares Outstanding'!N18,"")</f>
        <v>0.82854279404585907</v>
      </c>
    </row>
    <row r="19" spans="1:14" x14ac:dyDescent="0.3">
      <c r="A19" s="51" t="str">
        <f>'Net Income'!A19</f>
        <v>EXO.MI</v>
      </c>
      <c r="B19" s="51" t="str">
        <f>'Net Income'!B19</f>
        <v>Exor</v>
      </c>
      <c r="C19" s="51" t="str">
        <f>'Net Income'!C19</f>
        <v>Italy</v>
      </c>
      <c r="D19" s="51" t="str">
        <f>'Net Income'!D19</f>
        <v>FTSE MIB</v>
      </c>
      <c r="E19" s="52" t="str">
        <f>IFERROR('Net Income'!E19/'Avg Shares Outstanding'!E19,"")</f>
        <v/>
      </c>
      <c r="F19" s="52" t="str">
        <f>IFERROR('Net Income'!F19/'Avg Shares Outstanding'!F19,"")</f>
        <v/>
      </c>
      <c r="G19" s="52" t="str">
        <f>IFERROR('Net Income'!G19/'Avg Shares Outstanding'!G19,"")</f>
        <v/>
      </c>
      <c r="H19" s="52" t="str">
        <f>IFERROR('Net Income'!H19/'Avg Shares Outstanding'!H19,"")</f>
        <v/>
      </c>
      <c r="I19" s="52" t="str">
        <f>IFERROR('Net Income'!I19/'Avg Shares Outstanding'!I19,"")</f>
        <v/>
      </c>
      <c r="J19" s="52" t="str">
        <f>IFERROR('Net Income'!J19/'Avg Shares Outstanding'!J19,"")</f>
        <v/>
      </c>
      <c r="K19" s="52" t="str">
        <f>IFERROR('Net Income'!K19/'Avg Shares Outstanding'!K19,"")</f>
        <v/>
      </c>
      <c r="L19" s="52" t="str">
        <f>IFERROR('Net Income'!L19/'Avg Shares Outstanding'!L19,"")</f>
        <v/>
      </c>
      <c r="M19" s="52" t="str">
        <f>IFERROR('Net Income'!M19/'Avg Shares Outstanding'!M19,"")</f>
        <v/>
      </c>
      <c r="N19" s="52" t="str">
        <f>IFERROR('Net Income'!N19/'Avg Shares Outstanding'!N19,"")</f>
        <v/>
      </c>
    </row>
    <row r="20" spans="1:14" x14ac:dyDescent="0.3">
      <c r="A20" s="51" t="str">
        <f>'Net Income'!A20</f>
        <v>RACE.MI</v>
      </c>
      <c r="B20" s="51" t="str">
        <f>'Net Income'!B20</f>
        <v>Ferrari</v>
      </c>
      <c r="C20" s="51" t="str">
        <f>'Net Income'!C20</f>
        <v>Italy</v>
      </c>
      <c r="D20" s="51" t="str">
        <f>'Net Income'!D20</f>
        <v>FTSE MIB</v>
      </c>
      <c r="E20" s="52" t="str">
        <f>IFERROR('Net Income'!E20/'Avg Shares Outstanding'!E20,"")</f>
        <v/>
      </c>
      <c r="F20" s="52" t="str">
        <f>IFERROR('Net Income'!F20/'Avg Shares Outstanding'!F20,"")</f>
        <v/>
      </c>
      <c r="G20" s="52">
        <f>IFERROR('Net Income'!G20/'Avg Shares Outstanding'!G20,"")</f>
        <v>2.8386848774694338</v>
      </c>
      <c r="H20" s="52">
        <f>IFERROR('Net Income'!H20/'Avg Shares Outstanding'!H20,"")</f>
        <v>4.1604084705682745</v>
      </c>
      <c r="I20" s="52">
        <f>IFERROR('Net Income'!I20/'Avg Shares Outstanding'!I20,"")</f>
        <v>3.7255939218384406</v>
      </c>
      <c r="J20" s="52">
        <f>IFERROR('Net Income'!J20/'Avg Shares Outstanding'!J20,"")</f>
        <v>3.2889462463339934</v>
      </c>
      <c r="K20" s="52">
        <f>IFERROR('Net Income'!K20/'Avg Shares Outstanding'!K20,"")</f>
        <v>4.5041204471769518</v>
      </c>
      <c r="L20" s="52">
        <f>IFERROR('Net Income'!L20/'Avg Shares Outstanding'!L20,"")</f>
        <v>5.1008225951125601</v>
      </c>
      <c r="M20" s="52">
        <f>IFERROR('Net Income'!M20/'Avg Shares Outstanding'!M20,"")</f>
        <v>6.9089945922083658</v>
      </c>
      <c r="N20" s="52">
        <f>IFERROR('Net Income'!N20/'Avg Shares Outstanding'!N20,"")</f>
        <v>8.4669611612135096</v>
      </c>
    </row>
    <row r="21" spans="1:14" x14ac:dyDescent="0.3">
      <c r="A21" s="51" t="str">
        <f>'Net Income'!A21</f>
        <v>FBK.MI</v>
      </c>
      <c r="B21" s="51" t="str">
        <f>'Net Income'!B21</f>
        <v>FinecoBank</v>
      </c>
      <c r="C21" s="51" t="str">
        <f>'Net Income'!C21</f>
        <v>Italy</v>
      </c>
      <c r="D21" s="51" t="str">
        <f>'Net Income'!D21</f>
        <v>FTSE MIB</v>
      </c>
      <c r="E21" s="52">
        <f>IFERROR('Net Income'!E21/'Avg Shares Outstanding'!E21,"")</f>
        <v>0.31521589837000535</v>
      </c>
      <c r="F21" s="52">
        <f>IFERROR('Net Income'!F21/'Avg Shares Outstanding'!F21,"")</f>
        <v>0.34977381956760523</v>
      </c>
      <c r="G21" s="52">
        <f>IFERROR('Net Income'!G21/'Avg Shares Outstanding'!G21,"")</f>
        <v>0.35265979163860528</v>
      </c>
      <c r="H21" s="52">
        <f>IFERROR('Net Income'!H21/'Avg Shares Outstanding'!H21,"")</f>
        <v>0.39701925882211164</v>
      </c>
      <c r="I21" s="52">
        <f>IFERROR('Net Income'!I21/'Avg Shares Outstanding'!I21,"")</f>
        <v>0.47450279202764356</v>
      </c>
      <c r="J21" s="52">
        <f>IFERROR('Net Income'!J21/'Avg Shares Outstanding'!J21,"")</f>
        <v>0.53134482557409113</v>
      </c>
      <c r="K21" s="52">
        <f>IFERROR('Net Income'!K21/'Avg Shares Outstanding'!K21,"")</f>
        <v>0.62443103093156282</v>
      </c>
      <c r="L21" s="52">
        <f>IFERROR('Net Income'!L21/'Avg Shares Outstanding'!L21,"")</f>
        <v>0.70254530044904218</v>
      </c>
      <c r="M21" s="52">
        <f>IFERROR('Net Income'!M21/'Avg Shares Outstanding'!M21,"")</f>
        <v>0.99599900123588381</v>
      </c>
      <c r="N21" s="52">
        <f>IFERROR('Net Income'!N21/'Avg Shares Outstanding'!N21,"")</f>
        <v>1.0678672151643447</v>
      </c>
    </row>
    <row r="22" spans="1:14" x14ac:dyDescent="0.3">
      <c r="A22" s="51" t="str">
        <f>'Net Income'!A22</f>
        <v>HER.MI</v>
      </c>
      <c r="B22" s="51" t="str">
        <f>'Net Income'!B22</f>
        <v>Hera Group</v>
      </c>
      <c r="C22" s="51" t="str">
        <f>'Net Income'!C22</f>
        <v>Italy</v>
      </c>
      <c r="D22" s="51" t="str">
        <f>'Net Income'!D22</f>
        <v>FTSE MIB</v>
      </c>
      <c r="E22" s="52">
        <f>IFERROR('Net Income'!E22/'Avg Shares Outstanding'!E22,"")</f>
        <v>0.12213840630155519</v>
      </c>
      <c r="F22" s="52">
        <f>IFERROR('Net Income'!F22/'Avg Shares Outstanding'!F22,"")</f>
        <v>0.1408457506176633</v>
      </c>
      <c r="G22" s="52">
        <f>IFERROR('Net Income'!G22/'Avg Shares Outstanding'!G22,"")</f>
        <v>0.17090365504067179</v>
      </c>
      <c r="H22" s="52">
        <f>IFERROR('Net Income'!H22/'Avg Shares Outstanding'!H22,"")</f>
        <v>0.1920343306755396</v>
      </c>
      <c r="I22" s="52">
        <f>IFERROR('Net Income'!I22/'Avg Shares Outstanding'!I22,"")</f>
        <v>0.2619324644878423</v>
      </c>
      <c r="J22" s="52">
        <f>IFERROR('Net Income'!J22/'Avg Shares Outstanding'!J22,"")</f>
        <v>0.20620260108021021</v>
      </c>
      <c r="K22" s="52">
        <f>IFERROR('Net Income'!K22/'Avg Shares Outstanding'!K22,"")</f>
        <v>0.22823105866286408</v>
      </c>
      <c r="L22" s="52">
        <f>IFERROR('Net Income'!L22/'Avg Shares Outstanding'!L22,"")</f>
        <v>0.175439075057918</v>
      </c>
      <c r="M22" s="52">
        <f>IFERROR('Net Income'!M22/'Avg Shares Outstanding'!M22,"")</f>
        <v>0.30524115747070718</v>
      </c>
      <c r="N22" s="52">
        <f>IFERROR('Net Income'!N22/'Avg Shares Outstanding'!N22,"")</f>
        <v>0.34294401704122596</v>
      </c>
    </row>
    <row r="23" spans="1:14" x14ac:dyDescent="0.3">
      <c r="A23" s="51" t="str">
        <f>'Net Income'!A23</f>
        <v>INW.MI</v>
      </c>
      <c r="B23" s="51" t="str">
        <f>'Net Income'!B23</f>
        <v>Infrastrutture Wireless Italiane</v>
      </c>
      <c r="C23" s="51" t="str">
        <f>'Net Income'!C23</f>
        <v>Italy</v>
      </c>
      <c r="D23" s="51" t="str">
        <f>'Net Income'!D23</f>
        <v>FTSE MIB</v>
      </c>
      <c r="E23" s="52" t="str">
        <f>IFERROR('Net Income'!E23/'Avg Shares Outstanding'!E23,"")</f>
        <v/>
      </c>
      <c r="F23" s="52">
        <f>IFERROR('Net Income'!F23/'Avg Shares Outstanding'!F23,"")</f>
        <v>0.16320805499999999</v>
      </c>
      <c r="G23" s="52">
        <f>IFERROR('Net Income'!G23/'Avg Shares Outstanding'!G23,"")</f>
        <v>0.21123462333333334</v>
      </c>
      <c r="H23" s="52">
        <f>IFERROR('Net Income'!H23/'Avg Shares Outstanding'!H23,"")</f>
        <v>0.23461443886447542</v>
      </c>
      <c r="I23" s="52">
        <f>IFERROR('Net Income'!I23/'Avg Shares Outstanding'!I23,"")</f>
        <v>0.23227560265385044</v>
      </c>
      <c r="J23" s="52">
        <f>IFERROR('Net Income'!J23/'Avg Shares Outstanding'!J23,"")</f>
        <v>0.17980502645563007</v>
      </c>
      <c r="K23" s="52">
        <f>IFERROR('Net Income'!K23/'Avg Shares Outstanding'!K23,"")</f>
        <v>0.19934650593491235</v>
      </c>
      <c r="L23" s="52">
        <f>IFERROR('Net Income'!L23/'Avg Shares Outstanding'!L23,"")</f>
        <v>0.3055886331208551</v>
      </c>
      <c r="M23" s="52">
        <f>IFERROR('Net Income'!M23/'Avg Shares Outstanding'!M23,"")</f>
        <v>0.35511520351231224</v>
      </c>
      <c r="N23" s="52">
        <f>IFERROR('Net Income'!N23/'Avg Shares Outstanding'!N23,"")</f>
        <v>0.37956357876240382</v>
      </c>
    </row>
    <row r="24" spans="1:14" x14ac:dyDescent="0.3">
      <c r="A24" s="51" t="str">
        <f>'Net Income'!A24</f>
        <v>IP.MI</v>
      </c>
      <c r="B24" s="51" t="str">
        <f>'Net Income'!B24</f>
        <v>Interpump Group</v>
      </c>
      <c r="C24" s="51" t="str">
        <f>'Net Income'!C24</f>
        <v>Italy</v>
      </c>
      <c r="D24" s="51" t="str">
        <f>'Net Income'!D24</f>
        <v>FTSE MIB</v>
      </c>
      <c r="E24" s="52">
        <f>IFERROR('Net Income'!E24/'Avg Shares Outstanding'!E24,"")</f>
        <v>1.1009314226663922</v>
      </c>
      <c r="F24" s="52">
        <f>IFERROR('Net Income'!F24/'Avg Shares Outstanding'!F24,"")</f>
        <v>0.88374027132380051</v>
      </c>
      <c r="G24" s="52">
        <f>IFERROR('Net Income'!G24/'Avg Shares Outstanding'!G24,"")</f>
        <v>1.256774118787898</v>
      </c>
      <c r="H24" s="52">
        <f>IFERROR('Net Income'!H24/'Avg Shares Outstanding'!H24,"")</f>
        <v>1.6194713990280025</v>
      </c>
      <c r="I24" s="52">
        <f>IFERROR('Net Income'!I24/'Avg Shares Outstanding'!I24,"")</f>
        <v>1.6990606869542182</v>
      </c>
      <c r="J24" s="52">
        <f>IFERROR('Net Income'!J24/'Avg Shares Outstanding'!J24,"")</f>
        <v>1.5963915910665822</v>
      </c>
      <c r="K24" s="52">
        <f>IFERROR('Net Income'!K24/'Avg Shares Outstanding'!K24,"")</f>
        <v>1.8364282633736748</v>
      </c>
      <c r="L24" s="52">
        <f>IFERROR('Net Income'!L24/'Avg Shares Outstanding'!L24,"")</f>
        <v>2.5238054592486963</v>
      </c>
      <c r="M24" s="52">
        <f>IFERROR('Net Income'!M24/'Avg Shares Outstanding'!M24,"")</f>
        <v>2.5650000091183291</v>
      </c>
      <c r="N24" s="52">
        <f>IFERROR('Net Income'!N24/'Avg Shares Outstanding'!N24,"")</f>
        <v>2.1200058921678937</v>
      </c>
    </row>
    <row r="25" spans="1:14" x14ac:dyDescent="0.3">
      <c r="A25" s="51" t="str">
        <f>'Net Income'!A25</f>
        <v>ISP.MI</v>
      </c>
      <c r="B25" s="51" t="str">
        <f>'Net Income'!B25</f>
        <v>Intesa Sanpaolo</v>
      </c>
      <c r="C25" s="51" t="str">
        <f>'Net Income'!C25</f>
        <v>Italy</v>
      </c>
      <c r="D25" s="51" t="str">
        <f>'Net Income'!D25</f>
        <v>FTSE MIB</v>
      </c>
      <c r="E25" s="52">
        <f>IFERROR('Net Income'!E25/'Avg Shares Outstanding'!E25,"")</f>
        <v>0.17299874347406105</v>
      </c>
      <c r="F25" s="52">
        <f>IFERROR('Net Income'!F25/'Avg Shares Outstanding'!F25,"")</f>
        <v>0.19638317510780157</v>
      </c>
      <c r="G25" s="52">
        <f>IFERROR('Net Income'!G25/'Avg Shares Outstanding'!G25,"")</f>
        <v>0.46194879867678162</v>
      </c>
      <c r="H25" s="52">
        <f>IFERROR('Net Income'!H25/'Avg Shares Outstanding'!H25,"")</f>
        <v>0.24146847165796054</v>
      </c>
      <c r="I25" s="52">
        <f>IFERROR('Net Income'!I25/'Avg Shares Outstanding'!I25,"")</f>
        <v>0.23932623313099147</v>
      </c>
      <c r="J25" s="52">
        <f>IFERROR('Net Income'!J25/'Avg Shares Outstanding'!J25,"")</f>
        <v>0.17965525160479506</v>
      </c>
      <c r="K25" s="52">
        <f>IFERROR('Net Income'!K25/'Avg Shares Outstanding'!K25,"")</f>
        <v>0.21597158649940712</v>
      </c>
      <c r="L25" s="52">
        <f>IFERROR('Net Income'!L25/'Avg Shares Outstanding'!L25,"")</f>
        <v>0.2267086266592985</v>
      </c>
      <c r="M25" s="52">
        <f>IFERROR('Net Income'!M25/'Avg Shares Outstanding'!M25,"")</f>
        <v>0.42045840417636476</v>
      </c>
      <c r="N25" s="52">
        <f>IFERROR('Net Income'!N25/'Avg Shares Outstanding'!N25,"")</f>
        <v>0.48098109931876737</v>
      </c>
    </row>
    <row r="26" spans="1:14" x14ac:dyDescent="0.3">
      <c r="A26" s="51" t="str">
        <f>'Net Income'!A26</f>
        <v>IG.MI</v>
      </c>
      <c r="B26" s="51" t="str">
        <f>'Net Income'!B26</f>
        <v>Italgas</v>
      </c>
      <c r="C26" s="51" t="str">
        <f>'Net Income'!C26</f>
        <v>Italy</v>
      </c>
      <c r="D26" s="51" t="str">
        <f>'Net Income'!D26</f>
        <v>FTSE MIB</v>
      </c>
      <c r="E26" s="52" t="str">
        <f>IFERROR('Net Income'!E26/'Avg Shares Outstanding'!E26,"")</f>
        <v/>
      </c>
      <c r="F26" s="52" t="str">
        <f>IFERROR('Net Income'!F26/'Avg Shares Outstanding'!F26,"")</f>
        <v/>
      </c>
      <c r="G26" s="52">
        <f>IFERROR('Net Income'!G26/'Avg Shares Outstanding'!G26,"")</f>
        <v>0.36182567601637633</v>
      </c>
      <c r="H26" s="52">
        <f>IFERROR('Net Income'!H26/'Avg Shares Outstanding'!H26,"")</f>
        <v>0.39000000041027111</v>
      </c>
      <c r="I26" s="52">
        <f>IFERROR('Net Income'!I26/'Avg Shares Outstanding'!I26,"")</f>
        <v>0.51565899527172154</v>
      </c>
      <c r="J26" s="52">
        <f>IFERROR('Net Income'!J26/'Avg Shares Outstanding'!J26,"")</f>
        <v>0.47535425036880907</v>
      </c>
      <c r="K26" s="52">
        <f>IFERROR('Net Income'!K26/'Avg Shares Outstanding'!K26,"")</f>
        <v>0.44804541719594043</v>
      </c>
      <c r="L26" s="52">
        <f>IFERROR('Net Income'!L26/'Avg Shares Outstanding'!L26,"")</f>
        <v>0.5026722029526357</v>
      </c>
      <c r="M26" s="52">
        <f>IFERROR('Net Income'!M26/'Avg Shares Outstanding'!M26,"")</f>
        <v>0.54000000054053066</v>
      </c>
      <c r="N26" s="52">
        <f>IFERROR('Net Income'!N26/'Avg Shares Outstanding'!N26,"")</f>
        <v>0.59027246814860101</v>
      </c>
    </row>
    <row r="27" spans="1:14" x14ac:dyDescent="0.3">
      <c r="A27" s="51" t="str">
        <f>'Net Income'!A27</f>
        <v>IVG.MI</v>
      </c>
      <c r="B27" s="51" t="str">
        <f>'Net Income'!B27</f>
        <v>Iveco</v>
      </c>
      <c r="C27" s="51" t="str">
        <f>'Net Income'!C27</f>
        <v>Italy</v>
      </c>
      <c r="D27" s="51" t="str">
        <f>'Net Income'!D27</f>
        <v>FTSE MIB</v>
      </c>
      <c r="E27" s="52" t="str">
        <f>IFERROR('Net Income'!E27/'Avg Shares Outstanding'!E27,"")</f>
        <v/>
      </c>
      <c r="F27" s="52" t="str">
        <f>IFERROR('Net Income'!F27/'Avg Shares Outstanding'!F27,"")</f>
        <v/>
      </c>
      <c r="G27" s="52" t="str">
        <f>IFERROR('Net Income'!G27/'Avg Shares Outstanding'!G27,"")</f>
        <v/>
      </c>
      <c r="H27" s="52" t="str">
        <f>IFERROR('Net Income'!H27/'Avg Shares Outstanding'!H27,"")</f>
        <v/>
      </c>
      <c r="I27" s="52" t="str">
        <f>IFERROR('Net Income'!I27/'Avg Shares Outstanding'!I27,"")</f>
        <v/>
      </c>
      <c r="J27" s="52" t="str">
        <f>IFERROR('Net Income'!J27/'Avg Shares Outstanding'!J27,"")</f>
        <v/>
      </c>
      <c r="K27" s="52" t="str">
        <f>IFERROR('Net Income'!K27/'Avg Shares Outstanding'!K27,"")</f>
        <v/>
      </c>
      <c r="L27" s="52" t="str">
        <f>IFERROR('Net Income'!L27/'Avg Shares Outstanding'!L27,"")</f>
        <v/>
      </c>
      <c r="M27" s="52">
        <f>IFERROR('Net Income'!M27/'Avg Shares Outstanding'!M27,"")</f>
        <v>0.81040892193308545</v>
      </c>
      <c r="N27" s="52">
        <f>IFERROR('Net Income'!N27/'Avg Shares Outstanding'!N27,"")</f>
        <v>1.3071161048689139</v>
      </c>
    </row>
    <row r="28" spans="1:14" x14ac:dyDescent="0.3">
      <c r="A28" s="51" t="str">
        <f>'Net Income'!A28</f>
        <v>LDO.MI</v>
      </c>
      <c r="B28" s="51" t="str">
        <f>'Net Income'!B28</f>
        <v>Leonardo</v>
      </c>
      <c r="C28" s="51" t="str">
        <f>'Net Income'!C28</f>
        <v>Italy</v>
      </c>
      <c r="D28" s="51" t="str">
        <f>'Net Income'!D28</f>
        <v>FTSE MIB</v>
      </c>
      <c r="E28" s="52">
        <f>IFERROR('Net Income'!E28/'Avg Shares Outstanding'!E28,"")</f>
        <v>0.8476302034834643</v>
      </c>
      <c r="F28" s="52">
        <f>IFERROR('Net Income'!F28/'Avg Shares Outstanding'!F28,"")</f>
        <v>0.8789594512508202</v>
      </c>
      <c r="G28" s="52">
        <f>IFERROR('Net Income'!G28/'Avg Shares Outstanding'!G28,"")</f>
        <v>0.48222135178656916</v>
      </c>
      <c r="H28" s="52">
        <f>IFERROR('Net Income'!H28/'Avg Shares Outstanding'!H28,"")</f>
        <v>0.88582591519391585</v>
      </c>
      <c r="I28" s="52">
        <f>IFERROR('Net Income'!I28/'Avg Shares Outstanding'!I28,"")</f>
        <v>1.4280396720205109</v>
      </c>
      <c r="J28" s="52">
        <f>IFERROR('Net Income'!J28/'Avg Shares Outstanding'!J28,"")</f>
        <v>0.41919313149444959</v>
      </c>
      <c r="K28" s="52">
        <f>IFERROR('Net Income'!K28/'Avg Shares Outstanding'!K28,"")</f>
        <v>1.0187247165911315</v>
      </c>
      <c r="L28" s="52">
        <f>IFERROR('Net Income'!L28/'Avg Shares Outstanding'!L28,"")</f>
        <v>1.6113136116890634</v>
      </c>
      <c r="M28" s="52">
        <f>IFERROR('Net Income'!M28/'Avg Shares Outstanding'!M28,"")</f>
        <v>1.1437370009096968</v>
      </c>
      <c r="N28" s="52">
        <f>IFERROR('Net Income'!N28/'Avg Shares Outstanding'!N28,"")</f>
        <v>1.8668293624099828</v>
      </c>
    </row>
    <row r="29" spans="1:14" x14ac:dyDescent="0.3">
      <c r="A29" s="51" t="str">
        <f>'Net Income'!A29</f>
        <v>MB.MI</v>
      </c>
      <c r="B29" s="51" t="str">
        <f>'Net Income'!B29</f>
        <v>Mediobanca</v>
      </c>
      <c r="C29" s="51" t="str">
        <f>'Net Income'!C29</f>
        <v>Italy</v>
      </c>
      <c r="D29" s="51" t="str">
        <f>'Net Income'!D29</f>
        <v>FTSE MIB</v>
      </c>
      <c r="E29" s="52">
        <f>IFERROR('Net Income'!E29/'Avg Shares Outstanding'!E29,"")</f>
        <v>0.69594149052623921</v>
      </c>
      <c r="F29" s="52">
        <f>IFERROR('Net Income'!F29/'Avg Shares Outstanding'!F29,"")</f>
        <v>0.71132305297166942</v>
      </c>
      <c r="G29" s="52">
        <f>IFERROR('Net Income'!G29/'Avg Shares Outstanding'!G29,"")</f>
        <v>0.87799587374475041</v>
      </c>
      <c r="H29" s="52">
        <f>IFERROR('Net Income'!H29/'Avg Shares Outstanding'!H29,"")</f>
        <v>0.98431664181168022</v>
      </c>
      <c r="I29" s="52">
        <f>IFERROR('Net Income'!I29/'Avg Shares Outstanding'!I29,"")</f>
        <v>0.94403174852782201</v>
      </c>
      <c r="J29" s="52">
        <f>IFERROR('Net Income'!J29/'Avg Shares Outstanding'!J29,"")</f>
        <v>0.69762285681413394</v>
      </c>
      <c r="K29" s="52">
        <f>IFERROR('Net Income'!K29/'Avg Shares Outstanding'!K29,"")</f>
        <v>0.93647321896204871</v>
      </c>
      <c r="L29" s="52">
        <f>IFERROR('Net Income'!L29/'Avg Shares Outstanding'!L29,"")</f>
        <v>1.0812221000668558</v>
      </c>
      <c r="M29" s="52">
        <f>IFERROR('Net Income'!M29/'Avg Shares Outstanding'!M29,"")</f>
        <v>1.2203060140586262</v>
      </c>
      <c r="N29" s="52">
        <f>IFERROR('Net Income'!N29/'Avg Shares Outstanding'!N29,"")</f>
        <v>1.5404906593561742</v>
      </c>
    </row>
    <row r="30" spans="1:14" x14ac:dyDescent="0.3">
      <c r="A30" s="51" t="str">
        <f>'Net Income'!A30</f>
        <v>MONC.MI</v>
      </c>
      <c r="B30" s="51" t="str">
        <f>'Net Income'!B30</f>
        <v>Moncler</v>
      </c>
      <c r="C30" s="51" t="str">
        <f>'Net Income'!C30</f>
        <v>Italy</v>
      </c>
      <c r="D30" s="51" t="str">
        <f>'Net Income'!D30</f>
        <v>FTSE MIB</v>
      </c>
      <c r="E30" s="52">
        <f>IFERROR('Net Income'!E30/'Avg Shares Outstanding'!E30,"")</f>
        <v>0.67122075371081458</v>
      </c>
      <c r="F30" s="52">
        <f>IFERROR('Net Income'!F30/'Avg Shares Outstanding'!F30,"")</f>
        <v>0.78647470671018138</v>
      </c>
      <c r="G30" s="52">
        <f>IFERROR('Net Income'!G30/'Avg Shares Outstanding'!G30,"")</f>
        <v>0.99058917275497005</v>
      </c>
      <c r="H30" s="52">
        <f>IFERROR('Net Income'!H30/'Avg Shares Outstanding'!H30,"")</f>
        <v>1.3204742158018083</v>
      </c>
      <c r="I30" s="52">
        <f>IFERROR('Net Income'!I30/'Avg Shares Outstanding'!I30,"")</f>
        <v>1.4249140152375086</v>
      </c>
      <c r="J30" s="52">
        <f>IFERROR('Net Income'!J30/'Avg Shares Outstanding'!J30,"")</f>
        <v>1.1886868339074412</v>
      </c>
      <c r="K30" s="52">
        <f>IFERROR('Net Income'!K30/'Avg Shares Outstanding'!K30,"")</f>
        <v>1.4818389729610637</v>
      </c>
      <c r="L30" s="52">
        <f>IFERROR('Net Income'!L30/'Avg Shares Outstanding'!L30,"")</f>
        <v>2.2555948220521884</v>
      </c>
      <c r="M30" s="52">
        <f>IFERROR('Net Income'!M30/'Avg Shares Outstanding'!M30,"")</f>
        <v>2.2655176916232103</v>
      </c>
      <c r="N30" s="52">
        <f>IFERROR('Net Income'!N30/'Avg Shares Outstanding'!N30,"")</f>
        <v>2.36429545829938</v>
      </c>
    </row>
    <row r="31" spans="1:14" x14ac:dyDescent="0.3">
      <c r="A31" s="51" t="str">
        <f>'Net Income'!A31</f>
        <v>NEXI.MI</v>
      </c>
      <c r="B31" s="51" t="str">
        <f>'Net Income'!B31</f>
        <v>Nexi</v>
      </c>
      <c r="C31" s="51" t="str">
        <f>'Net Income'!C31</f>
        <v>Italy</v>
      </c>
      <c r="D31" s="51" t="str">
        <f>'Net Income'!D31</f>
        <v>FTSE MIB</v>
      </c>
      <c r="E31" s="52" t="str">
        <f>IFERROR('Net Income'!E31/'Avg Shares Outstanding'!E31,"")</f>
        <v/>
      </c>
      <c r="F31" s="52" t="str">
        <f>IFERROR('Net Income'!F31/'Avg Shares Outstanding'!F31,"")</f>
        <v/>
      </c>
      <c r="G31" s="52" t="str">
        <f>IFERROR('Net Income'!G31/'Avg Shares Outstanding'!G31,"")</f>
        <v/>
      </c>
      <c r="H31" s="52" t="str">
        <f>IFERROR('Net Income'!H31/'Avg Shares Outstanding'!H31,"")</f>
        <v/>
      </c>
      <c r="I31" s="52" t="str">
        <f>IFERROR('Net Income'!I31/'Avg Shares Outstanding'!I31,"")</f>
        <v/>
      </c>
      <c r="J31" s="52">
        <f>IFERROR('Net Income'!J31/'Avg Shares Outstanding'!J31,"")</f>
        <v>0.20377585707049306</v>
      </c>
      <c r="K31" s="52">
        <f>IFERROR('Net Income'!K31/'Avg Shares Outstanding'!K31,"")</f>
        <v>4.5197746881117072E-2</v>
      </c>
      <c r="L31" s="52">
        <f>IFERROR('Net Income'!L31/'Avg Shares Outstanding'!L31,"")</f>
        <v>0.10682629997695983</v>
      </c>
      <c r="M31" s="52">
        <f>IFERROR('Net Income'!M31/'Avg Shares Outstanding'!M31,"")</f>
        <v>-0.78326818458422487</v>
      </c>
      <c r="N31" s="52">
        <f>IFERROR('Net Income'!N31/'Avg Shares Outstanding'!N31,"")</f>
        <v>0.13065299564856928</v>
      </c>
    </row>
    <row r="32" spans="1:14" x14ac:dyDescent="0.3">
      <c r="A32" s="51" t="str">
        <f>'Net Income'!A32</f>
        <v>PIRC.MI</v>
      </c>
      <c r="B32" s="51" t="str">
        <f>'Net Income'!B32</f>
        <v>Pirelli</v>
      </c>
      <c r="C32" s="51" t="str">
        <f>'Net Income'!C32</f>
        <v>Italy</v>
      </c>
      <c r="D32" s="51" t="str">
        <f>'Net Income'!D32</f>
        <v>FTSE MIB</v>
      </c>
      <c r="E32" s="52" t="str">
        <f>IFERROR('Net Income'!E32/'Avg Shares Outstanding'!E32,"")</f>
        <v/>
      </c>
      <c r="F32" s="52" t="str">
        <f>IFERROR('Net Income'!F32/'Avg Shares Outstanding'!F32,"")</f>
        <v/>
      </c>
      <c r="G32" s="52" t="str">
        <f>IFERROR('Net Income'!G32/'Avg Shares Outstanding'!G32,"")</f>
        <v/>
      </c>
      <c r="H32" s="52">
        <f>IFERROR('Net Income'!H32/'Avg Shares Outstanding'!H32,"")</f>
        <v>0.43160599999999999</v>
      </c>
      <c r="I32" s="52">
        <f>IFERROR('Net Income'!I32/'Avg Shares Outstanding'!I32,"")</f>
        <v>0.43813400000000002</v>
      </c>
      <c r="J32" s="52">
        <f>IFERROR('Net Income'!J32/'Avg Shares Outstanding'!J32,"")</f>
        <v>4.2673000000000003E-2</v>
      </c>
      <c r="K32" s="52">
        <f>IFERROR('Net Income'!K32/'Avg Shares Outstanding'!K32,"")</f>
        <v>0.30279600000000001</v>
      </c>
      <c r="L32" s="52">
        <f>IFERROR('Net Income'!L32/'Avg Shares Outstanding'!L32,"")</f>
        <v>0.41776000000000002</v>
      </c>
      <c r="M32" s="52">
        <f>IFERROR('Net Income'!M32/'Avg Shares Outstanding'!M32,"")</f>
        <v>0.47908000000000001</v>
      </c>
      <c r="N32" s="52">
        <f>IFERROR('Net Income'!N32/'Avg Shares Outstanding'!N32,"")</f>
        <v>0.43893647964820792</v>
      </c>
    </row>
    <row r="33" spans="1:14" x14ac:dyDescent="0.3">
      <c r="A33" s="51" t="str">
        <f>'Net Income'!A33</f>
        <v>PST.MI</v>
      </c>
      <c r="B33" s="51" t="str">
        <f>'Net Income'!B33</f>
        <v>Poste Italiane</v>
      </c>
      <c r="C33" s="51" t="str">
        <f>'Net Income'!C33</f>
        <v>Italy</v>
      </c>
      <c r="D33" s="51" t="str">
        <f>'Net Income'!D33</f>
        <v>FTSE MIB</v>
      </c>
      <c r="E33" s="52" t="str">
        <f>IFERROR('Net Income'!E33/'Avg Shares Outstanding'!E33,"")</f>
        <v/>
      </c>
      <c r="F33" s="52">
        <f>IFERROR('Net Income'!F33/'Avg Shares Outstanding'!F33,"")</f>
        <v>0.4762232890032233</v>
      </c>
      <c r="G33" s="52">
        <f>IFERROR('Net Income'!G33/'Avg Shares Outstanding'!G33,"")</f>
        <v>0.52800000017165749</v>
      </c>
      <c r="H33" s="52">
        <f>IFERROR('Net Income'!H33/'Avg Shares Outstanding'!H33,"")</f>
        <v>1.0711195841085361</v>
      </c>
      <c r="I33" s="52">
        <f>IFERROR('Net Income'!I33/'Avg Shares Outstanding'!I33,"")</f>
        <v>1.0316315490869798</v>
      </c>
      <c r="J33" s="52">
        <f>IFERROR('Net Income'!J33/'Avg Shares Outstanding'!J33,"")</f>
        <v>0.92785341262890053</v>
      </c>
      <c r="K33" s="52">
        <f>IFERROR('Net Income'!K33/'Avg Shares Outstanding'!K33,"")</f>
        <v>1.2130277529472868</v>
      </c>
      <c r="L33" s="52">
        <f>IFERROR('Net Income'!L33/'Avg Shares Outstanding'!L33,"")</f>
        <v>1.2151791034345274</v>
      </c>
      <c r="M33" s="52">
        <f>IFERROR('Net Income'!M33/'Avg Shares Outstanding'!M33,"")</f>
        <v>1.482999999865743</v>
      </c>
      <c r="N33" s="52">
        <f>IFERROR('Net Income'!N33/'Avg Shares Outstanding'!N33,"")</f>
        <v>1.5399999997683049</v>
      </c>
    </row>
    <row r="34" spans="1:14" x14ac:dyDescent="0.3">
      <c r="A34" s="51" t="str">
        <f>'Net Income'!A34</f>
        <v>PRY.MI</v>
      </c>
      <c r="B34" s="51" t="str">
        <f>'Net Income'!B34</f>
        <v>Prysmian Group</v>
      </c>
      <c r="C34" s="51" t="str">
        <f>'Net Income'!C34</f>
        <v>Italy</v>
      </c>
      <c r="D34" s="51" t="str">
        <f>'Net Income'!D34</f>
        <v>FTSE MIB</v>
      </c>
      <c r="E34" s="52">
        <f>IFERROR('Net Income'!E34/'Avg Shares Outstanding'!E34,"")</f>
        <v>0.96704940915721316</v>
      </c>
      <c r="F34" s="52">
        <f>IFERROR('Net Income'!F34/'Avg Shares Outstanding'!F34,"")</f>
        <v>1.1110680885875182</v>
      </c>
      <c r="G34" s="52">
        <f>IFERROR('Net Income'!G34/'Avg Shares Outstanding'!G34,"")</f>
        <v>1.0723531301373745</v>
      </c>
      <c r="H34" s="52">
        <f>IFERROR('Net Income'!H34/'Avg Shares Outstanding'!H34,"")</f>
        <v>0.53070538910910892</v>
      </c>
      <c r="I34" s="52">
        <f>IFERROR('Net Income'!I34/'Avg Shares Outstanding'!I34,"")</f>
        <v>1.109679675000665</v>
      </c>
      <c r="J34" s="52">
        <f>IFERROR('Net Income'!J34/'Avg Shares Outstanding'!J34,"")</f>
        <v>0.67610170392822688</v>
      </c>
      <c r="K34" s="52">
        <f>IFERROR('Net Income'!K34/'Avg Shares Outstanding'!K34,"")</f>
        <v>1.1692887080119054</v>
      </c>
      <c r="L34" s="52">
        <f>IFERROR('Net Income'!L34/'Avg Shares Outstanding'!L34,"")</f>
        <v>1.9127352493576777</v>
      </c>
      <c r="M34" s="52">
        <f>IFERROR('Net Income'!M34/'Avg Shares Outstanding'!M34,"")</f>
        <v>1.9400000026404536</v>
      </c>
      <c r="N34" s="52">
        <f>IFERROR('Net Income'!N34/'Avg Shares Outstanding'!N34,"")</f>
        <v>2.5893301129502024</v>
      </c>
    </row>
    <row r="35" spans="1:14" x14ac:dyDescent="0.3">
      <c r="A35" s="51" t="str">
        <f>'Net Income'!A35</f>
        <v>SPM.MI</v>
      </c>
      <c r="B35" s="51" t="str">
        <f>'Net Income'!B35</f>
        <v>Saipem</v>
      </c>
      <c r="C35" s="51" t="str">
        <f>'Net Income'!C35</f>
        <v>Italy</v>
      </c>
      <c r="D35" s="51" t="str">
        <f>'Net Income'!D35</f>
        <v>FTSE MIB</v>
      </c>
      <c r="E35" s="52">
        <f>IFERROR('Net Income'!E35/'Avg Shares Outstanding'!E35,"")</f>
        <v>-5.7967294679734369</v>
      </c>
      <c r="F35" s="52">
        <f>IFERROR('Net Income'!F35/'Avg Shares Outstanding'!F35,"")</f>
        <v>-11.90364295906449</v>
      </c>
      <c r="G35" s="52">
        <f>IFERROR('Net Income'!G35/'Avg Shares Outstanding'!G35,"")</f>
        <v>-1.5587666232480462</v>
      </c>
      <c r="H35" s="52">
        <f>IFERROR('Net Income'!H35/'Avg Shares Outstanding'!H35,"")</f>
        <v>-2.2563228991577065</v>
      </c>
      <c r="I35" s="52">
        <f>IFERROR('Net Income'!I35/'Avg Shares Outstanding'!I35,"")</f>
        <v>0.46843795101492725</v>
      </c>
      <c r="J35" s="52">
        <f>IFERROR('Net Income'!J35/'Avg Shares Outstanding'!J35,"")</f>
        <v>-5.3638454859456255</v>
      </c>
      <c r="K35" s="52">
        <f>IFERROR('Net Income'!K35/'Avg Shares Outstanding'!K35,"")</f>
        <v>-12.492919497348524</v>
      </c>
      <c r="L35" s="52">
        <f>IFERROR('Net Income'!L35/'Avg Shares Outstanding'!L35,"")</f>
        <v>-0.33498450991215334</v>
      </c>
      <c r="M35" s="52">
        <f>IFERROR('Net Income'!M35/'Avg Shares Outstanding'!M35,"")</f>
        <v>8.971765975273728E-2</v>
      </c>
      <c r="N35" s="52">
        <f>IFERROR('Net Income'!N35/'Avg Shares Outstanding'!N35,"")</f>
        <v>0.15551799180531994</v>
      </c>
    </row>
    <row r="36" spans="1:14" x14ac:dyDescent="0.3">
      <c r="A36" s="51" t="str">
        <f>'Net Income'!A36</f>
        <v>SRG.MI</v>
      </c>
      <c r="B36" s="51" t="str">
        <f>'Net Income'!B36</f>
        <v>Snam</v>
      </c>
      <c r="C36" s="51" t="str">
        <f>'Net Income'!C36</f>
        <v>Italy</v>
      </c>
      <c r="D36" s="51" t="str">
        <f>'Net Income'!D36</f>
        <v>FTSE MIB</v>
      </c>
      <c r="E36" s="52">
        <f>IFERROR('Net Income'!E36/'Avg Shares Outstanding'!E36,"")</f>
        <v>0.35376370711062116</v>
      </c>
      <c r="F36" s="52">
        <f>IFERROR('Net Income'!F36/'Avg Shares Outstanding'!F36,"")</f>
        <v>0.24807438996878167</v>
      </c>
      <c r="G36" s="52">
        <f>IFERROR('Net Income'!G36/'Avg Shares Outstanding'!G36,"")</f>
        <v>0.2620962598648664</v>
      </c>
      <c r="H36" s="52">
        <f>IFERROR('Net Income'!H36/'Avg Shares Outstanding'!H36,"")</f>
        <v>0.2859009650897994</v>
      </c>
      <c r="I36" s="52">
        <f>IFERROR('Net Income'!I36/'Avg Shares Outstanding'!I36,"")</f>
        <v>0.33024366580173964</v>
      </c>
      <c r="J36" s="52">
        <f>IFERROR('Net Income'!J36/'Avg Shares Outstanding'!J36,"")</f>
        <v>0.3364892942355267</v>
      </c>
      <c r="K36" s="52">
        <f>IFERROR('Net Income'!K36/'Avg Shares Outstanding'!K36,"")</f>
        <v>0.45737575385506402</v>
      </c>
      <c r="L36" s="52">
        <f>IFERROR('Net Income'!L36/'Avg Shares Outstanding'!L36,"")</f>
        <v>0.20110311960348132</v>
      </c>
      <c r="M36" s="52">
        <f>IFERROR('Net Income'!M36/'Avg Shares Outstanding'!M36,"")</f>
        <v>0.33849076249911364</v>
      </c>
      <c r="N36" s="52">
        <f>IFERROR('Net Income'!N36/'Avg Shares Outstanding'!N36,"")</f>
        <v>0.37537913042466758</v>
      </c>
    </row>
    <row r="37" spans="1:14" x14ac:dyDescent="0.3">
      <c r="A37" s="51" t="str">
        <f>'Net Income'!A37</f>
        <v>STLAM.MI</v>
      </c>
      <c r="B37" s="51" t="str">
        <f>'Net Income'!B37</f>
        <v>Stellantis</v>
      </c>
      <c r="C37" s="51" t="str">
        <f>'Net Income'!C37</f>
        <v>Italy</v>
      </c>
      <c r="D37" s="51" t="str">
        <f>'Net Income'!D37</f>
        <v>FTSE MIB</v>
      </c>
      <c r="E37" s="52">
        <f>IFERROR('Net Income'!E37/'Avg Shares Outstanding'!E37,"")</f>
        <v>0.22111078378476784</v>
      </c>
      <c r="F37" s="52">
        <f>IFERROR('Net Income'!F37/'Avg Shares Outstanding'!F37,"")</f>
        <v>1.1916572098565847</v>
      </c>
      <c r="G37" s="52">
        <f>IFERROR('Net Income'!G37/'Avg Shares Outstanding'!G37,"")</f>
        <v>2.2728042146162601</v>
      </c>
      <c r="H37" s="52">
        <f>IFERROR('Net Income'!H37/'Avg Shares Outstanding'!H37,"")</f>
        <v>2.3300885601563897</v>
      </c>
      <c r="I37" s="52">
        <f>IFERROR('Net Income'!I37/'Avg Shares Outstanding'!I37,"")</f>
        <v>4.2337067502752355</v>
      </c>
      <c r="J37" s="52">
        <f>IFERROR('Net Income'!J37/'Avg Shares Outstanding'!J37,"")</f>
        <v>1.8782359090208433E-2</v>
      </c>
      <c r="K37" s="52">
        <f>IFERROR('Net Income'!K37/'Avg Shares Outstanding'!K37,"")</f>
        <v>4.6416089516370498</v>
      </c>
      <c r="L37" s="52">
        <f>IFERROR('Net Income'!L37/'Avg Shares Outstanding'!L37,"")</f>
        <v>5.3498483641705699</v>
      </c>
      <c r="M37" s="52">
        <f>IFERROR('Net Income'!M37/'Avg Shares Outstanding'!M37,"")</f>
        <v>5.9837984377639595</v>
      </c>
      <c r="N37" s="52">
        <f>IFERROR('Net Income'!N37/'Avg Shares Outstanding'!N37,"")</f>
        <v>1.8554731202189276</v>
      </c>
    </row>
    <row r="38" spans="1:14" x14ac:dyDescent="0.3">
      <c r="A38" s="51" t="str">
        <f>'Net Income'!A38</f>
        <v>STMMI.MI</v>
      </c>
      <c r="B38" s="51" t="str">
        <f>'Net Income'!B38</f>
        <v>STMicroelectronics</v>
      </c>
      <c r="C38" s="51" t="str">
        <f>'Net Income'!C38</f>
        <v>Italy</v>
      </c>
      <c r="D38" s="51" t="str">
        <f>'Net Income'!D38</f>
        <v>FTSE MIB</v>
      </c>
      <c r="E38" s="52">
        <f>IFERROR('Net Income'!E38/'Avg Shares Outstanding'!E38,"")</f>
        <v>0.19965523328955889</v>
      </c>
      <c r="F38" s="52">
        <f>IFERROR('Net Income'!F38/'Avg Shares Outstanding'!F38,"")</f>
        <v>0.13730545221681184</v>
      </c>
      <c r="G38" s="52">
        <f>IFERROR('Net Income'!G38/'Avg Shares Outstanding'!G38,"")</f>
        <v>0.24640905039011277</v>
      </c>
      <c r="H38" s="52">
        <f>IFERROR('Net Income'!H38/'Avg Shares Outstanding'!H38,"")</f>
        <v>1.8112816427650689</v>
      </c>
      <c r="I38" s="52">
        <f>IFERROR('Net Income'!I38/'Avg Shares Outstanding'!I38,"")</f>
        <v>1.1500000004457365</v>
      </c>
      <c r="J38" s="52">
        <f>IFERROR('Net Income'!J38/'Avg Shares Outstanding'!J38,"")</f>
        <v>1.2363364740330098</v>
      </c>
      <c r="K38" s="52">
        <f>IFERROR('Net Income'!K38/'Avg Shares Outstanding'!K38,"")</f>
        <v>2.2099999989392001</v>
      </c>
      <c r="L38" s="52">
        <f>IFERROR('Net Income'!L38/'Avg Shares Outstanding'!L38,"")</f>
        <v>4.3727582746900167</v>
      </c>
      <c r="M38" s="52">
        <f>IFERROR('Net Income'!M38/'Avg Shares Outstanding'!M38,"")</f>
        <v>4.3799990015360875</v>
      </c>
      <c r="N38" s="52">
        <f>IFERROR('Net Income'!N38/'Avg Shares Outstanding'!N38,"")</f>
        <v>1.727677095912439</v>
      </c>
    </row>
    <row r="39" spans="1:14" x14ac:dyDescent="0.3">
      <c r="A39" s="51" t="str">
        <f>'Net Income'!A39</f>
        <v>TEN.MI</v>
      </c>
      <c r="B39" s="51" t="str">
        <f>'Net Income'!B39</f>
        <v>Tenaris</v>
      </c>
      <c r="C39" s="51" t="str">
        <f>'Net Income'!C39</f>
        <v>Italy</v>
      </c>
      <c r="D39" s="51" t="str">
        <f>'Net Income'!D39</f>
        <v>FTSE MIB</v>
      </c>
      <c r="E39" s="52">
        <f>IFERROR('Net Income'!E39/'Avg Shares Outstanding'!E39,"")</f>
        <v>-6.7902996687100869E-2</v>
      </c>
      <c r="F39" s="52">
        <f>IFERROR('Net Income'!F39/'Avg Shares Outstanding'!F39,"")</f>
        <v>4.6841395060044706E-2</v>
      </c>
      <c r="G39" s="52">
        <f>IFERROR('Net Income'!G39/'Avg Shares Outstanding'!G39,"")</f>
        <v>0.46143160141814465</v>
      </c>
      <c r="H39" s="52">
        <f>IFERROR('Net Income'!H39/'Avg Shares Outstanding'!H39,"")</f>
        <v>0.74208855800368811</v>
      </c>
      <c r="I39" s="52">
        <f>IFERROR('Net Income'!I39/'Avg Shares Outstanding'!I39,"")</f>
        <v>0.62910870811205444</v>
      </c>
      <c r="J39" s="52">
        <f>IFERROR('Net Income'!J39/'Avg Shares Outstanding'!J39,"")</f>
        <v>-0.54417354136295604</v>
      </c>
      <c r="K39" s="52">
        <f>IFERROR('Net Income'!K39/'Avg Shares Outstanding'!K39,"")</f>
        <v>0.93194114203959721</v>
      </c>
      <c r="L39" s="52">
        <f>IFERROR('Net Income'!L39/'Avg Shares Outstanding'!L39,"")</f>
        <v>2.1628123472623053</v>
      </c>
      <c r="M39" s="52">
        <f>IFERROR('Net Income'!M39/'Avg Shares Outstanding'!M39,"")</f>
        <v>3.3239497052470326</v>
      </c>
      <c r="N39" s="52">
        <f>IFERROR('Net Income'!N39/'Avg Shares Outstanding'!N39,"")</f>
        <v>1.8100000012976536</v>
      </c>
    </row>
    <row r="40" spans="1:14" x14ac:dyDescent="0.3">
      <c r="A40" s="51" t="str">
        <f>'Net Income'!A40</f>
        <v>TRN.MI</v>
      </c>
      <c r="B40" s="51" t="str">
        <f>'Net Income'!B40</f>
        <v>Terna</v>
      </c>
      <c r="C40" s="51" t="str">
        <f>'Net Income'!C40</f>
        <v>Italy</v>
      </c>
      <c r="D40" s="51" t="str">
        <f>'Net Income'!D40</f>
        <v>FTSE MIB</v>
      </c>
      <c r="E40" s="52">
        <f>IFERROR('Net Income'!E40/'Avg Shares Outstanding'!E40,"")</f>
        <v>0.29600000004771787</v>
      </c>
      <c r="F40" s="52">
        <f>IFERROR('Net Income'!F40/'Avg Shares Outstanding'!F40,"")</f>
        <v>0.3150000001318512</v>
      </c>
      <c r="G40" s="52">
        <f>IFERROR('Net Income'!G40/'Avg Shares Outstanding'!G40,"")</f>
        <v>0.34200000007055642</v>
      </c>
      <c r="H40" s="52">
        <f>IFERROR('Net Income'!H40/'Avg Shares Outstanding'!H40,"")</f>
        <v>0.35200000011158789</v>
      </c>
      <c r="I40" s="52">
        <f>IFERROR('Net Income'!I40/'Avg Shares Outstanding'!I40,"")</f>
        <v>0.37700000012196622</v>
      </c>
      <c r="J40" s="52">
        <f>IFERROR('Net Income'!J40/'Avg Shares Outstanding'!J40,"")</f>
        <v>0.3910000001264341</v>
      </c>
      <c r="K40" s="52">
        <f>IFERROR('Net Income'!K40/'Avg Shares Outstanding'!K40,"")</f>
        <v>0.39937200002614381</v>
      </c>
      <c r="L40" s="52">
        <f>IFERROR('Net Income'!L40/'Avg Shares Outstanding'!L40,"")</f>
        <v>0.43711400015752427</v>
      </c>
      <c r="M40" s="52">
        <f>IFERROR('Net Income'!M40/'Avg Shares Outstanding'!M40,"")</f>
        <v>0.44143952769867412</v>
      </c>
      <c r="N40" s="52">
        <f>IFERROR('Net Income'!N40/'Avg Shares Outstanding'!N40,"")</f>
        <v>0.52829999991756349</v>
      </c>
    </row>
    <row r="41" spans="1:14" x14ac:dyDescent="0.3">
      <c r="A41" s="51" t="str">
        <f>'Net Income'!A41</f>
        <v>UCG.MI</v>
      </c>
      <c r="B41" s="51" t="str">
        <f>'Net Income'!B41</f>
        <v>UniCredit</v>
      </c>
      <c r="C41" s="51" t="str">
        <f>'Net Income'!C41</f>
        <v>Italy</v>
      </c>
      <c r="D41" s="51" t="str">
        <f>'Net Income'!D41</f>
        <v>FTSE MIB</v>
      </c>
      <c r="E41" s="52">
        <f>IFERROR('Net Income'!E41/'Avg Shares Outstanding'!E41,"")</f>
        <v>1.006741516715552</v>
      </c>
      <c r="F41" s="52">
        <f>IFERROR('Net Income'!F41/'Avg Shares Outstanding'!F41,"")</f>
        <v>-7.005841625613213</v>
      </c>
      <c r="G41" s="52">
        <f>IFERROR('Net Income'!G41/'Avg Shares Outstanding'!G41,"")</f>
        <v>2.8103814097455349</v>
      </c>
      <c r="H41" s="52">
        <f>IFERROR('Net Income'!H41/'Avg Shares Outstanding'!H41,"")</f>
        <v>1.850495265052337</v>
      </c>
      <c r="I41" s="52">
        <f>IFERROR('Net Income'!I41/'Avg Shares Outstanding'!I41,"")</f>
        <v>1.5174001667205756</v>
      </c>
      <c r="J41" s="52">
        <f>IFERROR('Net Income'!J41/'Avg Shares Outstanding'!J41,"")</f>
        <v>-1.2507474490333248</v>
      </c>
      <c r="K41" s="52">
        <f>IFERROR('Net Income'!K41/'Avg Shares Outstanding'!K41,"")</f>
        <v>0.94342212874021192</v>
      </c>
      <c r="L41" s="52">
        <f>IFERROR('Net Income'!L41/'Avg Shares Outstanding'!L41,"")</f>
        <v>3.1205725849628796</v>
      </c>
      <c r="M41" s="52">
        <f>IFERROR('Net Income'!M41/'Avg Shares Outstanding'!M41,"")</f>
        <v>5.5517792322462194</v>
      </c>
      <c r="N41" s="52">
        <f>IFERROR('Net Income'!N41/'Avg Shares Outstanding'!N41,"")</f>
        <v>5.7399985589467555</v>
      </c>
    </row>
    <row r="42" spans="1:14" x14ac:dyDescent="0.3">
      <c r="A42" s="51" t="str">
        <f>'Net Income'!A42</f>
        <v>UNI.MI</v>
      </c>
      <c r="B42" s="51" t="str">
        <f>'Net Income'!B42</f>
        <v>Unipol</v>
      </c>
      <c r="C42" s="51" t="str">
        <f>'Net Income'!C42</f>
        <v>Italy</v>
      </c>
      <c r="D42" s="51" t="str">
        <f>'Net Income'!D42</f>
        <v>FTSE MIB</v>
      </c>
      <c r="E42" s="52">
        <f>IFERROR('Net Income'!E42/'Avg Shares Outstanding'!E42,"")</f>
        <v>0.81771937261551508</v>
      </c>
      <c r="F42" s="52">
        <f>IFERROR('Net Income'!F42/'Avg Shares Outstanding'!F42,"")</f>
        <v>0.75490334415126292</v>
      </c>
      <c r="G42" s="52">
        <f>IFERROR('Net Income'!G42/'Avg Shares Outstanding'!G42,"")</f>
        <v>-0.23806842179360835</v>
      </c>
      <c r="H42" s="52">
        <f>IFERROR('Net Income'!H42/'Avg Shares Outstanding'!H42,"")</f>
        <v>1.3073580939032936</v>
      </c>
      <c r="I42" s="52">
        <f>IFERROR('Net Income'!I42/'Avg Shares Outstanding'!I42,"")</f>
        <v>1.2604748603351956</v>
      </c>
      <c r="J42" s="52">
        <f>IFERROR('Net Income'!J42/'Avg Shares Outstanding'!J42,"")</f>
        <v>0.9878508588186008</v>
      </c>
      <c r="K42" s="52">
        <f>IFERROR('Net Income'!K42/'Avg Shares Outstanding'!K42,"")</f>
        <v>0.87501745566261691</v>
      </c>
      <c r="L42" s="52">
        <f>IFERROR('Net Income'!L42/'Avg Shares Outstanding'!L42,"")</f>
        <v>0.73395777995246747</v>
      </c>
      <c r="M42" s="52">
        <f>IFERROR('Net Income'!M42/'Avg Shares Outstanding'!M42,"")</f>
        <v>1.5377094972067038</v>
      </c>
      <c r="N42" s="52">
        <f>IFERROR('Net Income'!N42/'Avg Shares Outstanding'!N42,"")</f>
        <v>1.5</v>
      </c>
    </row>
    <row r="43" spans="1:14" x14ac:dyDescent="0.3">
      <c r="A43" s="53" t="str">
        <f>'Net Income'!A43</f>
        <v>DAX 40</v>
      </c>
      <c r="B43" s="53">
        <f>'Net Income'!B43</f>
        <v>0</v>
      </c>
      <c r="C43" s="53">
        <f>'Net Income'!C43</f>
        <v>0</v>
      </c>
      <c r="D43" s="53">
        <f>'Net Income'!D43</f>
        <v>0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x14ac:dyDescent="0.3">
      <c r="A44" s="51" t="str">
        <f>'Net Income'!A44</f>
        <v>ADS.DE</v>
      </c>
      <c r="B44" s="51" t="str">
        <f>'Net Income'!B44</f>
        <v>Adidas</v>
      </c>
      <c r="C44" s="51" t="str">
        <f>'Net Income'!C44</f>
        <v>Germany</v>
      </c>
      <c r="D44" s="51" t="str">
        <f>'Net Income'!D44</f>
        <v>DAX 40</v>
      </c>
      <c r="E44" s="52">
        <f>IFERROR('Net Income'!E44/'Avg Shares Outstanding'!E44,"")</f>
        <v>3.1458334245079218</v>
      </c>
      <c r="F44" s="52">
        <f>IFERROR('Net Income'!F44/'Avg Shares Outstanding'!F44,"")</f>
        <v>5.0802175847700495</v>
      </c>
      <c r="G44" s="52">
        <f>IFERROR('Net Income'!G44/'Avg Shares Outstanding'!G44,"")</f>
        <v>5.420183467725967</v>
      </c>
      <c r="H44" s="52">
        <f>IFERROR('Net Income'!H44/'Avg Shares Outstanding'!H44,"")</f>
        <v>8.4358065750242677</v>
      </c>
      <c r="I44" s="52">
        <f>IFERROR('Net Income'!I44/'Avg Shares Outstanding'!I44,"")</f>
        <v>9.9996909508469791</v>
      </c>
      <c r="J44" s="52">
        <f>IFERROR('Net Income'!J44/'Avg Shares Outstanding'!J44,"")</f>
        <v>2.2136145864575445</v>
      </c>
      <c r="K44" s="52">
        <f>IFERROR('Net Income'!K44/'Avg Shares Outstanding'!K44,"")</f>
        <v>7.6838701721759604</v>
      </c>
      <c r="L44" s="52">
        <f>IFERROR('Net Income'!L44/'Avg Shares Outstanding'!L44,"")</f>
        <v>1.3859815031819542</v>
      </c>
      <c r="M44" s="52">
        <f>IFERROR('Net Income'!M44/'Avg Shares Outstanding'!M44,"")</f>
        <v>-0.42006547241268738</v>
      </c>
      <c r="N44" s="52">
        <f>IFERROR('Net Income'!N44/'Avg Shares Outstanding'!N44,"")</f>
        <v>4.2789354214777156</v>
      </c>
    </row>
    <row r="45" spans="1:14" x14ac:dyDescent="0.3">
      <c r="A45" s="51" t="str">
        <f>'Net Income'!A45</f>
        <v>AIR.DE</v>
      </c>
      <c r="B45" s="51" t="str">
        <f>'Net Income'!B45</f>
        <v>Airbus</v>
      </c>
      <c r="C45" s="51" t="str">
        <f>'Net Income'!C45</f>
        <v>Germany</v>
      </c>
      <c r="D45" s="51" t="str">
        <f>'Net Income'!D45</f>
        <v>DAX 40</v>
      </c>
      <c r="E45" s="52">
        <f>IFERROR('Net Income'!E45/'Avg Shares Outstanding'!E45,"")</f>
        <v>3.431679728856162</v>
      </c>
      <c r="F45" s="52">
        <f>IFERROR('Net Income'!F45/'Avg Shares Outstanding'!F45,"")</f>
        <v>1.2858639124576507</v>
      </c>
      <c r="G45" s="52">
        <f>IFERROR('Net Income'!G45/'Avg Shares Outstanding'!G45,"")</f>
        <v>3.7129766823952908</v>
      </c>
      <c r="H45" s="52">
        <f>IFERROR('Net Income'!H45/'Avg Shares Outstanding'!H45,"")</f>
        <v>3.9397914161158529</v>
      </c>
      <c r="I45" s="52">
        <f>IFERROR('Net Income'!I45/'Avg Shares Outstanding'!I45,"")</f>
        <v>-1.7051892336776371</v>
      </c>
      <c r="J45" s="52">
        <f>IFERROR('Net Income'!J45/'Avg Shares Outstanding'!J45,"")</f>
        <v>-1.4926360481353087</v>
      </c>
      <c r="K45" s="52">
        <f>IFERROR('Net Income'!K45/'Avg Shares Outstanding'!K45,"")</f>
        <v>5.3646506075385956</v>
      </c>
      <c r="L45" s="52">
        <f>IFERROR('Net Income'!L45/'Avg Shares Outstanding'!L45,"")</f>
        <v>5.395889713599451</v>
      </c>
      <c r="M45" s="52">
        <f>IFERROR('Net Income'!M45/'Avg Shares Outstanding'!M45,"")</f>
        <v>4.8039814607191929</v>
      </c>
      <c r="N45" s="52">
        <f>IFERROR('Net Income'!N45/'Avg Shares Outstanding'!N45,"")</f>
        <v>5.3572219455189236</v>
      </c>
    </row>
    <row r="46" spans="1:14" x14ac:dyDescent="0.3">
      <c r="A46" s="51" t="str">
        <f>'Net Income'!A46</f>
        <v>ALV.DE</v>
      </c>
      <c r="B46" s="51" t="str">
        <f>'Net Income'!B46</f>
        <v>Allianz</v>
      </c>
      <c r="C46" s="51" t="str">
        <f>'Net Income'!C46</f>
        <v>Germany</v>
      </c>
      <c r="D46" s="51" t="str">
        <f>'Net Income'!D46</f>
        <v>DAX 40</v>
      </c>
      <c r="E46" s="52">
        <f>IFERROR('Net Income'!E46/'Avg Shares Outstanding'!E46,"")</f>
        <v>14.56090773896114</v>
      </c>
      <c r="F46" s="52">
        <f>IFERROR('Net Income'!F46/'Avg Shares Outstanding'!F46,"")</f>
        <v>15.137474239297934</v>
      </c>
      <c r="G46" s="52">
        <f>IFERROR('Net Income'!G46/'Avg Shares Outstanding'!G46,"")</f>
        <v>15.238305084114783</v>
      </c>
      <c r="H46" s="52">
        <f>IFERROR('Net Income'!H46/'Avg Shares Outstanding'!H46,"")</f>
        <v>17.430225303811724</v>
      </c>
      <c r="I46" s="52">
        <f>IFERROR('Net Income'!I46/'Avg Shares Outstanding'!I46,"")</f>
        <v>18.903465117659632</v>
      </c>
      <c r="J46" s="52">
        <f>IFERROR('Net Income'!J46/'Avg Shares Outstanding'!J46,"")</f>
        <v>16.48473456184508</v>
      </c>
      <c r="K46" s="52">
        <f>IFERROR('Net Income'!K46/'Avg Shares Outstanding'!K46,"")</f>
        <v>16.085696648670918</v>
      </c>
      <c r="L46" s="52">
        <f>IFERROR('Net Income'!L46/'Avg Shares Outstanding'!L46,"")</f>
        <v>15.862423278466098</v>
      </c>
      <c r="M46" s="52">
        <f>IFERROR('Net Income'!M46/'Avg Shares Outstanding'!M46,"")</f>
        <v>21.557832751925577</v>
      </c>
      <c r="N46" s="52">
        <f>IFERROR('Net Income'!N46/'Avg Shares Outstanding'!N46,"")</f>
        <v>25.564920120886985</v>
      </c>
    </row>
    <row r="47" spans="1:14" x14ac:dyDescent="0.3">
      <c r="A47" s="51" t="str">
        <f>'Net Income'!A47</f>
        <v>BAS.DE</v>
      </c>
      <c r="B47" s="51" t="str">
        <f>'Net Income'!B47</f>
        <v>BASF</v>
      </c>
      <c r="C47" s="51" t="str">
        <f>'Net Income'!C47</f>
        <v>Germany</v>
      </c>
      <c r="D47" s="51" t="str">
        <f>'Net Income'!D47</f>
        <v>DAX 40</v>
      </c>
      <c r="E47" s="52">
        <f>IFERROR('Net Income'!E47/'Avg Shares Outstanding'!E47,"")</f>
        <v>4.340872246398666</v>
      </c>
      <c r="F47" s="52">
        <f>IFERROR('Net Income'!F47/'Avg Shares Outstanding'!F47,"")</f>
        <v>4.4159964462987178</v>
      </c>
      <c r="G47" s="52">
        <f>IFERROR('Net Income'!G47/'Avg Shares Outstanding'!G47,"")</f>
        <v>6.6174621303263326</v>
      </c>
      <c r="H47" s="52">
        <f>IFERROR('Net Income'!H47/'Avg Shares Outstanding'!H47,"")</f>
        <v>5.1247769410079052</v>
      </c>
      <c r="I47" s="52">
        <f>IFERROR('Net Income'!I47/'Avg Shares Outstanding'!I47,"")</f>
        <v>2.7719741006598952</v>
      </c>
      <c r="J47" s="52">
        <f>IFERROR('Net Income'!J47/'Avg Shares Outstanding'!J47,"")</f>
        <v>-1.6015608413474887</v>
      </c>
      <c r="K47" s="52">
        <f>IFERROR('Net Income'!K47/'Avg Shares Outstanding'!K47,"")</f>
        <v>6.013202261565044</v>
      </c>
      <c r="L47" s="52">
        <f>IFERROR('Net Income'!L47/'Avg Shares Outstanding'!L47,"")</f>
        <v>-0.43359940737717828</v>
      </c>
      <c r="M47" s="52">
        <f>IFERROR('Net Income'!M47/'Avg Shares Outstanding'!M47,"")</f>
        <v>0.25206101893146293</v>
      </c>
      <c r="N47" s="52">
        <f>IFERROR('Net Income'!N47/'Avg Shares Outstanding'!N47,"")</f>
        <v>1.4500006702622512</v>
      </c>
    </row>
    <row r="48" spans="1:14" x14ac:dyDescent="0.3">
      <c r="A48" s="51" t="str">
        <f>'Net Income'!A48</f>
        <v>BMW.DE</v>
      </c>
      <c r="B48" s="51" t="str">
        <f>'Net Income'!B48</f>
        <v>BMW</v>
      </c>
      <c r="C48" s="51" t="str">
        <f>'Net Income'!C48</f>
        <v>Germany</v>
      </c>
      <c r="D48" s="51" t="str">
        <f>'Net Income'!D48</f>
        <v>DAX 40</v>
      </c>
      <c r="E48" s="52">
        <f>IFERROR('Net Income'!E48/'Avg Shares Outstanding'!E48,"")</f>
        <v>9.7015260395356524</v>
      </c>
      <c r="F48" s="52">
        <f>IFERROR('Net Income'!F48/'Avg Shares Outstanding'!F48,"")</f>
        <v>10.449074660900921</v>
      </c>
      <c r="G48" s="52">
        <f>IFERROR('Net Income'!G48/'Avg Shares Outstanding'!G48,"")</f>
        <v>13.118057467823558</v>
      </c>
      <c r="H48" s="52">
        <f>IFERROR('Net Income'!H48/'Avg Shares Outstanding'!H48,"")</f>
        <v>10.822679084757979</v>
      </c>
      <c r="I48" s="52">
        <f>IFERROR('Net Income'!I48/'Avg Shares Outstanding'!I48,"")</f>
        <v>7.4682649679570483</v>
      </c>
      <c r="J48" s="52">
        <f>IFERROR('Net Income'!J48/'Avg Shares Outstanding'!J48,"")</f>
        <v>5.7243720730423142</v>
      </c>
      <c r="K48" s="52">
        <f>IFERROR('Net Income'!K48/'Avg Shares Outstanding'!K48,"")</f>
        <v>18.764007804639153</v>
      </c>
      <c r="L48" s="52">
        <f>IFERROR('Net Income'!L48/'Avg Shares Outstanding'!L48,"")</f>
        <v>27.303362680230176</v>
      </c>
      <c r="M48" s="52">
        <f>IFERROR('Net Income'!M48/'Avg Shares Outstanding'!M48,"")</f>
        <v>17.670624280789745</v>
      </c>
      <c r="N48" s="52">
        <f>IFERROR('Net Income'!N48/'Avg Shares Outstanding'!N48,"")</f>
        <v>12.776046171754592</v>
      </c>
    </row>
    <row r="49" spans="1:14" x14ac:dyDescent="0.3">
      <c r="A49" s="51" t="str">
        <f>'Net Income'!A49</f>
        <v>BAYN.DE</v>
      </c>
      <c r="B49" s="51" t="str">
        <f>'Net Income'!B49</f>
        <v>Bayer</v>
      </c>
      <c r="C49" s="51" t="str">
        <f>'Net Income'!C49</f>
        <v>Germany</v>
      </c>
      <c r="D49" s="51" t="str">
        <f>'Net Income'!D49</f>
        <v>DAX 40</v>
      </c>
      <c r="E49" s="52">
        <f>IFERROR('Net Income'!E49/'Avg Shares Outstanding'!E49,"")</f>
        <v>4.9700839161061054</v>
      </c>
      <c r="F49" s="52">
        <f>IFERROR('Net Income'!F49/'Avg Shares Outstanding'!F49,"")</f>
        <v>5.4426242848180282</v>
      </c>
      <c r="G49" s="52">
        <f>IFERROR('Net Income'!G49/'Avg Shares Outstanding'!G49,"")</f>
        <v>8.4118021597565775</v>
      </c>
      <c r="H49" s="52">
        <f>IFERROR('Net Income'!H49/'Avg Shares Outstanding'!H49,"")</f>
        <v>1.8017347676346784</v>
      </c>
      <c r="I49" s="52">
        <f>IFERROR('Net Income'!I49/'Avg Shares Outstanding'!I49,"")</f>
        <v>2.4753231671912723</v>
      </c>
      <c r="J49" s="52">
        <f>IFERROR('Net Income'!J49/'Avg Shares Outstanding'!J49,"")</f>
        <v>-15.839457665764133</v>
      </c>
      <c r="K49" s="52">
        <f>IFERROR('Net Income'!K49/'Avg Shares Outstanding'!K49,"")</f>
        <v>1.0178945868365872</v>
      </c>
      <c r="L49" s="52">
        <f>IFERROR('Net Income'!L49/'Avg Shares Outstanding'!L49,"")</f>
        <v>4.224262535371837</v>
      </c>
      <c r="M49" s="52">
        <f>IFERROR('Net Income'!M49/'Avg Shares Outstanding'!M49,"")</f>
        <v>-2.9936279798864032</v>
      </c>
      <c r="N49" s="52">
        <f>IFERROR('Net Income'!N49/'Avg Shares Outstanding'!N49,"")</f>
        <v>-2.5976669856069705</v>
      </c>
    </row>
    <row r="50" spans="1:14" x14ac:dyDescent="0.3">
      <c r="A50" s="51" t="str">
        <f>'Net Income'!A50</f>
        <v>BEI.DE</v>
      </c>
      <c r="B50" s="51" t="str">
        <f>'Net Income'!B50</f>
        <v>Beiersdorf</v>
      </c>
      <c r="C50" s="51" t="str">
        <f>'Net Income'!C50</f>
        <v>Germany</v>
      </c>
      <c r="D50" s="51" t="str">
        <f>'Net Income'!D50</f>
        <v>DAX 40</v>
      </c>
      <c r="E50" s="52">
        <f>IFERROR('Net Income'!E50/'Avg Shares Outstanding'!E50,"")</f>
        <v>2.9098093482333911</v>
      </c>
      <c r="F50" s="52">
        <f>IFERROR('Net Income'!F50/'Avg Shares Outstanding'!F50,"")</f>
        <v>3.1258406483295067</v>
      </c>
      <c r="G50" s="52">
        <f>IFERROR('Net Income'!G50/'Avg Shares Outstanding'!G50,"")</f>
        <v>2.9627149727467255</v>
      </c>
      <c r="H50" s="52">
        <f>IFERROR('Net Income'!H50/'Avg Shares Outstanding'!H50,"")</f>
        <v>3.209607887142286</v>
      </c>
      <c r="I50" s="52">
        <f>IFERROR('Net Income'!I50/'Avg Shares Outstanding'!I50,"")</f>
        <v>3.1655198667145075</v>
      </c>
      <c r="J50" s="52">
        <f>IFERROR('Net Income'!J50/'Avg Shares Outstanding'!J50,"")</f>
        <v>2.4689291439556049</v>
      </c>
      <c r="K50" s="52">
        <f>IFERROR('Net Income'!K50/'Avg Shares Outstanding'!K50,"")</f>
        <v>2.8128157032922783</v>
      </c>
      <c r="L50" s="52">
        <f>IFERROR('Net Income'!L50/'Avg Shares Outstanding'!L50,"")</f>
        <v>3.3286455422972887</v>
      </c>
      <c r="M50" s="52">
        <f>IFERROR('Net Income'!M50/'Avg Shares Outstanding'!M50,"")</f>
        <v>3.244878303484509</v>
      </c>
      <c r="N50" s="52">
        <f>IFERROR('Net Income'!N50/'Avg Shares Outstanding'!N50,"")</f>
        <v>4.0540644343043839</v>
      </c>
    </row>
    <row r="51" spans="1:14" x14ac:dyDescent="0.3">
      <c r="A51" s="51" t="str">
        <f>'Net Income'!A51</f>
        <v>BNR.DE</v>
      </c>
      <c r="B51" s="51" t="str">
        <f>'Net Income'!B51</f>
        <v>Brenntag</v>
      </c>
      <c r="C51" s="51" t="str">
        <f>'Net Income'!C51</f>
        <v>Germany</v>
      </c>
      <c r="D51" s="51" t="str">
        <f>'Net Income'!D51</f>
        <v>DAX 40</v>
      </c>
      <c r="E51" s="52">
        <f>IFERROR('Net Income'!E51/'Avg Shares Outstanding'!E51,"")</f>
        <v>2.3624595469255665</v>
      </c>
      <c r="F51" s="52">
        <f>IFERROR('Net Income'!F51/'Avg Shares Outstanding'!F51,"")</f>
        <v>2.3320388349514563</v>
      </c>
      <c r="G51" s="52">
        <f>IFERROR('Net Income'!G51/'Avg Shares Outstanding'!G51,"")</f>
        <v>2.3352750809061487</v>
      </c>
      <c r="H51" s="52">
        <f>IFERROR('Net Income'!H51/'Avg Shares Outstanding'!H51,"")</f>
        <v>2.9831715210355987</v>
      </c>
      <c r="I51" s="52">
        <f>IFERROR('Net Income'!I51/'Avg Shares Outstanding'!I51,"")</f>
        <v>3.0207119741100326</v>
      </c>
      <c r="J51" s="52">
        <f>IFERROR('Net Income'!J51/'Avg Shares Outstanding'!J51,"")</f>
        <v>3.0194174757281553</v>
      </c>
      <c r="K51" s="52">
        <f>IFERROR('Net Income'!K51/'Avg Shares Outstanding'!K51,"")</f>
        <v>2.9016181229773461</v>
      </c>
      <c r="L51" s="52">
        <f>IFERROR('Net Income'!L51/'Avg Shares Outstanding'!L51,"")</f>
        <v>5.7398058252427182</v>
      </c>
      <c r="M51" s="52">
        <f>IFERROR('Net Income'!M51/'Avg Shares Outstanding'!M51,"")</f>
        <v>4.7313037723362008</v>
      </c>
      <c r="N51" s="52">
        <f>IFERROR('Net Income'!N51/'Avg Shares Outstanding'!N51,"")</f>
        <v>3.7055977885279892</v>
      </c>
    </row>
    <row r="52" spans="1:14" x14ac:dyDescent="0.3">
      <c r="A52" s="51" t="str">
        <f>'Net Income'!A52</f>
        <v>CBK.DE</v>
      </c>
      <c r="B52" s="51" t="str">
        <f>'Net Income'!B52</f>
        <v>Commerzbank</v>
      </c>
      <c r="C52" s="51" t="str">
        <f>'Net Income'!C52</f>
        <v>Germany</v>
      </c>
      <c r="D52" s="51" t="str">
        <f>'Net Income'!D52</f>
        <v>DAX 40</v>
      </c>
      <c r="E52" s="52">
        <f>IFERROR('Net Income'!E52/'Avg Shares Outstanding'!E52,"")</f>
        <v>0.87872523836055072</v>
      </c>
      <c r="F52" s="52">
        <f>IFERROR('Net Income'!F52/'Avg Shares Outstanding'!F52,"")</f>
        <v>0.22277981338995057</v>
      </c>
      <c r="G52" s="52">
        <f>IFERROR('Net Income'!G52/'Avg Shares Outstanding'!G52,"")</f>
        <v>0.12456505694921967</v>
      </c>
      <c r="H52" s="52">
        <f>IFERROR('Net Income'!H52/'Avg Shares Outstanding'!H52,"")</f>
        <v>0.69069727090432698</v>
      </c>
      <c r="I52" s="52">
        <f>IFERROR('Net Income'!I52/'Avg Shares Outstanding'!I52,"")</f>
        <v>0.51423010689293247</v>
      </c>
      <c r="J52" s="52">
        <f>IFERROR('Net Income'!J52/'Avg Shares Outstanding'!J52,"")</f>
        <v>-2.3076475293797745</v>
      </c>
      <c r="K52" s="52">
        <f>IFERROR('Net Income'!K52/'Avg Shares Outstanding'!K52,"")</f>
        <v>0.34335240056515676</v>
      </c>
      <c r="L52" s="52">
        <f>IFERROR('Net Income'!L52/'Avg Shares Outstanding'!L52,"")</f>
        <v>1.1458388251418603</v>
      </c>
      <c r="M52" s="52">
        <f>IFERROR('Net Income'!M52/'Avg Shares Outstanding'!M52,"")</f>
        <v>1.7853425653622161</v>
      </c>
      <c r="N52" s="52">
        <f>IFERROR('Net Income'!N52/'Avg Shares Outstanding'!N52,"")</f>
        <v>2.2542930092495905</v>
      </c>
    </row>
    <row r="53" spans="1:14" x14ac:dyDescent="0.3">
      <c r="A53" s="51" t="str">
        <f>'Net Income'!A53</f>
        <v>CON.DE</v>
      </c>
      <c r="B53" s="51" t="str">
        <f>'Net Income'!B53</f>
        <v>Continental</v>
      </c>
      <c r="C53" s="51" t="str">
        <f>'Net Income'!C53</f>
        <v>Germany</v>
      </c>
      <c r="D53" s="51" t="str">
        <f>'Net Income'!D53</f>
        <v>DAX 40</v>
      </c>
      <c r="E53" s="52">
        <f>IFERROR('Net Income'!E53/'Avg Shares Outstanding'!E53,"")</f>
        <v>13.637</v>
      </c>
      <c r="F53" s="52">
        <f>IFERROR('Net Income'!F53/'Avg Shares Outstanding'!F53,"")</f>
        <v>14.012499999999999</v>
      </c>
      <c r="G53" s="52">
        <f>IFERROR('Net Income'!G53/'Avg Shares Outstanding'!G53,"")</f>
        <v>14.923</v>
      </c>
      <c r="H53" s="52">
        <f>IFERROR('Net Income'!H53/'Avg Shares Outstanding'!H53,"")</f>
        <v>14.486499999999999</v>
      </c>
      <c r="I53" s="52">
        <f>IFERROR('Net Income'!I53/'Avg Shares Outstanding'!I53,"")</f>
        <v>-5.8550000000000004</v>
      </c>
      <c r="J53" s="52">
        <f>IFERROR('Net Income'!J53/'Avg Shares Outstanding'!J53,"")</f>
        <v>-4.5940000000000003</v>
      </c>
      <c r="K53" s="52">
        <f>IFERROR('Net Income'!K53/'Avg Shares Outstanding'!K53,"")</f>
        <v>7.1760000000000002</v>
      </c>
      <c r="L53" s="52">
        <f>IFERROR('Net Income'!L53/'Avg Shares Outstanding'!L53,"")</f>
        <v>0.56100000000000005</v>
      </c>
      <c r="M53" s="52">
        <f>IFERROR('Net Income'!M53/'Avg Shares Outstanding'!M53,"")</f>
        <v>5.782</v>
      </c>
      <c r="N53" s="52">
        <f>IFERROR('Net Income'!N53/'Avg Shares Outstanding'!N53,"")</f>
        <v>5.84</v>
      </c>
    </row>
    <row r="54" spans="1:14" x14ac:dyDescent="0.3">
      <c r="A54" s="51" t="str">
        <f>'Net Income'!A54</f>
        <v>1COV.DE</v>
      </c>
      <c r="B54" s="51" t="str">
        <f>'Net Income'!B54</f>
        <v>Covestro</v>
      </c>
      <c r="C54" s="51" t="str">
        <f>'Net Income'!C54</f>
        <v>Germany</v>
      </c>
      <c r="D54" s="51" t="str">
        <f>'Net Income'!D54</f>
        <v>DAX 40</v>
      </c>
      <c r="E54" s="52" t="str">
        <f>IFERROR('Net Income'!E54/'Avg Shares Outstanding'!E54,"")</f>
        <v/>
      </c>
      <c r="F54" s="52">
        <f>IFERROR('Net Income'!F54/'Avg Shares Outstanding'!F54,"")</f>
        <v>3.925925925925926</v>
      </c>
      <c r="G54" s="52">
        <f>IFERROR('Net Income'!G54/'Avg Shares Outstanding'!G54,"")</f>
        <v>9.9260650939589752</v>
      </c>
      <c r="H54" s="52">
        <f>IFERROR('Net Income'!H54/'Avg Shares Outstanding'!H54,"")</f>
        <v>9.4569232890384463</v>
      </c>
      <c r="I54" s="52">
        <f>IFERROR('Net Income'!I54/'Avg Shares Outstanding'!I54,"")</f>
        <v>3.0208715297546762</v>
      </c>
      <c r="J54" s="52">
        <f>IFERROR('Net Income'!J54/'Avg Shares Outstanding'!J54,"")</f>
        <v>2.4822590538871236</v>
      </c>
      <c r="K54" s="52">
        <f>IFERROR('Net Income'!K54/'Avg Shares Outstanding'!K54,"")</f>
        <v>8.3658876458390097</v>
      </c>
      <c r="L54" s="52">
        <f>IFERROR('Net Income'!L54/'Avg Shares Outstanding'!L54,"")</f>
        <v>-1.4717170703226954</v>
      </c>
      <c r="M54" s="52">
        <f>IFERROR('Net Income'!M54/'Avg Shares Outstanding'!M54,"")</f>
        <v>-1.0461677417325908</v>
      </c>
      <c r="N54" s="52">
        <f>IFERROR('Net Income'!N54/'Avg Shares Outstanding'!N54,"")</f>
        <v>-1.4093437263779289</v>
      </c>
    </row>
    <row r="55" spans="1:14" x14ac:dyDescent="0.3">
      <c r="A55" s="51" t="str">
        <f>'Net Income'!A55</f>
        <v>DTG.DE</v>
      </c>
      <c r="B55" s="51" t="str">
        <f>'Net Income'!B55</f>
        <v>Daimler Truck</v>
      </c>
      <c r="C55" s="51" t="str">
        <f>'Net Income'!C55</f>
        <v>Germany</v>
      </c>
      <c r="D55" s="51" t="str">
        <f>'Net Income'!D55</f>
        <v>DAX 40</v>
      </c>
      <c r="E55" s="52" t="str">
        <f>IFERROR('Net Income'!E55/'Avg Shares Outstanding'!E55,"")</f>
        <v/>
      </c>
      <c r="F55" s="52" t="str">
        <f>IFERROR('Net Income'!F55/'Avg Shares Outstanding'!F55,"")</f>
        <v/>
      </c>
      <c r="G55" s="52" t="str">
        <f>IFERROR('Net Income'!G55/'Avg Shares Outstanding'!G55,"")</f>
        <v/>
      </c>
      <c r="H55" s="52" t="str">
        <f>IFERROR('Net Income'!H55/'Avg Shares Outstanding'!H55,"")</f>
        <v/>
      </c>
      <c r="I55" s="52" t="str">
        <f>IFERROR('Net Income'!I55/'Avg Shares Outstanding'!I55,"")</f>
        <v/>
      </c>
      <c r="J55" s="52" t="str">
        <f>IFERROR('Net Income'!J55/'Avg Shares Outstanding'!J55,"")</f>
        <v/>
      </c>
      <c r="K55" s="52" t="str">
        <f>IFERROR('Net Income'!K55/'Avg Shares Outstanding'!K55,"")</f>
        <v/>
      </c>
      <c r="L55" s="52">
        <f>IFERROR('Net Income'!L55/'Avg Shares Outstanding'!L55,"")</f>
        <v>3.2383424332456903</v>
      </c>
      <c r="M55" s="52">
        <f>IFERROR('Net Income'!M55/'Avg Shares Outstanding'!M55,"")</f>
        <v>4.6149144254278731</v>
      </c>
      <c r="N55" s="52">
        <f>IFERROR('Net Income'!N55/'Avg Shares Outstanding'!N55,"")</f>
        <v>3.6432160804020102</v>
      </c>
    </row>
    <row r="56" spans="1:14" x14ac:dyDescent="0.3">
      <c r="A56" s="51" t="str">
        <f>'Net Income'!A56</f>
        <v>DBK.DE</v>
      </c>
      <c r="B56" s="51" t="str">
        <f>'Net Income'!B56</f>
        <v>Deutsche Bank</v>
      </c>
      <c r="C56" s="51" t="str">
        <f>'Net Income'!C56</f>
        <v>Germany</v>
      </c>
      <c r="D56" s="51" t="str">
        <f>'Net Income'!D56</f>
        <v>DAX 40</v>
      </c>
      <c r="E56" s="52">
        <f>IFERROR('Net Income'!E56/'Avg Shares Outstanding'!E56,"")</f>
        <v>-3.8992313526272464</v>
      </c>
      <c r="F56" s="52">
        <f>IFERROR('Net Income'!F56/'Avg Shares Outstanding'!F56,"")</f>
        <v>-0.90144489116704085</v>
      </c>
      <c r="G56" s="52">
        <f>IFERROR('Net Income'!G56/'Avg Shares Outstanding'!G56,"")</f>
        <v>-0.38166387152513087</v>
      </c>
      <c r="H56" s="52">
        <f>IFERROR('Net Income'!H56/'Avg Shares Outstanding'!H56,"")</f>
        <v>0.12700979931833783</v>
      </c>
      <c r="I56" s="52">
        <f>IFERROR('Net Income'!I56/'Avg Shares Outstanding'!I56,"")</f>
        <v>-2.4947867298578199</v>
      </c>
      <c r="J56" s="52">
        <f>IFERROR('Net Income'!J56/'Avg Shares Outstanding'!J56,"")</f>
        <v>0.23479745765809576</v>
      </c>
      <c r="K56" s="52">
        <f>IFERROR('Net Income'!K56/'Avg Shares Outstanding'!K56,"")</f>
        <v>1.1280705938468876</v>
      </c>
      <c r="L56" s="52">
        <f>IFERROR('Net Income'!L56/'Avg Shares Outstanding'!L56,"")</f>
        <v>2.6500071945896684</v>
      </c>
      <c r="M56" s="52">
        <f>IFERROR('Net Income'!M56/'Avg Shares Outstanding'!M56,"")</f>
        <v>2.0706361125914441</v>
      </c>
      <c r="N56" s="52">
        <f>IFERROR('Net Income'!N56/'Avg Shares Outstanding'!N56,"")</f>
        <v>1.6884028892455858</v>
      </c>
    </row>
    <row r="57" spans="1:14" x14ac:dyDescent="0.3">
      <c r="A57" s="51" t="str">
        <f>'Net Income'!A57</f>
        <v>DB1.DE</v>
      </c>
      <c r="B57" s="51" t="str">
        <f>'Net Income'!B57</f>
        <v>Deutsche Boerse</v>
      </c>
      <c r="C57" s="51" t="str">
        <f>'Net Income'!C57</f>
        <v>Germany</v>
      </c>
      <c r="D57" s="51" t="str">
        <f>'Net Income'!D57</f>
        <v>DAX 40</v>
      </c>
      <c r="E57" s="52">
        <f>IFERROR('Net Income'!E57/'Avg Shares Outstanding'!E57,"")</f>
        <v>3.5973376847047089</v>
      </c>
      <c r="F57" s="52">
        <f>IFERROR('Net Income'!F57/'Avg Shares Outstanding'!F57,"")</f>
        <v>6.8144803321846865</v>
      </c>
      <c r="G57" s="52">
        <f>IFERROR('Net Income'!G57/'Avg Shares Outstanding'!G57,"")</f>
        <v>4.6795132105205628</v>
      </c>
      <c r="H57" s="52">
        <f>IFERROR('Net Income'!H57/'Avg Shares Outstanding'!H57,"")</f>
        <v>4.458392137856146</v>
      </c>
      <c r="I57" s="52">
        <f>IFERROR('Net Income'!I57/'Avg Shares Outstanding'!I57,"")</f>
        <v>5.4743889880617855</v>
      </c>
      <c r="J57" s="52">
        <f>IFERROR('Net Income'!J57/'Avg Shares Outstanding'!J57,"")</f>
        <v>5.8865394406646088</v>
      </c>
      <c r="K57" s="52">
        <f>IFERROR('Net Income'!K57/'Avg Shares Outstanding'!K57,"")</f>
        <v>6.5907145967999998</v>
      </c>
      <c r="L57" s="52">
        <f>IFERROR('Net Income'!L57/'Avg Shares Outstanding'!L57,"")</f>
        <v>8.1380721084705243</v>
      </c>
      <c r="M57" s="52">
        <f>IFERROR('Net Income'!M57/'Avg Shares Outstanding'!M57,"")</f>
        <v>9.35437061832992</v>
      </c>
      <c r="N57" s="52">
        <f>IFERROR('Net Income'!N57/'Avg Shares Outstanding'!N57,"")</f>
        <v>10.6000435208356</v>
      </c>
    </row>
    <row r="58" spans="1:14" x14ac:dyDescent="0.3">
      <c r="A58" s="51" t="str">
        <f>'Net Income'!A58</f>
        <v>DHL.DE</v>
      </c>
      <c r="B58" s="51" t="str">
        <f>'Net Income'!B58</f>
        <v>Deutsche Post (DHL)</v>
      </c>
      <c r="C58" s="51" t="str">
        <f>'Net Income'!C58</f>
        <v>Germany</v>
      </c>
      <c r="D58" s="51" t="str">
        <f>'Net Income'!D58</f>
        <v>DAX 40</v>
      </c>
      <c r="E58" s="52">
        <f>IFERROR('Net Income'!E58/'Avg Shares Outstanding'!E58,"")</f>
        <v>1.2720753267631932</v>
      </c>
      <c r="F58" s="52">
        <f>IFERROR('Net Income'!F58/'Avg Shares Outstanding'!F58,"")</f>
        <v>2.1935136055519902</v>
      </c>
      <c r="G58" s="52">
        <f>IFERROR('Net Income'!G58/'Avg Shares Outstanding'!G58,"")</f>
        <v>2.2419675074483627</v>
      </c>
      <c r="H58" s="52">
        <f>IFERROR('Net Income'!H58/'Avg Shares Outstanding'!H58,"")</f>
        <v>1.6868292966024669</v>
      </c>
      <c r="I58" s="52">
        <f>IFERROR('Net Income'!I58/'Avg Shares Outstanding'!I58,"")</f>
        <v>2.1254187361554098</v>
      </c>
      <c r="J58" s="52">
        <f>IFERROR('Net Income'!J58/'Avg Shares Outstanding'!J58,"")</f>
        <v>2.4084402690514466</v>
      </c>
      <c r="K58" s="52">
        <f>IFERROR('Net Income'!K58/'Avg Shares Outstanding'!K58,"")</f>
        <v>4.0999592824467257</v>
      </c>
      <c r="L58" s="52">
        <f>IFERROR('Net Income'!L58/'Avg Shares Outstanding'!L58,"")</f>
        <v>4.4142421322317968</v>
      </c>
      <c r="M58" s="52">
        <f>IFERROR('Net Income'!M58/'Avg Shares Outstanding'!M58,"")</f>
        <v>3.092813290486057</v>
      </c>
      <c r="N58" s="52">
        <f>IFERROR('Net Income'!N58/'Avg Shares Outstanding'!N58,"")</f>
        <v>2.8572356474752847</v>
      </c>
    </row>
    <row r="59" spans="1:14" x14ac:dyDescent="0.3">
      <c r="A59" s="51" t="str">
        <f>'Net Income'!A59</f>
        <v>P911.DE</v>
      </c>
      <c r="B59" s="51" t="str">
        <f>'Net Income'!B59</f>
        <v>Porsche AG</v>
      </c>
      <c r="C59" s="51" t="str">
        <f>'Net Income'!C59</f>
        <v>Germany</v>
      </c>
      <c r="D59" s="51" t="str">
        <f>'Net Income'!D59</f>
        <v>DAX 40</v>
      </c>
      <c r="E59" s="52" t="str">
        <f>IFERROR('Net Income'!E59/'Avg Shares Outstanding'!E59,"")</f>
        <v/>
      </c>
      <c r="F59" s="52" t="str">
        <f>IFERROR('Net Income'!F59/'Avg Shares Outstanding'!F59,"")</f>
        <v/>
      </c>
      <c r="G59" s="52" t="str">
        <f>IFERROR('Net Income'!G59/'Avg Shares Outstanding'!G59,"")</f>
        <v/>
      </c>
      <c r="H59" s="52" t="str">
        <f>IFERROR('Net Income'!H59/'Avg Shares Outstanding'!H59,"")</f>
        <v/>
      </c>
      <c r="I59" s="52" t="str">
        <f>IFERROR('Net Income'!I59/'Avg Shares Outstanding'!I59,"")</f>
        <v/>
      </c>
      <c r="J59" s="52" t="str">
        <f>IFERROR('Net Income'!J59/'Avg Shares Outstanding'!J59,"")</f>
        <v/>
      </c>
      <c r="K59" s="52" t="str">
        <f>IFERROR('Net Income'!K59/'Avg Shares Outstanding'!K59,"")</f>
        <v/>
      </c>
      <c r="L59" s="52" t="str">
        <f>IFERROR('Net Income'!L59/'Avg Shares Outstanding'!L59,"")</f>
        <v/>
      </c>
      <c r="M59" s="52">
        <f>IFERROR('Net Income'!M59/'Avg Shares Outstanding'!M59,"")</f>
        <v>5.688975539489042</v>
      </c>
      <c r="N59" s="52">
        <f>IFERROR('Net Income'!N59/'Avg Shares Outstanding'!N59,"")</f>
        <v>3.9429198682766189</v>
      </c>
    </row>
    <row r="60" spans="1:14" x14ac:dyDescent="0.3">
      <c r="A60" s="51" t="str">
        <f>'Net Income'!A60</f>
        <v>DTE.DE</v>
      </c>
      <c r="B60" s="51" t="str">
        <f>'Net Income'!B60</f>
        <v>Deutsche Telekom</v>
      </c>
      <c r="C60" s="51" t="str">
        <f>'Net Income'!C60</f>
        <v>Germany</v>
      </c>
      <c r="D60" s="51" t="str">
        <f>'Net Income'!D60</f>
        <v>DAX 40</v>
      </c>
      <c r="E60" s="52">
        <f>IFERROR('Net Income'!E60/'Avg Shares Outstanding'!E60,"")</f>
        <v>0.71469360860970788</v>
      </c>
      <c r="F60" s="52">
        <f>IFERROR('Net Income'!F60/'Avg Shares Outstanding'!F60,"")</f>
        <v>0.57837837837837835</v>
      </c>
      <c r="G60" s="52">
        <f>IFERROR('Net Income'!G60/'Avg Shares Outstanding'!G60,"")</f>
        <v>0.73591324686370407</v>
      </c>
      <c r="H60" s="52">
        <f>IFERROR('Net Income'!H60/'Avg Shares Outstanding'!H60,"")</f>
        <v>0.4567692956558414</v>
      </c>
      <c r="I60" s="52">
        <f>IFERROR('Net Income'!I60/'Avg Shares Outstanding'!I60,"")</f>
        <v>1.1104786000421674</v>
      </c>
      <c r="J60" s="52">
        <f>IFERROR('Net Income'!J60/'Avg Shares Outstanding'!J60,"")</f>
        <v>1.4227282310773772</v>
      </c>
      <c r="K60" s="52">
        <f>IFERROR('Net Income'!K60/'Avg Shares Outstanding'!K60,"")</f>
        <v>1.2680241013920632</v>
      </c>
      <c r="L60" s="52">
        <f>IFERROR('Net Income'!L60/'Avg Shares Outstanding'!L60,"")</f>
        <v>1.6092115848753017</v>
      </c>
      <c r="M60" s="52">
        <f>IFERROR('Net Income'!M60/'Avg Shares Outstanding'!M60,"")</f>
        <v>3.57475884244373</v>
      </c>
      <c r="N60" s="52">
        <f>IFERROR('Net Income'!N60/'Avg Shares Outstanding'!N60,"")</f>
        <v>2.2699473471040905</v>
      </c>
    </row>
    <row r="61" spans="1:14" x14ac:dyDescent="0.3">
      <c r="A61" s="51" t="str">
        <f>'Net Income'!A61</f>
        <v>EOAN.DE</v>
      </c>
      <c r="B61" s="51" t="str">
        <f>'Net Income'!B61</f>
        <v>E.ON</v>
      </c>
      <c r="C61" s="51" t="str">
        <f>'Net Income'!C61</f>
        <v>Germany</v>
      </c>
      <c r="D61" s="51" t="str">
        <f>'Net Income'!D61</f>
        <v>DAX 40</v>
      </c>
      <c r="E61" s="52">
        <f>IFERROR('Net Income'!E61/'Avg Shares Outstanding'!E61,"")</f>
        <v>-3.6003086419753085</v>
      </c>
      <c r="F61" s="52">
        <f>IFERROR('Net Income'!F61/'Avg Shares Outstanding'!F61,"")</f>
        <v>-4.3288934426229506</v>
      </c>
      <c r="G61" s="52">
        <f>IFERROR('Net Income'!G61/'Avg Shares Outstanding'!G61,"")</f>
        <v>1.8435885392202913</v>
      </c>
      <c r="H61" s="52">
        <f>IFERROR('Net Income'!H61/'Avg Shares Outstanding'!H61,"")</f>
        <v>1.4873096446700507</v>
      </c>
      <c r="I61" s="52">
        <f>IFERROR('Net Income'!I61/'Avg Shares Outstanding'!I61,"")</f>
        <v>0.32446576537287397</v>
      </c>
      <c r="J61" s="52">
        <f>IFERROR('Net Income'!J61/'Avg Shares Outstanding'!J61,"")</f>
        <v>0.39010356731875717</v>
      </c>
      <c r="K61" s="52">
        <f>IFERROR('Net Income'!K61/'Avg Shares Outstanding'!K61,"")</f>
        <v>1.7986963190184049</v>
      </c>
      <c r="L61" s="52">
        <f>IFERROR('Net Income'!L61/'Avg Shares Outstanding'!L61,"")</f>
        <v>0.70180145649674208</v>
      </c>
      <c r="M61" s="52">
        <f>IFERROR('Net Income'!M61/'Avg Shares Outstanding'!M61,"")</f>
        <v>0.19800842589046341</v>
      </c>
      <c r="N61" s="52">
        <f>IFERROR('Net Income'!N61/'Avg Shares Outstanding'!N61,"")</f>
        <v>1.7346860643185298</v>
      </c>
    </row>
    <row r="62" spans="1:14" x14ac:dyDescent="0.3">
      <c r="A62" s="51" t="str">
        <f>'Net Income'!A62</f>
        <v>FRE.DE</v>
      </c>
      <c r="B62" s="51" t="str">
        <f>'Net Income'!B62</f>
        <v>Fresenius</v>
      </c>
      <c r="C62" s="51" t="str">
        <f>'Net Income'!C62</f>
        <v>Germany</v>
      </c>
      <c r="D62" s="51" t="str">
        <f>'Net Income'!D62</f>
        <v>DAX 40</v>
      </c>
      <c r="E62" s="52">
        <f>IFERROR('Net Income'!E62/'Avg Shares Outstanding'!E62,"")</f>
        <v>2.4922373642322269</v>
      </c>
      <c r="F62" s="52">
        <f>IFERROR('Net Income'!F62/'Avg Shares Outstanding'!F62,"")</f>
        <v>2.9101321435105523</v>
      </c>
      <c r="G62" s="52">
        <f>IFERROR('Net Income'!G62/'Avg Shares Outstanding'!G62,"")</f>
        <v>3.2676355216796504</v>
      </c>
      <c r="H62" s="52">
        <f>IFERROR('Net Income'!H62/'Avg Shares Outstanding'!H62,"")</f>
        <v>3.6419931381866686</v>
      </c>
      <c r="I62" s="52">
        <f>IFERROR('Net Income'!I62/'Avg Shares Outstanding'!I62,"")</f>
        <v>3.3816986156130437</v>
      </c>
      <c r="J62" s="52">
        <f>IFERROR('Net Income'!J62/'Avg Shares Outstanding'!J62,"")</f>
        <v>3.0621483786545913</v>
      </c>
      <c r="K62" s="52">
        <f>IFERROR('Net Income'!K62/'Avg Shares Outstanding'!K62,"")</f>
        <v>3.2577032613576948</v>
      </c>
      <c r="L62" s="52">
        <f>IFERROR('Net Income'!L62/'Avg Shares Outstanding'!L62,"")</f>
        <v>2.44448112551893</v>
      </c>
      <c r="M62" s="52">
        <f>IFERROR('Net Income'!M62/'Avg Shares Outstanding'!M62,"")</f>
        <v>-1.054617697116663</v>
      </c>
      <c r="N62" s="52">
        <f>IFERROR('Net Income'!N62/'Avg Shares Outstanding'!N62,"")</f>
        <v>0.83623726488543482</v>
      </c>
    </row>
    <row r="63" spans="1:14" x14ac:dyDescent="0.3">
      <c r="A63" s="51" t="str">
        <f>'Net Income'!A63</f>
        <v>HNR1.DE</v>
      </c>
      <c r="B63" s="51" t="str">
        <f>'Net Income'!B63</f>
        <v>Hannover Rueck</v>
      </c>
      <c r="C63" s="51" t="str">
        <f>'Net Income'!C63</f>
        <v>Germany</v>
      </c>
      <c r="D63" s="51" t="str">
        <f>'Net Income'!D63</f>
        <v>DAX 40</v>
      </c>
      <c r="E63" s="52">
        <f>IFERROR('Net Income'!E63/'Avg Shares Outstanding'!E63,"")</f>
        <v>9.5399990653375095</v>
      </c>
      <c r="F63" s="52">
        <f>IFERROR('Net Income'!F63/'Avg Shares Outstanding'!F63,"")</f>
        <v>9.7100000227157963</v>
      </c>
      <c r="G63" s="52">
        <f>IFERROR('Net Income'!G63/'Avg Shares Outstanding'!G63,"")</f>
        <v>7.9484160234056933</v>
      </c>
      <c r="H63" s="52">
        <f>IFERROR('Net Income'!H63/'Avg Shares Outstanding'!H63,"")</f>
        <v>8.7854010363889738</v>
      </c>
      <c r="I63" s="52">
        <f>IFERROR('Net Income'!I63/'Avg Shares Outstanding'!I63,"")</f>
        <v>10.648416062963824</v>
      </c>
      <c r="J63" s="52">
        <f>IFERROR('Net Income'!J63/'Avg Shares Outstanding'!J63,"")</f>
        <v>7.3200000593509262</v>
      </c>
      <c r="K63" s="52">
        <f>IFERROR('Net Income'!K63/'Avg Shares Outstanding'!K63,"")</f>
        <v>10.210000046185439</v>
      </c>
      <c r="L63" s="52">
        <f>IFERROR('Net Income'!L63/'Avg Shares Outstanding'!L63,"")</f>
        <v>6.4700000441663681</v>
      </c>
      <c r="M63" s="52">
        <f>IFERROR('Net Income'!M63/'Avg Shares Outstanding'!M63,"")</f>
        <v>15.130000056463887</v>
      </c>
      <c r="N63" s="52">
        <f>IFERROR('Net Income'!N63/'Avg Shares Outstanding'!N63,"")</f>
        <v>19.309765480008455</v>
      </c>
    </row>
    <row r="64" spans="1:14" x14ac:dyDescent="0.3">
      <c r="A64" s="51" t="str">
        <f>'Net Income'!A64</f>
        <v>HEI.DE</v>
      </c>
      <c r="B64" s="51" t="str">
        <f>'Net Income'!B64</f>
        <v>Heidelberg Materials</v>
      </c>
      <c r="C64" s="51" t="str">
        <f>'Net Income'!C64</f>
        <v>Germany</v>
      </c>
      <c r="D64" s="51" t="str">
        <f>'Net Income'!D64</f>
        <v>DAX 40</v>
      </c>
      <c r="E64" s="52">
        <f>IFERROR('Net Income'!E64/'Avg Shares Outstanding'!E64,"")</f>
        <v>4.2577534643138426</v>
      </c>
      <c r="F64" s="52">
        <f>IFERROR('Net Income'!F64/'Avg Shares Outstanding'!F64,"")</f>
        <v>3.658631354812639</v>
      </c>
      <c r="G64" s="52">
        <f>IFERROR('Net Income'!G64/'Avg Shares Outstanding'!G64,"")</f>
        <v>4.6251310378195303</v>
      </c>
      <c r="H64" s="52">
        <f>IFERROR('Net Income'!H64/'Avg Shares Outstanding'!H64,"")</f>
        <v>5.7606241432142573</v>
      </c>
      <c r="I64" s="52">
        <f>IFERROR('Net Income'!I64/'Avg Shares Outstanding'!I64,"")</f>
        <v>5.4980445125393116</v>
      </c>
      <c r="J64" s="52">
        <f>IFERROR('Net Income'!J64/'Avg Shares Outstanding'!J64,"")</f>
        <v>-9.7618135634223044</v>
      </c>
      <c r="K64" s="52">
        <f>IFERROR('Net Income'!K64/'Avg Shares Outstanding'!K64,"")</f>
        <v>8.9149958440610622</v>
      </c>
      <c r="L64" s="52">
        <f>IFERROR('Net Income'!L64/'Avg Shares Outstanding'!L64,"")</f>
        <v>8.4463677338806953</v>
      </c>
      <c r="M64" s="52">
        <f>IFERROR('Net Income'!M64/'Avg Shares Outstanding'!M64,"")</f>
        <v>10.426035630891636</v>
      </c>
      <c r="N64" s="52">
        <f>IFERROR('Net Income'!N64/'Avg Shares Outstanding'!N64,"")</f>
        <v>9.670029010684015</v>
      </c>
    </row>
    <row r="65" spans="1:14" x14ac:dyDescent="0.3">
      <c r="A65" s="51" t="str">
        <f>'Net Income'!A65</f>
        <v>HEN3.DE</v>
      </c>
      <c r="B65" s="51" t="str">
        <f>'Net Income'!B65</f>
        <v>Henkel</v>
      </c>
      <c r="C65" s="51" t="str">
        <f>'Net Income'!C65</f>
        <v>Germany</v>
      </c>
      <c r="D65" s="51" t="str">
        <f>'Net Income'!D65</f>
        <v>DAX 40</v>
      </c>
      <c r="E65" s="52">
        <f>IFERROR('Net Income'!E65/'Avg Shares Outstanding'!E65,"")</f>
        <v>4.4234319325828819</v>
      </c>
      <c r="F65" s="52">
        <f>IFERROR('Net Income'!F65/'Avg Shares Outstanding'!F65,"")</f>
        <v>4.7273844495412591</v>
      </c>
      <c r="G65" s="52">
        <f>IFERROR('Net Income'!G65/'Avg Shares Outstanding'!G65,"")</f>
        <v>5.8004293367727389</v>
      </c>
      <c r="H65" s="52">
        <f>IFERROR('Net Income'!H65/'Avg Shares Outstanding'!H65,"")</f>
        <v>5.3283816932481605</v>
      </c>
      <c r="I65" s="52">
        <f>IFERROR('Net Income'!I65/'Avg Shares Outstanding'!I65,"")</f>
        <v>4.8010699353597301</v>
      </c>
      <c r="J65" s="52">
        <f>IFERROR('Net Income'!J65/'Avg Shares Outstanding'!J65,"")</f>
        <v>3.2421613760127097</v>
      </c>
      <c r="K65" s="52">
        <f>IFERROR('Net Income'!K65/'Avg Shares Outstanding'!K65,"")</f>
        <v>3.7625651196056586</v>
      </c>
      <c r="L65" s="52">
        <f>IFERROR('Net Income'!L65/'Avg Shares Outstanding'!L65,"")</f>
        <v>2.9387286948092601</v>
      </c>
      <c r="M65" s="52">
        <f>IFERROR('Net Income'!M65/'Avg Shares Outstanding'!M65,"")</f>
        <v>3.1299999998575112</v>
      </c>
      <c r="N65" s="52">
        <f>IFERROR('Net Income'!N65/'Avg Shares Outstanding'!N65,"")</f>
        <v>4.7799999998571003</v>
      </c>
    </row>
    <row r="66" spans="1:14" x14ac:dyDescent="0.3">
      <c r="A66" s="51" t="str">
        <f>'Net Income'!A66</f>
        <v>IFX.DE</v>
      </c>
      <c r="B66" s="51" t="str">
        <f>'Net Income'!B66</f>
        <v>Infineon</v>
      </c>
      <c r="C66" s="51" t="str">
        <f>'Net Income'!C66</f>
        <v>Germany</v>
      </c>
      <c r="D66" s="51" t="str">
        <f>'Net Income'!D66</f>
        <v>DAX 40</v>
      </c>
      <c r="E66" s="52">
        <f>IFERROR('Net Income'!E66/'Avg Shares Outstanding'!E66,"")</f>
        <v>0.5629787992161055</v>
      </c>
      <c r="F66" s="52">
        <f>IFERROR('Net Income'!F66/'Avg Shares Outstanding'!F66,"")</f>
        <v>0.66121578386064694</v>
      </c>
      <c r="G66" s="52">
        <f>IFERROR('Net Income'!G66/'Avg Shares Outstanding'!G66,"")</f>
        <v>0.69998227892964737</v>
      </c>
      <c r="H66" s="52">
        <f>IFERROR('Net Income'!H66/'Avg Shares Outstanding'!H66,"")</f>
        <v>0.95090667846085808</v>
      </c>
      <c r="I66" s="52">
        <f>IFERROR('Net Income'!I66/'Avg Shares Outstanding'!I66,"")</f>
        <v>0.74780814853017019</v>
      </c>
      <c r="J66" s="52">
        <f>IFERROR('Net Income'!J66/'Avg Shares Outstanding'!J66,"")</f>
        <v>0.29102412020561486</v>
      </c>
      <c r="K66" s="52">
        <f>IFERROR('Net Income'!K66/'Avg Shares Outstanding'!K66,"")</f>
        <v>0.89840147556102057</v>
      </c>
      <c r="L66" s="52">
        <f>IFERROR('Net Income'!L66/'Avg Shares Outstanding'!L66,"")</f>
        <v>1.6738362267629436</v>
      </c>
      <c r="M66" s="52">
        <f>IFERROR('Net Income'!M66/'Avg Shares Outstanding'!M66,"")</f>
        <v>2.40752110514198</v>
      </c>
      <c r="N66" s="52">
        <f>IFERROR('Net Income'!N66/'Avg Shares Outstanding'!N66,"")</f>
        <v>1</v>
      </c>
    </row>
    <row r="67" spans="1:14" x14ac:dyDescent="0.3">
      <c r="A67" s="51" t="str">
        <f>'Net Income'!A67</f>
        <v>MBG.DE</v>
      </c>
      <c r="B67" s="51" t="str">
        <f>'Net Income'!B67</f>
        <v>Mercedes-Benz</v>
      </c>
      <c r="C67" s="51" t="str">
        <f>'Net Income'!C67</f>
        <v>Germany</v>
      </c>
      <c r="D67" s="51" t="str">
        <f>'Net Income'!D67</f>
        <v>DAX 40</v>
      </c>
      <c r="E67" s="52">
        <f>IFERROR('Net Income'!E67/'Avg Shares Outstanding'!E67,"")</f>
        <v>7.8743690409422324</v>
      </c>
      <c r="F67" s="52">
        <f>IFERROR('Net Income'!F67/'Avg Shares Outstanding'!F67,"")</f>
        <v>7.9697139652271449</v>
      </c>
      <c r="G67" s="52">
        <f>IFERROR('Net Income'!G67/'Avg Shares Outstanding'!G67,"")</f>
        <v>9.8382875303795103</v>
      </c>
      <c r="H67" s="52">
        <f>IFERROR('Net Income'!H67/'Avg Shares Outstanding'!H67,"")</f>
        <v>6.7760329033464197</v>
      </c>
      <c r="I67" s="52">
        <f>IFERROR('Net Income'!I67/'Avg Shares Outstanding'!I67,"")</f>
        <v>2.221910637502337</v>
      </c>
      <c r="J67" s="52">
        <f>IFERROR('Net Income'!J67/'Avg Shares Outstanding'!J67,"")</f>
        <v>3.3903533370723498</v>
      </c>
      <c r="K67" s="52">
        <f>IFERROR('Net Income'!K67/'Avg Shares Outstanding'!K67,"")</f>
        <v>9.9644793419330711</v>
      </c>
      <c r="L67" s="52">
        <f>IFERROR('Net Income'!L67/'Avg Shares Outstanding'!L67,"")</f>
        <v>13.554870069171807</v>
      </c>
      <c r="M67" s="52">
        <f>IFERROR('Net Income'!M67/'Avg Shares Outstanding'!M67,"")</f>
        <v>13.458852409832817</v>
      </c>
      <c r="N67" s="52">
        <f>IFERROR('Net Income'!N67/'Avg Shares Outstanding'!N67,"")</f>
        <v>10.186626746506986</v>
      </c>
    </row>
    <row r="68" spans="1:14" x14ac:dyDescent="0.3">
      <c r="A68" s="51" t="str">
        <f>'Net Income'!A68</f>
        <v>MRK.DE</v>
      </c>
      <c r="B68" s="51" t="str">
        <f>'Net Income'!B68</f>
        <v>Merck KGaA</v>
      </c>
      <c r="C68" s="51" t="str">
        <f>'Net Income'!C68</f>
        <v>Germany</v>
      </c>
      <c r="D68" s="51" t="str">
        <f>'Net Income'!D68</f>
        <v>DAX 40</v>
      </c>
      <c r="E68" s="52">
        <f>IFERROR('Net Income'!E68/'Avg Shares Outstanding'!E68,"")</f>
        <v>2.5640678985971777</v>
      </c>
      <c r="F68" s="52">
        <f>IFERROR('Net Income'!F68/'Avg Shares Outstanding'!F68,"")</f>
        <v>3.75</v>
      </c>
      <c r="G68" s="52">
        <f>IFERROR('Net Income'!G68/'Avg Shares Outstanding'!G68,"")</f>
        <v>5.9800650666959649</v>
      </c>
      <c r="H68" s="52">
        <f>IFERROR('Net Income'!H68/'Avg Shares Outstanding'!H68,"")</f>
        <v>7.7602844365508403</v>
      </c>
      <c r="I68" s="52">
        <f>IFERROR('Net Income'!I68/'Avg Shares Outstanding'!I68,"")</f>
        <v>3.0360330338610284</v>
      </c>
      <c r="J68" s="52">
        <f>IFERROR('Net Income'!J68/'Avg Shares Outstanding'!J68,"")</f>
        <v>4.5701497259711088</v>
      </c>
      <c r="K68" s="52">
        <f>IFERROR('Net Income'!K68/'Avg Shares Outstanding'!K68,"")</f>
        <v>7.0265764533677588</v>
      </c>
      <c r="L68" s="52">
        <f>IFERROR('Net Income'!L68/'Avg Shares Outstanding'!L68,"")</f>
        <v>7.6498832353195301</v>
      </c>
      <c r="M68" s="52">
        <f>IFERROR('Net Income'!M68/'Avg Shares Outstanding'!M68,"")</f>
        <v>6.4952706724420786</v>
      </c>
      <c r="N68" s="52">
        <f>IFERROR('Net Income'!N68/'Avg Shares Outstanding'!N68,"")</f>
        <v>6.3871694962364209</v>
      </c>
    </row>
    <row r="69" spans="1:14" x14ac:dyDescent="0.3">
      <c r="A69" s="51" t="str">
        <f>'Net Income'!A69</f>
        <v>MTX.DE</v>
      </c>
      <c r="B69" s="51" t="str">
        <f>'Net Income'!B69</f>
        <v>MTU Aero Engines</v>
      </c>
      <c r="C69" s="51" t="str">
        <f>'Net Income'!C69</f>
        <v>Germany</v>
      </c>
      <c r="D69" s="51" t="str">
        <f>'Net Income'!D69</f>
        <v>DAX 40</v>
      </c>
      <c r="E69" s="52">
        <f>IFERROR('Net Income'!E69/'Avg Shares Outstanding'!E69,"")</f>
        <v>4.2605410111728377</v>
      </c>
      <c r="F69" s="52">
        <f>IFERROR('Net Income'!F69/'Avg Shares Outstanding'!F69,"")</f>
        <v>6.0902551625739187</v>
      </c>
      <c r="G69" s="52">
        <f>IFERROR('Net Income'!G69/'Avg Shares Outstanding'!G69,"")</f>
        <v>7.351898464489329</v>
      </c>
      <c r="H69" s="52">
        <f>IFERROR('Net Income'!H69/'Avg Shares Outstanding'!H69,"")</f>
        <v>8.100000027181208</v>
      </c>
      <c r="I69" s="52">
        <f>IFERROR('Net Income'!I69/'Avg Shares Outstanding'!I69,"")</f>
        <v>9.2273202947045139</v>
      </c>
      <c r="J69" s="52">
        <f>IFERROR('Net Income'!J69/'Avg Shares Outstanding'!J69,"")</f>
        <v>2.6233559036935472</v>
      </c>
      <c r="K69" s="52">
        <f>IFERROR('Net Income'!K69/'Avg Shares Outstanding'!K69,"")</f>
        <v>4.1631272271558615</v>
      </c>
      <c r="L69" s="52">
        <f>IFERROR('Net Income'!L69/'Avg Shares Outstanding'!L69,"")</f>
        <v>6.202390794917517</v>
      </c>
      <c r="M69" s="52">
        <f>IFERROR('Net Income'!M69/'Avg Shares Outstanding'!M69,"")</f>
        <v>-1.8997444154638228</v>
      </c>
      <c r="N69" s="52">
        <f>IFERROR('Net Income'!N69/'Avg Shares Outstanding'!N69,"")</f>
        <v>11.605000116050002</v>
      </c>
    </row>
    <row r="70" spans="1:14" x14ac:dyDescent="0.3">
      <c r="A70" s="51" t="str">
        <f>'Net Income'!A70</f>
        <v>MUV2.DE</v>
      </c>
      <c r="B70" s="51" t="str">
        <f>'Net Income'!B70</f>
        <v>Munich Re</v>
      </c>
      <c r="C70" s="51" t="str">
        <f>'Net Income'!C70</f>
        <v>Germany</v>
      </c>
      <c r="D70" s="51" t="str">
        <f>'Net Income'!D70</f>
        <v>DAX 40</v>
      </c>
      <c r="E70" s="52">
        <f>IFERROR('Net Income'!E70/'Avg Shares Outstanding'!E70,"")</f>
        <v>18.728838695360068</v>
      </c>
      <c r="F70" s="52">
        <f>IFERROR('Net Income'!F70/'Avg Shares Outstanding'!F70,"")</f>
        <v>16.127504299026935</v>
      </c>
      <c r="G70" s="52">
        <f>IFERROR('Net Income'!G70/'Avg Shares Outstanding'!G70,"")</f>
        <v>2.4341009204594823</v>
      </c>
      <c r="H70" s="52">
        <f>IFERROR('Net Income'!H70/'Avg Shares Outstanding'!H70,"")</f>
        <v>15.534261064958327</v>
      </c>
      <c r="I70" s="52">
        <f>IFERROR('Net Income'!I70/'Avg Shares Outstanding'!I70,"")</f>
        <v>18.964270145443422</v>
      </c>
      <c r="J70" s="52">
        <f>IFERROR('Net Income'!J70/'Avg Shares Outstanding'!J70,"")</f>
        <v>8.6324130000147914</v>
      </c>
      <c r="K70" s="52">
        <f>IFERROR('Net Income'!K70/'Avg Shares Outstanding'!K70,"")</f>
        <v>20.935206136583584</v>
      </c>
      <c r="L70" s="52">
        <f>IFERROR('Net Income'!L70/'Avg Shares Outstanding'!L70,"")</f>
        <v>24.626081439800302</v>
      </c>
      <c r="M70" s="52">
        <f>IFERROR('Net Income'!M70/'Avg Shares Outstanding'!M70,"")</f>
        <v>33.873422477355916</v>
      </c>
      <c r="N70" s="52">
        <f>IFERROR('Net Income'!N70/'Avg Shares Outstanding'!N70,"")</f>
        <v>42.780966613252041</v>
      </c>
    </row>
    <row r="71" spans="1:14" x14ac:dyDescent="0.3">
      <c r="A71" s="51" t="str">
        <f>'Net Income'!A71</f>
        <v>PAH3.DE</v>
      </c>
      <c r="B71" s="51" t="str">
        <f>'Net Income'!B71</f>
        <v>Porsche Automobil Holding</v>
      </c>
      <c r="C71" s="51" t="str">
        <f>'Net Income'!C71</f>
        <v>Germany</v>
      </c>
      <c r="D71" s="51" t="str">
        <f>'Net Income'!D71</f>
        <v>DAX 40</v>
      </c>
      <c r="E71" s="52">
        <f>IFERROR('Net Income'!E71/'Avg Shares Outstanding'!E71,"")</f>
        <v>-0.89142857142857146</v>
      </c>
      <c r="F71" s="52">
        <f>IFERROR('Net Income'!F71/'Avg Shares Outstanding'!F71,"")</f>
        <v>4.4865306122448976</v>
      </c>
      <c r="G71" s="52">
        <f>IFERROR('Net Income'!G71/'Avg Shares Outstanding'!G71,"")</f>
        <v>10.88</v>
      </c>
      <c r="H71" s="52">
        <f>IFERROR('Net Income'!H71/'Avg Shares Outstanding'!H71,"")</f>
        <v>11.340408163265305</v>
      </c>
      <c r="I71" s="52">
        <f>IFERROR('Net Income'!I71/'Avg Shares Outstanding'!I71,"")</f>
        <v>14.390204081632653</v>
      </c>
      <c r="J71" s="52">
        <f>IFERROR('Net Income'!J71/'Avg Shares Outstanding'!J71,"")</f>
        <v>8.5648979591836731</v>
      </c>
      <c r="K71" s="52">
        <f>IFERROR('Net Income'!K71/'Avg Shares Outstanding'!K71,"")</f>
        <v>14.90938775510204</v>
      </c>
      <c r="L71" s="52">
        <f>IFERROR('Net Income'!L71/'Avg Shares Outstanding'!L71,"")</f>
        <v>17.933061224489794</v>
      </c>
      <c r="M71" s="52">
        <f>IFERROR('Net Income'!M71/'Avg Shares Outstanding'!M71,"")</f>
        <v>16.568163265306122</v>
      </c>
      <c r="N71" s="52">
        <f>IFERROR('Net Income'!N71/'Avg Shares Outstanding'!N71,"")</f>
        <v>-65.361632653061221</v>
      </c>
    </row>
    <row r="72" spans="1:14" x14ac:dyDescent="0.3">
      <c r="A72" s="51" t="str">
        <f>'Net Income'!A72</f>
        <v>QIA.DE</v>
      </c>
      <c r="B72" s="51" t="str">
        <f>'Net Income'!B72</f>
        <v>Qiagen</v>
      </c>
      <c r="C72" s="51" t="str">
        <f>'Net Income'!C72</f>
        <v>Germany</v>
      </c>
      <c r="D72" s="51" t="str">
        <f>'Net Income'!D72</f>
        <v>DAX 40</v>
      </c>
      <c r="E72" s="52">
        <f>IFERROR('Net Income'!E72/'Avg Shares Outstanding'!E72,"")</f>
        <v>0.59945113549801454</v>
      </c>
      <c r="F72" s="52">
        <f>IFERROR('Net Income'!F72/'Avg Shares Outstanding'!F72,"")</f>
        <v>0.37707940445559712</v>
      </c>
      <c r="G72" s="52">
        <f>IFERROR('Net Income'!G72/'Avg Shares Outstanding'!G72,"")</f>
        <v>0.18780351073729168</v>
      </c>
      <c r="H72" s="52">
        <f>IFERROR('Net Income'!H72/'Avg Shares Outstanding'!H72,"")</f>
        <v>0.8907326788134039</v>
      </c>
      <c r="I72" s="52">
        <f>IFERROR('Net Income'!I72/'Avg Shares Outstanding'!I72,"")</f>
        <v>-0.19383872201239821</v>
      </c>
      <c r="J72" s="52">
        <f>IFERROR('Net Income'!J72/'Avg Shares Outstanding'!J72,"")</f>
        <v>0.34184479206608132</v>
      </c>
      <c r="K72" s="52">
        <f>IFERROR('Net Income'!K72/'Avg Shares Outstanding'!K72,"")</f>
        <v>2.3841738214385115</v>
      </c>
      <c r="L72" s="52">
        <f>IFERROR('Net Income'!L72/'Avg Shares Outstanding'!L72,"")</f>
        <v>1.9719286846484432</v>
      </c>
      <c r="M72" s="52">
        <f>IFERROR('Net Income'!M72/'Avg Shares Outstanding'!M72,"")</f>
        <v>1.5863166099028576</v>
      </c>
      <c r="N72" s="52">
        <f>IFERROR('Net Income'!N72/'Avg Shares Outstanding'!N72,"")</f>
        <v>0.38621716780982779</v>
      </c>
    </row>
    <row r="73" spans="1:14" x14ac:dyDescent="0.3">
      <c r="A73" s="51" t="str">
        <f>'Net Income'!A73</f>
        <v>RHM.DE</v>
      </c>
      <c r="B73" s="51" t="str">
        <f>'Net Income'!B73</f>
        <v>Rheinmetall</v>
      </c>
      <c r="C73" s="51" t="str">
        <f>'Net Income'!C73</f>
        <v>Germany</v>
      </c>
      <c r="D73" s="51" t="str">
        <f>'Net Income'!D73</f>
        <v>DAX 40</v>
      </c>
      <c r="E73" s="52">
        <f>IFERROR('Net Income'!E73/'Avg Shares Outstanding'!E73,"")</f>
        <v>3.8737814263724988</v>
      </c>
      <c r="F73" s="52">
        <f>IFERROR('Net Income'!F73/'Avg Shares Outstanding'!F73,"")</f>
        <v>4.6937338652898379</v>
      </c>
      <c r="G73" s="52">
        <f>IFERROR('Net Income'!G73/'Avg Shares Outstanding'!G73,"")</f>
        <v>5.2336448598130838</v>
      </c>
      <c r="H73" s="52">
        <f>IFERROR('Net Income'!H73/'Avg Shares Outstanding'!H73,"")</f>
        <v>7.1012805587892895</v>
      </c>
      <c r="I73" s="52">
        <f>IFERROR('Net Income'!I73/'Avg Shares Outstanding'!I73,"")</f>
        <v>7.7798420808174642</v>
      </c>
      <c r="J73" s="52">
        <f>IFERROR('Net Income'!J73/'Avg Shares Outstanding'!J73,"")</f>
        <v>2.316423442205235E-2</v>
      </c>
      <c r="K73" s="52">
        <f>IFERROR('Net Income'!K73/'Avg Shares Outstanding'!K73,"")</f>
        <v>9.9815157116451019</v>
      </c>
      <c r="L73" s="52">
        <f>IFERROR('Net Income'!L73/'Avg Shares Outstanding'!L73,"")</f>
        <v>10.931734317343173</v>
      </c>
      <c r="M73" s="52">
        <f>IFERROR('Net Income'!M73/'Avg Shares Outstanding'!M73,"")</f>
        <v>12.324349228288412</v>
      </c>
      <c r="N73" s="52">
        <f>IFERROR('Net Income'!N73/'Avg Shares Outstanding'!N73,"")</f>
        <v>17.831118270748593</v>
      </c>
    </row>
    <row r="74" spans="1:14" x14ac:dyDescent="0.3">
      <c r="A74" s="51" t="str">
        <f>'Net Income'!A74</f>
        <v>RWE.DE</v>
      </c>
      <c r="B74" s="51" t="str">
        <f>'Net Income'!B74</f>
        <v>RWE</v>
      </c>
      <c r="C74" s="51" t="str">
        <f>'Net Income'!C74</f>
        <v>Germany</v>
      </c>
      <c r="D74" s="51" t="str">
        <f>'Net Income'!D74</f>
        <v>DAX 40</v>
      </c>
      <c r="E74" s="52">
        <f>IFERROR('Net Income'!E74/'Avg Shares Outstanding'!E74,"")</f>
        <v>-0.11712173340165434</v>
      </c>
      <c r="F74" s="52">
        <f>IFERROR('Net Income'!F74/'Avg Shares Outstanding'!F74,"")</f>
        <v>-9.1924293812881768</v>
      </c>
      <c r="G74" s="52">
        <f>IFERROR('Net Income'!G74/'Avg Shares Outstanding'!G74,"")</f>
        <v>3.159033420361288</v>
      </c>
      <c r="H74" s="52">
        <f>IFERROR('Net Income'!H74/'Avg Shares Outstanding'!H74,"")</f>
        <v>0.64091615222571963</v>
      </c>
      <c r="I74" s="52">
        <f>IFERROR('Net Income'!I74/'Avg Shares Outstanding'!I74,"")</f>
        <v>-1.0736158895151648</v>
      </c>
      <c r="J74" s="52">
        <f>IFERROR('Net Income'!J74/'Avg Shares Outstanding'!J74,"")</f>
        <v>1.6491810584258872</v>
      </c>
      <c r="K74" s="52">
        <f>IFERROR('Net Income'!K74/'Avg Shares Outstanding'!K74,"")</f>
        <v>1.0662210523202509</v>
      </c>
      <c r="L74" s="52">
        <f>IFERROR('Net Income'!L74/'Avg Shares Outstanding'!L74,"")</f>
        <v>3.9305776372266354</v>
      </c>
      <c r="M74" s="52">
        <f>IFERROR('Net Income'!M74/'Avg Shares Outstanding'!M74,"")</f>
        <v>1.9493413242883897</v>
      </c>
      <c r="N74" s="52">
        <f>IFERROR('Net Income'!N74/'Avg Shares Outstanding'!N74,"")</f>
        <v>6.9060216204875502</v>
      </c>
    </row>
    <row r="75" spans="1:14" x14ac:dyDescent="0.3">
      <c r="A75" s="51" t="str">
        <f>'Net Income'!A75</f>
        <v>SAP.DE</v>
      </c>
      <c r="B75" s="51" t="str">
        <f>'Net Income'!B75</f>
        <v>SAP</v>
      </c>
      <c r="C75" s="51" t="str">
        <f>'Net Income'!C75</f>
        <v>Germany</v>
      </c>
      <c r="D75" s="51" t="str">
        <f>'Net Income'!D75</f>
        <v>DAX 40</v>
      </c>
      <c r="E75" s="52">
        <f>IFERROR('Net Income'!E75/'Avg Shares Outstanding'!E75,"")</f>
        <v>2.5597326649958227</v>
      </c>
      <c r="F75" s="52">
        <f>IFERROR('Net Income'!F75/'Avg Shares Outstanding'!F75,"")</f>
        <v>3.0308848080133557</v>
      </c>
      <c r="G75" s="52">
        <f>IFERROR('Net Income'!G75/'Avg Shares Outstanding'!G75,"")</f>
        <v>3.3567251461988303</v>
      </c>
      <c r="H75" s="52">
        <f>IFERROR('Net Income'!H75/'Avg Shares Outstanding'!H75,"")</f>
        <v>3.4195979899497488</v>
      </c>
      <c r="I75" s="52">
        <f>IFERROR('Net Income'!I75/'Avg Shares Outstanding'!I75,"")</f>
        <v>2.7948073701842544</v>
      </c>
      <c r="J75" s="52">
        <f>IFERROR('Net Income'!J75/'Avg Shares Outstanding'!J75,"")</f>
        <v>4.3527918781725887</v>
      </c>
      <c r="K75" s="52">
        <f>IFERROR('Net Income'!K75/'Avg Shares Outstanding'!K75,"")</f>
        <v>4.4558257522550369</v>
      </c>
      <c r="L75" s="52">
        <f>IFERROR('Net Income'!L75/'Avg Shares Outstanding'!L75,"")</f>
        <v>1.9521367521367521</v>
      </c>
      <c r="M75" s="52">
        <f>IFERROR('Net Income'!M75/'Avg Shares Outstanding'!M75,"")</f>
        <v>5.2604970008568976</v>
      </c>
      <c r="N75" s="52">
        <f>IFERROR('Net Income'!N75/'Avg Shares Outstanding'!N75,"")</f>
        <v>2.6792452830188678</v>
      </c>
    </row>
    <row r="76" spans="1:14" x14ac:dyDescent="0.3">
      <c r="A76" s="51" t="str">
        <f>'Net Income'!A76</f>
        <v>SRT3.DE</v>
      </c>
      <c r="B76" s="51" t="str">
        <f>'Net Income'!B76</f>
        <v>Sartorius</v>
      </c>
      <c r="C76" s="51" t="str">
        <f>'Net Income'!C76</f>
        <v>Germany</v>
      </c>
      <c r="D76" s="51" t="str">
        <f>'Net Income'!D76</f>
        <v>DAX 40</v>
      </c>
      <c r="E76" s="52">
        <f>IFERROR('Net Income'!E76/'Avg Shares Outstanding'!E76,"")</f>
        <v>1.8520895150057333</v>
      </c>
      <c r="F76" s="52">
        <f>IFERROR('Net Income'!F76/'Avg Shares Outstanding'!F76,"")</f>
        <v>1.5051114304770179</v>
      </c>
      <c r="G76" s="52">
        <f>IFERROR('Net Income'!G76/'Avg Shares Outstanding'!G76,"")</f>
        <v>1.6776263399004028</v>
      </c>
      <c r="H76" s="52">
        <f>IFERROR('Net Income'!H76/'Avg Shares Outstanding'!H76,"")</f>
        <v>2.0667572747686109</v>
      </c>
      <c r="I76" s="52">
        <f>IFERROR('Net Income'!I76/'Avg Shares Outstanding'!I76,"")</f>
        <v>3.1985445695880226</v>
      </c>
      <c r="J76" s="52">
        <f>IFERROR('Net Income'!J76/'Avg Shares Outstanding'!J76,"")</f>
        <v>4.698793388001163</v>
      </c>
      <c r="K76" s="52">
        <f>IFERROR('Net Income'!K76/'Avg Shares Outstanding'!K76,"")</f>
        <v>6.2409211477887983</v>
      </c>
      <c r="L76" s="52">
        <f>IFERROR('Net Income'!L76/'Avg Shares Outstanding'!L76,"")</f>
        <v>13.346320185222543</v>
      </c>
      <c r="M76" s="52">
        <f>IFERROR('Net Income'!M76/'Avg Shares Outstanding'!M76,"")</f>
        <v>2.999304459541853</v>
      </c>
      <c r="N76" s="52">
        <f>IFERROR('Net Income'!N76/'Avg Shares Outstanding'!N76,"")</f>
        <v>1.2178267038689528</v>
      </c>
    </row>
    <row r="77" spans="1:14" x14ac:dyDescent="0.3">
      <c r="A77" s="51" t="str">
        <f>'Net Income'!A77</f>
        <v>SIE.DE</v>
      </c>
      <c r="B77" s="51" t="str">
        <f>'Net Income'!B77</f>
        <v>Siemens</v>
      </c>
      <c r="C77" s="51" t="str">
        <f>'Net Income'!C77</f>
        <v>Germany</v>
      </c>
      <c r="D77" s="51" t="str">
        <f>'Net Income'!D77</f>
        <v>DAX 40</v>
      </c>
      <c r="E77" s="52">
        <f>IFERROR('Net Income'!E77/'Avg Shares Outstanding'!E77,"")</f>
        <v>6.536249344189029</v>
      </c>
      <c r="F77" s="52">
        <f>IFERROR('Net Income'!F77/'Avg Shares Outstanding'!F77,"")</f>
        <v>6.6131972112785435</v>
      </c>
      <c r="G77" s="52">
        <f>IFERROR('Net Income'!G77/'Avg Shares Outstanding'!G77,"")</f>
        <v>7.33950602083282</v>
      </c>
      <c r="H77" s="52">
        <f>IFERROR('Net Income'!H77/'Avg Shares Outstanding'!H77,"")</f>
        <v>7.1246026380782839</v>
      </c>
      <c r="I77" s="52">
        <f>IFERROR('Net Income'!I77/'Avg Shares Outstanding'!I77,"")</f>
        <v>6.4203807138353444</v>
      </c>
      <c r="J77" s="52">
        <f>IFERROR('Net Income'!J77/'Avg Shares Outstanding'!J77,"")</f>
        <v>5.004123596272021</v>
      </c>
      <c r="K77" s="52">
        <f>IFERROR('Net Income'!K77/'Avg Shares Outstanding'!K77,"")</f>
        <v>6.5612493436879937</v>
      </c>
      <c r="L77" s="52">
        <f>IFERROR('Net Income'!L77/'Avg Shares Outstanding'!L77,"")</f>
        <v>4.6459795991204711</v>
      </c>
      <c r="M77" s="52">
        <f>IFERROR('Net Income'!M77/'Avg Shares Outstanding'!M77,"")</f>
        <v>10.042474271607933</v>
      </c>
      <c r="N77" s="52">
        <f>IFERROR('Net Income'!N77/'Avg Shares Outstanding'!N77,"")</f>
        <v>10.536309714957346</v>
      </c>
    </row>
    <row r="78" spans="1:14" x14ac:dyDescent="0.3">
      <c r="A78" s="51" t="str">
        <f>'Net Income'!A78</f>
        <v>ENR.DE</v>
      </c>
      <c r="B78" s="51" t="str">
        <f>'Net Income'!B78</f>
        <v>Siemens Energy</v>
      </c>
      <c r="C78" s="51" t="str">
        <f>'Net Income'!C78</f>
        <v>Germany</v>
      </c>
      <c r="D78" s="51" t="str">
        <f>'Net Income'!D78</f>
        <v>DAX 40</v>
      </c>
      <c r="E78" s="52" t="str">
        <f>IFERROR('Net Income'!E78/'Avg Shares Outstanding'!E78,"")</f>
        <v/>
      </c>
      <c r="F78" s="52" t="str">
        <f>IFERROR('Net Income'!F78/'Avg Shares Outstanding'!F78,"")</f>
        <v/>
      </c>
      <c r="G78" s="52" t="str">
        <f>IFERROR('Net Income'!G78/'Avg Shares Outstanding'!G78,"")</f>
        <v/>
      </c>
      <c r="H78" s="52" t="str">
        <f>IFERROR('Net Income'!H78/'Avg Shares Outstanding'!H78,"")</f>
        <v/>
      </c>
      <c r="I78" s="52" t="str">
        <f>IFERROR('Net Income'!I78/'Avg Shares Outstanding'!I78,"")</f>
        <v/>
      </c>
      <c r="J78" s="52" t="str">
        <f>IFERROR('Net Income'!J78/'Avg Shares Outstanding'!J78,"")</f>
        <v/>
      </c>
      <c r="K78" s="52">
        <f>IFERROR('Net Income'!K78/'Avg Shares Outstanding'!K78,"")</f>
        <v>-0.63379069796725274</v>
      </c>
      <c r="L78" s="52">
        <f>IFERROR('Net Income'!L78/'Avg Shares Outstanding'!L78,"")</f>
        <v>-0.64786696391783327</v>
      </c>
      <c r="M78" s="52">
        <f>IFERROR('Net Income'!M78/'Avg Shares Outstanding'!M78,"")</f>
        <v>-5.4662674236520123</v>
      </c>
      <c r="N78" s="52">
        <f>IFERROR('Net Income'!N78/'Avg Shares Outstanding'!N78,"")</f>
        <v>1.3734289595319447</v>
      </c>
    </row>
    <row r="79" spans="1:14" x14ac:dyDescent="0.3">
      <c r="A79" s="51" t="str">
        <f>'Net Income'!A79</f>
        <v>SHL.DE</v>
      </c>
      <c r="B79" s="51" t="str">
        <f>'Net Income'!B79</f>
        <v>Siemens Healthineers</v>
      </c>
      <c r="C79" s="51" t="str">
        <f>'Net Income'!C79</f>
        <v>Germany</v>
      </c>
      <c r="D79" s="51" t="str">
        <f>'Net Income'!D79</f>
        <v>DAX 40</v>
      </c>
      <c r="E79" s="52" t="str">
        <f>IFERROR('Net Income'!E79/'Avg Shares Outstanding'!E79,"")</f>
        <v/>
      </c>
      <c r="F79" s="52" t="str">
        <f>IFERROR('Net Income'!F79/'Avg Shares Outstanding'!F79,"")</f>
        <v/>
      </c>
      <c r="G79" s="52" t="str">
        <f>IFERROR('Net Income'!G79/'Avg Shares Outstanding'!G79,"")</f>
        <v/>
      </c>
      <c r="H79" s="52" t="str">
        <f>IFERROR('Net Income'!H79/'Avg Shares Outstanding'!H79,"")</f>
        <v/>
      </c>
      <c r="I79" s="52">
        <f>IFERROR('Net Income'!I79/'Avg Shares Outstanding'!I79,"")</f>
        <v>1.5681839789040726</v>
      </c>
      <c r="J79" s="52">
        <f>IFERROR('Net Income'!J79/'Avg Shares Outstanding'!J79,"")</f>
        <v>1.4083818181999663</v>
      </c>
      <c r="K79" s="52">
        <f>IFERROR('Net Income'!K79/'Avg Shares Outstanding'!K79,"")</f>
        <v>1.5704425792723404</v>
      </c>
      <c r="L79" s="52">
        <f>IFERROR('Net Income'!L79/'Avg Shares Outstanding'!L79,"")</f>
        <v>1.8151147939871428</v>
      </c>
      <c r="M79" s="52">
        <f>IFERROR('Net Income'!M79/'Avg Shares Outstanding'!M79,"")</f>
        <v>1.3479568939642974</v>
      </c>
      <c r="N79" s="52">
        <f>IFERROR('Net Income'!N79/'Avg Shares Outstanding'!N79,"")</f>
        <v>1.7400000000358393</v>
      </c>
    </row>
    <row r="80" spans="1:14" x14ac:dyDescent="0.3">
      <c r="A80" s="51" t="str">
        <f>'Net Income'!A80</f>
        <v>SY1.DE</v>
      </c>
      <c r="B80" s="51" t="str">
        <f>'Net Income'!B80</f>
        <v>Symrise</v>
      </c>
      <c r="C80" s="51" t="str">
        <f>'Net Income'!C80</f>
        <v>Germany</v>
      </c>
      <c r="D80" s="51" t="str">
        <f>'Net Income'!D80</f>
        <v>DAX 40</v>
      </c>
      <c r="E80" s="52">
        <f>IFERROR('Net Income'!E80/'Avg Shares Outstanding'!E80,"")</f>
        <v>1.9010331002295664</v>
      </c>
      <c r="F80" s="52">
        <f>IFERROR('Net Income'!F80/'Avg Shares Outstanding'!F80,"")</f>
        <v>1.9467297520808731</v>
      </c>
      <c r="G80" s="52">
        <f>IFERROR('Net Income'!G80/'Avg Shares Outstanding'!G80,"")</f>
        <v>2.082001701930662</v>
      </c>
      <c r="H80" s="52">
        <f>IFERROR('Net Income'!H80/'Avg Shares Outstanding'!H80,"")</f>
        <v>2.1209809767734829</v>
      </c>
      <c r="I80" s="52">
        <f>IFERROR('Net Income'!I80/'Avg Shares Outstanding'!I80,"")</f>
        <v>2.2129209336765547</v>
      </c>
      <c r="J80" s="52">
        <f>IFERROR('Net Income'!J80/'Avg Shares Outstanding'!J80,"")</f>
        <v>2.2659726917774874</v>
      </c>
      <c r="K80" s="52">
        <f>IFERROR('Net Income'!K80/'Avg Shares Outstanding'!K80,"")</f>
        <v>2.7440087117028988</v>
      </c>
      <c r="L80" s="52">
        <f>IFERROR('Net Income'!L80/'Avg Shares Outstanding'!L80,"")</f>
        <v>2.0033117635947453</v>
      </c>
      <c r="M80" s="52">
        <f>IFERROR('Net Income'!M80/'Avg Shares Outstanding'!M80,"")</f>
        <v>2.435916123834025</v>
      </c>
      <c r="N80" s="52">
        <f>IFERROR('Net Income'!N80/'Avg Shares Outstanding'!N80,"")</f>
        <v>3.4200000098695109</v>
      </c>
    </row>
    <row r="81" spans="1:14" x14ac:dyDescent="0.3">
      <c r="A81" s="51" t="str">
        <f>'Net Income'!A81</f>
        <v>VOW3.DE</v>
      </c>
      <c r="B81" s="51" t="str">
        <f>'Net Income'!B81</f>
        <v>Volkswagen</v>
      </c>
      <c r="C81" s="51" t="str">
        <f>'Net Income'!C81</f>
        <v>Germany</v>
      </c>
      <c r="D81" s="51" t="str">
        <f>'Net Income'!D81</f>
        <v>DAX 40</v>
      </c>
      <c r="E81" s="52">
        <f>IFERROR('Net Income'!E81/'Avg Shares Outstanding'!E81,"")</f>
        <v>-2.7349151312447173</v>
      </c>
      <c r="F81" s="52">
        <f>IFERROR('Net Income'!F81/'Avg Shares Outstanding'!F81,"")</f>
        <v>10.710254806457247</v>
      </c>
      <c r="G81" s="52">
        <f>IFERROR('Net Income'!G81/'Avg Shares Outstanding'!G81,"")</f>
        <v>23.195910391038346</v>
      </c>
      <c r="H81" s="52">
        <f>IFERROR('Net Income'!H81/'Avg Shares Outstanding'!H81,"")</f>
        <v>24.209285217203419</v>
      </c>
      <c r="I81" s="52">
        <f>IFERROR('Net Income'!I81/'Avg Shares Outstanding'!I81,"")</f>
        <v>27.700241803402001</v>
      </c>
      <c r="J81" s="52">
        <f>IFERROR('Net Income'!J81/'Avg Shares Outstanding'!J81,"")</f>
        <v>17.688178314184469</v>
      </c>
      <c r="K81" s="52">
        <f>IFERROR('Net Income'!K81/'Avg Shares Outstanding'!K81,"")</f>
        <v>30.684510976518045</v>
      </c>
      <c r="L81" s="52">
        <f>IFERROR('Net Income'!L81/'Avg Shares Outstanding'!L81,"")</f>
        <v>30.834123401640841</v>
      </c>
      <c r="M81" s="52">
        <f>IFERROR('Net Income'!M81/'Avg Shares Outstanding'!M81,"")</f>
        <v>32.978568161734252</v>
      </c>
      <c r="N81" s="52">
        <f>IFERROR('Net Income'!N81/'Avg Shares Outstanding'!N81,"")</f>
        <v>22.643353713881048</v>
      </c>
    </row>
    <row r="82" spans="1:14" x14ac:dyDescent="0.3">
      <c r="A82" s="51" t="str">
        <f>'Net Income'!A82</f>
        <v>VNA.DE</v>
      </c>
      <c r="B82" s="51" t="str">
        <f>'Net Income'!B82</f>
        <v>Vonovia</v>
      </c>
      <c r="C82" s="51" t="str">
        <f>'Net Income'!C82</f>
        <v>Germany</v>
      </c>
      <c r="D82" s="51" t="str">
        <f>'Net Income'!D82</f>
        <v>DAX 40</v>
      </c>
      <c r="E82" s="52">
        <f>IFERROR('Net Income'!E82/'Avg Shares Outstanding'!E82,"")</f>
        <v>1.8908049263524123</v>
      </c>
      <c r="F82" s="52">
        <f>IFERROR('Net Income'!F82/'Avg Shares Outstanding'!F82,"")</f>
        <v>3.9818703454532884</v>
      </c>
      <c r="G82" s="52">
        <f>IFERROR('Net Income'!G82/'Avg Shares Outstanding'!G82,"")</f>
        <v>4.0774525513974273</v>
      </c>
      <c r="H82" s="52">
        <f>IFERROR('Net Income'!H82/'Avg Shares Outstanding'!H82,"")</f>
        <v>3.6155165436051844</v>
      </c>
      <c r="I82" s="52">
        <f>IFERROR('Net Income'!I82/'Avg Shares Outstanding'!I82,"")</f>
        <v>1.7663144469493952</v>
      </c>
      <c r="J82" s="52">
        <f>IFERROR('Net Income'!J82/'Avg Shares Outstanding'!J82,"")</f>
        <v>4.7111803635165792</v>
      </c>
      <c r="K82" s="52">
        <f>IFERROR('Net Income'!K82/'Avg Shares Outstanding'!K82,"")</f>
        <v>4.2784407858743085</v>
      </c>
      <c r="L82" s="52">
        <f>IFERROR('Net Income'!L82/'Avg Shares Outstanding'!L82,"")</f>
        <v>-0.85260536048452684</v>
      </c>
      <c r="M82" s="52">
        <f>IFERROR('Net Income'!M82/'Avg Shares Outstanding'!M82,"")</f>
        <v>-7.7954572627993528</v>
      </c>
      <c r="N82" s="52">
        <f>IFERROR('Net Income'!N82/'Avg Shares Outstanding'!N82,"")</f>
        <v>-1.0935438058545273</v>
      </c>
    </row>
    <row r="83" spans="1:14" x14ac:dyDescent="0.3">
      <c r="A83" s="51" t="str">
        <f>'Net Income'!A83</f>
        <v>ZAL.DE</v>
      </c>
      <c r="B83" s="51" t="str">
        <f>'Net Income'!B83</f>
        <v>Zalando</v>
      </c>
      <c r="C83" s="51" t="str">
        <f>'Net Income'!C83</f>
        <v>Germany</v>
      </c>
      <c r="D83" s="51" t="str">
        <f>'Net Income'!D83</f>
        <v>DAX 40</v>
      </c>
      <c r="E83" s="52">
        <f>IFERROR('Net Income'!E83/'Avg Shares Outstanding'!E83,"")</f>
        <v>0.49350121852152723</v>
      </c>
      <c r="F83" s="52">
        <f>IFERROR('Net Income'!F83/'Avg Shares Outstanding'!F83,"")</f>
        <v>0.48745954692556637</v>
      </c>
      <c r="G83" s="52">
        <f>IFERROR('Net Income'!G83/'Avg Shares Outstanding'!G83,"")</f>
        <v>0.41690254751314193</v>
      </c>
      <c r="H83" s="52">
        <f>IFERROR('Net Income'!H83/'Avg Shares Outstanding'!H83,"")</f>
        <v>0.20784472300849172</v>
      </c>
      <c r="I83" s="52">
        <f>IFERROR('Net Income'!I83/'Avg Shares Outstanding'!I83,"")</f>
        <v>0.40266558966074312</v>
      </c>
      <c r="J83" s="52">
        <f>IFERROR('Net Income'!J83/'Avg Shares Outstanding'!J83,"")</f>
        <v>0.9025948103792415</v>
      </c>
      <c r="K83" s="52">
        <f>IFERROR('Net Income'!K83/'Avg Shares Outstanding'!K83,"")</f>
        <v>0.91032608695652173</v>
      </c>
      <c r="L83" s="52">
        <f>IFERROR('Net Income'!L83/'Avg Shares Outstanding'!L83,"")</f>
        <v>6.5141527976508448E-2</v>
      </c>
      <c r="M83" s="52">
        <f>IFERROR('Net Income'!M83/'Avg Shares Outstanding'!M83,"")</f>
        <v>0.31959953792837892</v>
      </c>
      <c r="N83" s="52">
        <f>IFERROR('Net Income'!N83/'Avg Shares Outstanding'!N83,"")</f>
        <v>0.96912389038981084</v>
      </c>
    </row>
    <row r="84" spans="1:14" x14ac:dyDescent="0.3">
      <c r="A84" s="53" t="str">
        <f>'Net Income'!A84</f>
        <v>CAC 40</v>
      </c>
      <c r="B84" s="53">
        <f>'Net Income'!B84</f>
        <v>0</v>
      </c>
      <c r="C84" s="53">
        <f>'Net Income'!C84</f>
        <v>0</v>
      </c>
      <c r="D84" s="53">
        <f>'Net Income'!D84</f>
        <v>0</v>
      </c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x14ac:dyDescent="0.3">
      <c r="A85" s="51" t="str">
        <f>'Net Income'!A85</f>
        <v>MC.PA</v>
      </c>
      <c r="B85" s="51" t="str">
        <f>'Net Income'!B85</f>
        <v>LVMH</v>
      </c>
      <c r="C85" s="51" t="str">
        <f>'Net Income'!C85</f>
        <v>France</v>
      </c>
      <c r="D85" s="51" t="str">
        <f>'Net Income'!D85</f>
        <v>CAC 40</v>
      </c>
      <c r="E85" s="52">
        <f>IFERROR('Net Income'!E85/'Avg Shares Outstanding'!E85,"")</f>
        <v>7.1119268863024088</v>
      </c>
      <c r="F85" s="52">
        <f>IFERROR('Net Income'!F85/'Avg Shares Outstanding'!F85,"")</f>
        <v>8.0849275306844728</v>
      </c>
      <c r="G85" s="52">
        <f>IFERROR('Net Income'!G85/'Avg Shares Outstanding'!G85,"")</f>
        <v>10.678472228251461</v>
      </c>
      <c r="H85" s="52">
        <f>IFERROR('Net Income'!H85/'Avg Shares Outstanding'!H85,"")</f>
        <v>12.636591606485894</v>
      </c>
      <c r="I85" s="52">
        <f>IFERROR('Net Income'!I85/'Avg Shares Outstanding'!I85,"")</f>
        <v>14.250261065835947</v>
      </c>
      <c r="J85" s="52">
        <f>IFERROR('Net Income'!J85/'Avg Shares Outstanding'!J85,"")</f>
        <v>9.335305741944449</v>
      </c>
      <c r="K85" s="52">
        <f>IFERROR('Net Income'!K85/'Avg Shares Outstanding'!K85,"")</f>
        <v>23.898605674015059</v>
      </c>
      <c r="L85" s="52">
        <f>IFERROR('Net Income'!L85/'Avg Shares Outstanding'!L85,"")</f>
        <v>28.049033167312558</v>
      </c>
      <c r="M85" s="52">
        <f>IFERROR('Net Income'!M85/'Avg Shares Outstanding'!M85,"")</f>
        <v>30.344565844794214</v>
      </c>
      <c r="N85" s="52">
        <f>IFERROR('Net Income'!N85/'Avg Shares Outstanding'!N85,"")</f>
        <v>25.129502035389546</v>
      </c>
    </row>
    <row r="86" spans="1:14" x14ac:dyDescent="0.3">
      <c r="A86" s="51" t="str">
        <f>'Net Income'!A86</f>
        <v>SU.PA</v>
      </c>
      <c r="B86" s="51" t="str">
        <f>'Net Income'!B86</f>
        <v>Schneider Electric</v>
      </c>
      <c r="C86" s="51" t="str">
        <f>'Net Income'!C86</f>
        <v>France</v>
      </c>
      <c r="D86" s="51" t="str">
        <f>'Net Income'!D86</f>
        <v>CAC 40</v>
      </c>
      <c r="E86" s="52">
        <f>IFERROR('Net Income'!E86/'Avg Shares Outstanding'!E86,"")</f>
        <v>2.4756046492805437</v>
      </c>
      <c r="F86" s="52">
        <f>IFERROR('Net Income'!F86/'Avg Shares Outstanding'!F86,"")</f>
        <v>3.118195651631618</v>
      </c>
      <c r="G86" s="52">
        <f>IFERROR('Net Income'!G86/'Avg Shares Outstanding'!G86,"")</f>
        <v>3.8549049631453154</v>
      </c>
      <c r="H86" s="52">
        <f>IFERROR('Net Income'!H86/'Avg Shares Outstanding'!H86,"")</f>
        <v>4.2129507622661126</v>
      </c>
      <c r="I86" s="52">
        <f>IFERROR('Net Income'!I86/'Avg Shares Outstanding'!I86,"")</f>
        <v>4.3787778981503154</v>
      </c>
      <c r="J86" s="52">
        <f>IFERROR('Net Income'!J86/'Avg Shares Outstanding'!J86,"")</f>
        <v>3.8391597910312458</v>
      </c>
      <c r="K86" s="52">
        <f>IFERROR('Net Income'!K86/'Avg Shares Outstanding'!K86,"")</f>
        <v>5.7581159962043875</v>
      </c>
      <c r="L86" s="52">
        <f>IFERROR('Net Income'!L86/'Avg Shares Outstanding'!L86,"")</f>
        <v>6.2297425863913185</v>
      </c>
      <c r="M86" s="52">
        <f>IFERROR('Net Income'!M86/'Avg Shares Outstanding'!M86,"")</f>
        <v>7.0700000118333746</v>
      </c>
      <c r="N86" s="52">
        <f>IFERROR('Net Income'!N86/'Avg Shares Outstanding'!N86,"")</f>
        <v>7.6134799078321294</v>
      </c>
    </row>
    <row r="87" spans="1:14" x14ac:dyDescent="0.3">
      <c r="A87" s="51" t="str">
        <f>'Net Income'!A87</f>
        <v>AIR.PA</v>
      </c>
      <c r="B87" s="51" t="str">
        <f>'Net Income'!B87</f>
        <v>Airbus</v>
      </c>
      <c r="C87" s="51" t="str">
        <f>'Net Income'!C87</f>
        <v>France</v>
      </c>
      <c r="D87" s="51" t="str">
        <f>'Net Income'!D87</f>
        <v>CAC 40</v>
      </c>
      <c r="E87" s="52">
        <f>IFERROR('Net Income'!E87/'Avg Shares Outstanding'!E87,"")</f>
        <v>3.431679728856162</v>
      </c>
      <c r="F87" s="52">
        <f>IFERROR('Net Income'!F87/'Avg Shares Outstanding'!F87,"")</f>
        <v>1.2858639124576507</v>
      </c>
      <c r="G87" s="52">
        <f>IFERROR('Net Income'!G87/'Avg Shares Outstanding'!G87,"")</f>
        <v>3.0512836571998894</v>
      </c>
      <c r="H87" s="52">
        <f>IFERROR('Net Income'!H87/'Avg Shares Outstanding'!H87,"")</f>
        <v>3.9397914161158529</v>
      </c>
      <c r="I87" s="52">
        <f>IFERROR('Net Income'!I87/'Avg Shares Outstanding'!I87,"")</f>
        <v>-1.7051892336776371</v>
      </c>
      <c r="J87" s="52">
        <f>IFERROR('Net Income'!J87/'Avg Shares Outstanding'!J87,"")</f>
        <v>-1.4926360481353087</v>
      </c>
      <c r="K87" s="52">
        <f>IFERROR('Net Income'!K87/'Avg Shares Outstanding'!K87,"")</f>
        <v>5.3646506075385956</v>
      </c>
      <c r="L87" s="52">
        <f>IFERROR('Net Income'!L87/'Avg Shares Outstanding'!L87,"")</f>
        <v>5.395889713599451</v>
      </c>
      <c r="M87" s="52">
        <f>IFERROR('Net Income'!M87/'Avg Shares Outstanding'!M87,"")</f>
        <v>4.8039814607191929</v>
      </c>
      <c r="N87" s="52">
        <f>IFERROR('Net Income'!N87/'Avg Shares Outstanding'!N87,"")</f>
        <v>5.3572219455189236</v>
      </c>
    </row>
    <row r="88" spans="1:14" x14ac:dyDescent="0.3">
      <c r="A88" s="51" t="str">
        <f>'Net Income'!A88</f>
        <v>TTE.PA</v>
      </c>
      <c r="B88" s="51" t="str">
        <f>'Net Income'!B88</f>
        <v>TotalEnergies</v>
      </c>
      <c r="C88" s="51" t="str">
        <f>'Net Income'!C88</f>
        <v>France</v>
      </c>
      <c r="D88" s="51" t="str">
        <f>'Net Income'!D88</f>
        <v>CAC 40</v>
      </c>
      <c r="E88" s="52">
        <f>IFERROR('Net Income'!E88/'Avg Shares Outstanding'!E88,"")</f>
        <v>2.216521091585963</v>
      </c>
      <c r="F88" s="52">
        <f>IFERROR('Net Income'!F88/'Avg Shares Outstanding'!F88,"")</f>
        <v>2.6042562512410909</v>
      </c>
      <c r="G88" s="52">
        <f>IFERROR('Net Income'!G88/'Avg Shares Outstanding'!G88,"")</f>
        <v>3.4777140916857339</v>
      </c>
      <c r="H88" s="52">
        <f>IFERROR('Net Income'!H88/'Avg Shares Outstanding'!H88,"")</f>
        <v>4.3897177555454885</v>
      </c>
      <c r="I88" s="52">
        <f>IFERROR('Net Income'!I88/'Avg Shares Outstanding'!I88,"")</f>
        <v>4.3307601185685787</v>
      </c>
      <c r="J88" s="52">
        <f>IFERROR('Net Income'!J88/'Avg Shares Outstanding'!J88,"")</f>
        <v>-2.7832150468027339</v>
      </c>
      <c r="K88" s="52">
        <f>IFERROR('Net Income'!K88/'Avg Shares Outstanding'!K88,"")</f>
        <v>6.0925219110328204</v>
      </c>
      <c r="L88" s="52">
        <f>IFERROR('Net Income'!L88/'Avg Shares Outstanding'!L88,"")</f>
        <v>8.0345796250888615</v>
      </c>
      <c r="M88" s="52">
        <f>IFERROR('Net Income'!M88/'Avg Shares Outstanding'!M88,"")</f>
        <v>8.7855382087099425</v>
      </c>
      <c r="N88" s="52">
        <f>IFERROR('Net Income'!N88/'Avg Shares Outstanding'!N88,"")</f>
        <v>6.8572015411514773</v>
      </c>
    </row>
    <row r="89" spans="1:14" x14ac:dyDescent="0.3">
      <c r="A89" s="51" t="str">
        <f>'Net Income'!A89</f>
        <v>SAN.PA</v>
      </c>
      <c r="B89" s="51" t="str">
        <f>'Net Income'!B89</f>
        <v>Sanofi</v>
      </c>
      <c r="C89" s="51" t="str">
        <f>'Net Income'!C89</f>
        <v>France</v>
      </c>
      <c r="D89" s="51" t="str">
        <f>'Net Income'!D89</f>
        <v>CAC 40</v>
      </c>
      <c r="E89" s="52">
        <f>IFERROR('Net Income'!E89/'Avg Shares Outstanding'!E89,"")</f>
        <v>3.2461074601862951</v>
      </c>
      <c r="F89" s="52">
        <f>IFERROR('Net Income'!F89/'Avg Shares Outstanding'!F89,"")</f>
        <v>3.6600341986631433</v>
      </c>
      <c r="G89" s="52">
        <f>IFERROR('Net Income'!G89/'Avg Shares Outstanding'!G89,"")</f>
        <v>3.0755685144563829</v>
      </c>
      <c r="H89" s="52">
        <f>IFERROR('Net Income'!H89/'Avg Shares Outstanding'!H89,"")</f>
        <v>3.4528105204073452</v>
      </c>
      <c r="I89" s="52">
        <f>IFERROR('Net Income'!I89/'Avg Shares Outstanding'!I89,"")</f>
        <v>2.2449795983678693</v>
      </c>
      <c r="J89" s="52">
        <f>IFERROR('Net Income'!J89/'Avg Shares Outstanding'!J89,"")</f>
        <v>9.8069559668155719</v>
      </c>
      <c r="K89" s="52">
        <f>IFERROR('Net Income'!K89/'Avg Shares Outstanding'!K89,"")</f>
        <v>4.9684630738522957</v>
      </c>
      <c r="L89" s="52">
        <f>IFERROR('Net Income'!L89/'Avg Shares Outstanding'!L89,"")</f>
        <v>6.686636312804537</v>
      </c>
      <c r="M89" s="52">
        <f>IFERROR('Net Income'!M89/'Avg Shares Outstanding'!M89,"")</f>
        <v>4.3141327794199889</v>
      </c>
      <c r="N89" s="52">
        <f>IFERROR('Net Income'!N89/'Avg Shares Outstanding'!N89,"")</f>
        <v>4.4430238133290718</v>
      </c>
    </row>
    <row r="90" spans="1:14" x14ac:dyDescent="0.3">
      <c r="A90" s="51" t="str">
        <f>'Net Income'!A90</f>
        <v>SAF.PA</v>
      </c>
      <c r="B90" s="51" t="str">
        <f>'Net Income'!B90</f>
        <v>Safran</v>
      </c>
      <c r="C90" s="51" t="str">
        <f>'Net Income'!C90</f>
        <v>France</v>
      </c>
      <c r="D90" s="51" t="str">
        <f>'Net Income'!D90</f>
        <v>CAC 40</v>
      </c>
      <c r="E90" s="52">
        <f>IFERROR('Net Income'!E90/'Avg Shares Outstanding'!E90,"")</f>
        <v>-1.0806186048750825</v>
      </c>
      <c r="F90" s="52">
        <f>IFERROR('Net Income'!F90/'Avg Shares Outstanding'!F90,"")</f>
        <v>4.5829567266224851</v>
      </c>
      <c r="G90" s="52">
        <f>IFERROR('Net Income'!G90/'Avg Shares Outstanding'!G90,"")</f>
        <v>11.091040444727028</v>
      </c>
      <c r="H90" s="52">
        <f>IFERROR('Net Income'!H90/'Avg Shares Outstanding'!H90,"")</f>
        <v>2.9774073725201453</v>
      </c>
      <c r="I90" s="52">
        <f>IFERROR('Net Income'!I90/'Avg Shares Outstanding'!I90,"")</f>
        <v>5.6943609760187774</v>
      </c>
      <c r="J90" s="52">
        <f>IFERROR('Net Income'!J90/'Avg Shares Outstanding'!J90,"")</f>
        <v>0.82622177803621411</v>
      </c>
      <c r="K90" s="52">
        <f>IFERROR('Net Income'!K90/'Avg Shares Outstanding'!K90,"")</f>
        <v>0.10078508652604765</v>
      </c>
      <c r="L90" s="52">
        <f>IFERROR('Net Income'!L90/'Avg Shares Outstanding'!L90,"")</f>
        <v>-5.7630922791046517</v>
      </c>
      <c r="M90" s="52">
        <f>IFERROR('Net Income'!M90/'Avg Shares Outstanding'!M90,"")</f>
        <v>8.2432674979652489</v>
      </c>
      <c r="N90" s="52">
        <f>IFERROR('Net Income'!N90/'Avg Shares Outstanding'!N90,"")</f>
        <v>-1.6027892666369226</v>
      </c>
    </row>
    <row r="91" spans="1:14" x14ac:dyDescent="0.3">
      <c r="A91" s="51" t="str">
        <f>'Net Income'!A91</f>
        <v>AI.PA</v>
      </c>
      <c r="B91" s="51" t="str">
        <f>'Net Income'!B91</f>
        <v>Air Liquide</v>
      </c>
      <c r="C91" s="51" t="str">
        <f>'Net Income'!C91</f>
        <v>France</v>
      </c>
      <c r="D91" s="51" t="str">
        <f>'Net Income'!D91</f>
        <v>CAC 40</v>
      </c>
      <c r="E91" s="52">
        <f>IFERROR('Net Income'!E91/'Avg Shares Outstanding'!E91,"")</f>
        <v>3.4084328190847057</v>
      </c>
      <c r="F91" s="52">
        <f>IFERROR('Net Income'!F91/'Avg Shares Outstanding'!F91,"")</f>
        <v>3.4912546853291069</v>
      </c>
      <c r="G91" s="52">
        <f>IFERROR('Net Income'!G91/'Avg Shares Outstanding'!G91,"")</f>
        <v>3.8756017948342536</v>
      </c>
      <c r="H91" s="52">
        <f>IFERROR('Net Income'!H91/'Avg Shares Outstanding'!H91,"")</f>
        <v>3.7117501938376973</v>
      </c>
      <c r="I91" s="52">
        <f>IFERROR('Net Income'!I91/'Avg Shares Outstanding'!I91,"")</f>
        <v>3.9312828386422032</v>
      </c>
      <c r="J91" s="52">
        <f>IFERROR('Net Income'!J91/'Avg Shares Outstanding'!J91,"")</f>
        <v>4.2673128985829676</v>
      </c>
      <c r="K91" s="52">
        <f>IFERROR('Net Income'!K91/'Avg Shares Outstanding'!K91,"")</f>
        <v>4.4896991487719271</v>
      </c>
      <c r="L91" s="52">
        <f>IFERROR('Net Income'!L91/'Avg Shares Outstanding'!L91,"")</f>
        <v>4.803962468724551</v>
      </c>
      <c r="M91" s="52">
        <f>IFERROR('Net Income'!M91/'Avg Shares Outstanding'!M91,"")</f>
        <v>5.3593714512446589</v>
      </c>
      <c r="N91" s="52">
        <f>IFERROR('Net Income'!N91/'Avg Shares Outstanding'!N91,"")</f>
        <v>5.7352010043188537</v>
      </c>
    </row>
    <row r="92" spans="1:14" x14ac:dyDescent="0.3">
      <c r="A92" s="51" t="str">
        <f>'Net Income'!A92</f>
        <v>OR.PA</v>
      </c>
      <c r="B92" s="51" t="str">
        <f>'Net Income'!B92</f>
        <v>L'Oreal</v>
      </c>
      <c r="C92" s="51" t="str">
        <f>'Net Income'!C92</f>
        <v>France</v>
      </c>
      <c r="D92" s="51" t="str">
        <f>'Net Income'!D92</f>
        <v>CAC 40</v>
      </c>
      <c r="E92" s="52">
        <f>IFERROR('Net Income'!E92/'Avg Shares Outstanding'!E92,"")</f>
        <v>5.9161975196552721</v>
      </c>
      <c r="F92" s="52">
        <f>IFERROR('Net Income'!F92/'Avg Shares Outstanding'!F92,"")</f>
        <v>5.554101677711567</v>
      </c>
      <c r="G92" s="52">
        <f>IFERROR('Net Income'!G92/'Avg Shares Outstanding'!G92,"")</f>
        <v>6.4041211368892537</v>
      </c>
      <c r="H92" s="52">
        <f>IFERROR('Net Income'!H92/'Avg Shares Outstanding'!H92,"")</f>
        <v>6.961003946246282</v>
      </c>
      <c r="I92" s="52">
        <f>IFERROR('Net Income'!I92/'Avg Shares Outstanding'!I92,"")</f>
        <v>6.6995424469771141</v>
      </c>
      <c r="J92" s="52">
        <f>IFERROR('Net Income'!J92/'Avg Shares Outstanding'!J92,"")</f>
        <v>6.3734422720610198</v>
      </c>
      <c r="K92" s="52">
        <f>IFERROR('Net Income'!K92/'Avg Shares Outstanding'!K92,"")</f>
        <v>8.2444301387872372</v>
      </c>
      <c r="L92" s="52">
        <f>IFERROR('Net Income'!L92/'Avg Shares Outstanding'!L92,"")</f>
        <v>10.648655141808547</v>
      </c>
      <c r="M92" s="52">
        <f>IFERROR('Net Income'!M92/'Avg Shares Outstanding'!M92,"")</f>
        <v>11.549624966737632</v>
      </c>
      <c r="N92" s="52">
        <f>IFERROR('Net Income'!N92/'Avg Shares Outstanding'!N92,"")</f>
        <v>11.990469344000312</v>
      </c>
    </row>
    <row r="93" spans="1:14" x14ac:dyDescent="0.3">
      <c r="A93" s="51" t="str">
        <f>'Net Income'!A93</f>
        <v>EL.PA</v>
      </c>
      <c r="B93" s="51" t="str">
        <f>'Net Income'!B93</f>
        <v>EssilorLuxottica</v>
      </c>
      <c r="C93" s="51" t="str">
        <f>'Net Income'!C93</f>
        <v>France</v>
      </c>
      <c r="D93" s="51" t="str">
        <f>'Net Income'!D93</f>
        <v>CAC 40</v>
      </c>
      <c r="E93" s="52">
        <f>IFERROR('Net Income'!E93/'Avg Shares Outstanding'!E93,"")</f>
        <v>3.5669382276789583</v>
      </c>
      <c r="F93" s="52">
        <f>IFERROR('Net Income'!F93/'Avg Shares Outstanding'!F93,"")</f>
        <v>3.788190711051644</v>
      </c>
      <c r="G93" s="52">
        <f>IFERROR('Net Income'!G93/'Avg Shares Outstanding'!G93,"")</f>
        <v>3.5776944112001261</v>
      </c>
      <c r="H93" s="52">
        <f>IFERROR('Net Income'!H93/'Avg Shares Outstanding'!H93,"")</f>
        <v>4.1542048353095415</v>
      </c>
      <c r="I93" s="52">
        <f>IFERROR('Net Income'!I93/'Avg Shares Outstanding'!I93,"")</f>
        <v>2.4810823117785996</v>
      </c>
      <c r="J93" s="52">
        <f>IFERROR('Net Income'!J93/'Avg Shares Outstanding'!J93,"")</f>
        <v>0.19501280627303247</v>
      </c>
      <c r="K93" s="52">
        <f>IFERROR('Net Income'!K93/'Avg Shares Outstanding'!K93,"")</f>
        <v>3.2997889429468863</v>
      </c>
      <c r="L93" s="52">
        <f>IFERROR('Net Income'!L93/'Avg Shares Outstanding'!L93,"")</f>
        <v>4.8682295363530317</v>
      </c>
      <c r="M93" s="52">
        <f>IFERROR('Net Income'!M93/'Avg Shares Outstanding'!M93,"")</f>
        <v>5.1086116274625253</v>
      </c>
      <c r="N93" s="52">
        <f>IFERROR('Net Income'!N93/'Avg Shares Outstanding'!N93,"")</f>
        <v>5.1968735987345767</v>
      </c>
    </row>
    <row r="94" spans="1:14" x14ac:dyDescent="0.3">
      <c r="A94" s="51" t="str">
        <f>'Net Income'!A94</f>
        <v>BNP.PA</v>
      </c>
      <c r="B94" s="51" t="str">
        <f>'Net Income'!B94</f>
        <v>BNP Paribas</v>
      </c>
      <c r="C94" s="51" t="str">
        <f>'Net Income'!C94</f>
        <v>France</v>
      </c>
      <c r="D94" s="51" t="str">
        <f>'Net Income'!D94</f>
        <v>CAC 40</v>
      </c>
      <c r="E94" s="52">
        <f>IFERROR('Net Income'!E94/'Avg Shares Outstanding'!E94,"")</f>
        <v>5.3854044544820248</v>
      </c>
      <c r="F94" s="52">
        <f>IFERROR('Net Income'!F94/'Avg Shares Outstanding'!F94,"")</f>
        <v>6.1889800626507192</v>
      </c>
      <c r="G94" s="52">
        <f>IFERROR('Net Income'!G94/'Avg Shares Outstanding'!G94,"")</f>
        <v>6.2251942626668066</v>
      </c>
      <c r="H94" s="52">
        <f>IFERROR('Net Income'!H94/'Avg Shares Outstanding'!H94,"")</f>
        <v>6.0288325657111184</v>
      </c>
      <c r="I94" s="52">
        <f>IFERROR('Net Income'!I94/'Avg Shares Outstanding'!I94,"")</f>
        <v>6.5489106768103111</v>
      </c>
      <c r="J94" s="52">
        <f>IFERROR('Net Income'!J94/'Avg Shares Outstanding'!J94,"")</f>
        <v>5.6634693111371774</v>
      </c>
      <c r="K94" s="52">
        <f>IFERROR('Net Income'!K94/'Avg Shares Outstanding'!K94,"")</f>
        <v>7.6085710694234123</v>
      </c>
      <c r="L94" s="52">
        <f>IFERROR('Net Income'!L94/'Avg Shares Outstanding'!L94,"")</f>
        <v>7.9870778877086064</v>
      </c>
      <c r="M94" s="52">
        <f>IFERROR('Net Income'!M94/'Avg Shares Outstanding'!M94,"")</f>
        <v>6.1199990021083721</v>
      </c>
      <c r="N94" s="52">
        <f>IFERROR('Net Income'!N94/'Avg Shares Outstanding'!N94,"")</f>
        <v>10.313226306844953</v>
      </c>
    </row>
    <row r="95" spans="1:14" x14ac:dyDescent="0.3">
      <c r="A95" s="51" t="str">
        <f>'Net Income'!A95</f>
        <v>CS.PA</v>
      </c>
      <c r="B95" s="51" t="str">
        <f>'Net Income'!B95</f>
        <v>AXA</v>
      </c>
      <c r="C95" s="51" t="str">
        <f>'Net Income'!C95</f>
        <v>France</v>
      </c>
      <c r="D95" s="51" t="str">
        <f>'Net Income'!D95</f>
        <v>CAC 40</v>
      </c>
      <c r="E95" s="52">
        <f>IFERROR('Net Income'!E95/'Avg Shares Outstanding'!E95,"")</f>
        <v>2.3124742692466036</v>
      </c>
      <c r="F95" s="52">
        <f>IFERROR('Net Income'!F95/'Avg Shares Outstanding'!F95,"")</f>
        <v>2.4126655629139071</v>
      </c>
      <c r="G95" s="52">
        <f>IFERROR('Net Income'!G95/'Avg Shares Outstanding'!G95,"")</f>
        <v>2.5924843423799584</v>
      </c>
      <c r="H95" s="52">
        <f>IFERROR('Net Income'!H95/'Avg Shares Outstanding'!H95,"")</f>
        <v>0.89802769618128409</v>
      </c>
      <c r="I95" s="52">
        <f>IFERROR('Net Income'!I95/'Avg Shares Outstanding'!I95,"")</f>
        <v>1.6185480486781367</v>
      </c>
      <c r="J95" s="52">
        <f>IFERROR('Net Income'!J95/'Avg Shares Outstanding'!J95,"")</f>
        <v>1.3288534229315414</v>
      </c>
      <c r="K95" s="52">
        <f>IFERROR('Net Income'!K95/'Avg Shares Outstanding'!K95,"")</f>
        <v>3.0647058823529414</v>
      </c>
      <c r="L95" s="52">
        <f>IFERROR('Net Income'!L95/'Avg Shares Outstanding'!L95,"")</f>
        <v>2.9148471615720526</v>
      </c>
      <c r="M95" s="52">
        <f>IFERROR('Net Income'!M95/'Avg Shares Outstanding'!M95,"")</f>
        <v>3.2292636324962256</v>
      </c>
      <c r="N95" s="52">
        <f>IFERROR('Net Income'!N95/'Avg Shares Outstanding'!N95,"")</f>
        <v>3.5000000002219123</v>
      </c>
    </row>
    <row r="96" spans="1:14" x14ac:dyDescent="0.3">
      <c r="A96" s="51" t="str">
        <f>'Net Income'!A96</f>
        <v>RMS.PA</v>
      </c>
      <c r="B96" s="51" t="str">
        <f>'Net Income'!B96</f>
        <v>Hermes</v>
      </c>
      <c r="C96" s="51" t="str">
        <f>'Net Income'!C96</f>
        <v>France</v>
      </c>
      <c r="D96" s="51" t="str">
        <f>'Net Income'!D96</f>
        <v>CAC 40</v>
      </c>
      <c r="E96" s="52">
        <f>IFERROR('Net Income'!E96/'Avg Shares Outstanding'!E96,"")</f>
        <v>9.3164592581063825</v>
      </c>
      <c r="F96" s="52">
        <f>IFERROR('Net Income'!F96/'Avg Shares Outstanding'!F96,"")</f>
        <v>10.527282625439035</v>
      </c>
      <c r="G96" s="52">
        <f>IFERROR('Net Income'!G96/'Avg Shares Outstanding'!G96,"")</f>
        <v>11.696185851292022</v>
      </c>
      <c r="H96" s="52">
        <f>IFERROR('Net Income'!H96/'Avg Shares Outstanding'!H96,"")</f>
        <v>13.484979531758336</v>
      </c>
      <c r="I96" s="52">
        <f>IFERROR('Net Income'!I96/'Avg Shares Outstanding'!I96,"")</f>
        <v>14.661350857264496</v>
      </c>
      <c r="J96" s="52">
        <f>IFERROR('Net Income'!J96/'Avg Shares Outstanding'!J96,"")</f>
        <v>13.262374427338333</v>
      </c>
      <c r="K96" s="52">
        <f>IFERROR('Net Income'!K96/'Avg Shares Outstanding'!K96,"")</f>
        <v>23.369548646559043</v>
      </c>
      <c r="L96" s="52">
        <f>IFERROR('Net Income'!L96/'Avg Shares Outstanding'!L96,"")</f>
        <v>32.20015039679393</v>
      </c>
      <c r="M96" s="52">
        <f>IFERROR('Net Income'!M96/'Avg Shares Outstanding'!M96,"")</f>
        <v>41.195213913100112</v>
      </c>
      <c r="N96" s="52">
        <f>IFERROR('Net Income'!N96/'Avg Shares Outstanding'!N96,"")</f>
        <v>43.930000145447146</v>
      </c>
    </row>
    <row r="97" spans="1:14" x14ac:dyDescent="0.3">
      <c r="A97" s="51" t="str">
        <f>'Net Income'!A97</f>
        <v>DG.PA</v>
      </c>
      <c r="B97" s="51" t="str">
        <f>'Net Income'!B97</f>
        <v>Vinci</v>
      </c>
      <c r="C97" s="51" t="str">
        <f>'Net Income'!C97</f>
        <v>France</v>
      </c>
      <c r="D97" s="51" t="str">
        <f>'Net Income'!D97</f>
        <v>CAC 40</v>
      </c>
      <c r="E97" s="52">
        <f>IFERROR('Net Income'!E97/'Avg Shares Outstanding'!E97,"")</f>
        <v>3.6932754054458243</v>
      </c>
      <c r="F97" s="52">
        <f>IFERROR('Net Income'!F97/'Avg Shares Outstanding'!F97,"")</f>
        <v>4.5153456211010941</v>
      </c>
      <c r="G97" s="52">
        <f>IFERROR('Net Income'!G97/'Avg Shares Outstanding'!G97,"")</f>
        <v>4.9532665968262686</v>
      </c>
      <c r="H97" s="52">
        <f>IFERROR('Net Income'!H97/'Avg Shares Outstanding'!H97,"")</f>
        <v>5.3769401896914202</v>
      </c>
      <c r="I97" s="52">
        <f>IFERROR('Net Income'!I97/'Avg Shares Outstanding'!I97,"")</f>
        <v>5.8787204498971057</v>
      </c>
      <c r="J97" s="52">
        <f>IFERROR('Net Income'!J97/'Avg Shares Outstanding'!J97,"")</f>
        <v>2.2275948589793813</v>
      </c>
      <c r="K97" s="52">
        <f>IFERROR('Net Income'!K97/'Avg Shares Outstanding'!K97,"")</f>
        <v>4.5600579846929614</v>
      </c>
      <c r="L97" s="52">
        <f>IFERROR('Net Income'!L97/'Avg Shares Outstanding'!L97,"")</f>
        <v>7.5467961742488718</v>
      </c>
      <c r="M97" s="52">
        <f>IFERROR('Net Income'!M97/'Avg Shares Outstanding'!M97,"")</f>
        <v>8.2751383757745298</v>
      </c>
      <c r="N97" s="52">
        <f>IFERROR('Net Income'!N97/'Avg Shares Outstanding'!N97,"")</f>
        <v>8.5294540658292153</v>
      </c>
    </row>
    <row r="98" spans="1:14" x14ac:dyDescent="0.3">
      <c r="A98" s="51" t="str">
        <f>'Net Income'!A98</f>
        <v>BN.PA</v>
      </c>
      <c r="B98" s="51" t="str">
        <f>'Net Income'!B98</f>
        <v>Danone</v>
      </c>
      <c r="C98" s="51" t="str">
        <f>'Net Income'!C98</f>
        <v>France</v>
      </c>
      <c r="D98" s="51" t="str">
        <f>'Net Income'!D98</f>
        <v>CAC 40</v>
      </c>
      <c r="E98" s="52">
        <f>IFERROR('Net Income'!E98/'Avg Shares Outstanding'!E98,"")</f>
        <v>2.1028544252587444</v>
      </c>
      <c r="F98" s="52">
        <f>IFERROR('Net Income'!F98/'Avg Shares Outstanding'!F98,"")</f>
        <v>2.7902055434275614</v>
      </c>
      <c r="G98" s="52">
        <f>IFERROR('Net Income'!G98/'Avg Shares Outstanding'!G98,"")</f>
        <v>3.9061829534459824</v>
      </c>
      <c r="H98" s="52">
        <f>IFERROR('Net Income'!H98/'Avg Shares Outstanding'!H98,"")</f>
        <v>3.6329911795206167</v>
      </c>
      <c r="I98" s="52">
        <f>IFERROR('Net Income'!I98/'Avg Shares Outstanding'!I98,"")</f>
        <v>2.9541047372481724</v>
      </c>
      <c r="J98" s="52">
        <f>IFERROR('Net Income'!J98/'Avg Shares Outstanding'!J98,"")</f>
        <v>3.0123284067780274</v>
      </c>
      <c r="K98" s="52">
        <f>IFERROR('Net Income'!K98/'Avg Shares Outstanding'!K98,"")</f>
        <v>2.977610509320912</v>
      </c>
      <c r="L98" s="52">
        <f>IFERROR('Net Income'!L98/'Avg Shares Outstanding'!L98,"")</f>
        <v>1.5006631217519397</v>
      </c>
      <c r="M98" s="52">
        <f>IFERROR('Net Income'!M98/'Avg Shares Outstanding'!M98,"")</f>
        <v>1.3743489006483305</v>
      </c>
      <c r="N98" s="52">
        <f>IFERROR('Net Income'!N98/'Avg Shares Outstanding'!N98,"")</f>
        <v>3.1416921047346689</v>
      </c>
    </row>
    <row r="99" spans="1:14" x14ac:dyDescent="0.3">
      <c r="A99" s="51" t="str">
        <f>'Net Income'!A99</f>
        <v>GLE.PA</v>
      </c>
      <c r="B99" s="51" t="str">
        <f>'Net Income'!B99</f>
        <v>Societe Generale</v>
      </c>
      <c r="C99" s="51" t="str">
        <f>'Net Income'!C99</f>
        <v>France</v>
      </c>
      <c r="D99" s="51" t="str">
        <f>'Net Income'!D99</f>
        <v>CAC 40</v>
      </c>
      <c r="E99" s="52">
        <f>IFERROR('Net Income'!E99/'Avg Shares Outstanding'!E99,"")</f>
        <v>5.0485592790991483</v>
      </c>
      <c r="F99" s="52">
        <f>IFERROR('Net Income'!F99/'Avg Shares Outstanding'!F99,"")</f>
        <v>4.8499701119026941</v>
      </c>
      <c r="G99" s="52">
        <f>IFERROR('Net Income'!G99/'Avg Shares Outstanding'!G99,"")</f>
        <v>3.5048882799248897</v>
      </c>
      <c r="H99" s="52">
        <f>IFERROR('Net Income'!H99/'Avg Shares Outstanding'!H99,"")</f>
        <v>5.1389840608604453</v>
      </c>
      <c r="I99" s="52">
        <f>IFERROR('Net Income'!I99/'Avg Shares Outstanding'!I99,"")</f>
        <v>3.9137164102171256</v>
      </c>
      <c r="J99" s="52">
        <f>IFERROR('Net Income'!J99/'Avg Shares Outstanding'!J99,"")</f>
        <v>-0.30339210934556426</v>
      </c>
      <c r="K99" s="52">
        <f>IFERROR('Net Income'!K99/'Avg Shares Outstanding'!K99,"")</f>
        <v>6.6657883723386728</v>
      </c>
      <c r="L99" s="52">
        <f>IFERROR('Net Income'!L99/'Avg Shares Outstanding'!L99,"")</f>
        <v>2.2190138052144208</v>
      </c>
      <c r="M99" s="52">
        <f>IFERROR('Net Income'!M99/'Avg Shares Outstanding'!M99,"")</f>
        <v>3.1189203026035779</v>
      </c>
      <c r="N99" s="52">
        <f>IFERROR('Net Income'!N99/'Avg Shares Outstanding'!N99,"")</f>
        <v>5.2818960497705518</v>
      </c>
    </row>
    <row r="100" spans="1:14" x14ac:dyDescent="0.3">
      <c r="A100" s="51" t="str">
        <f>'Net Income'!A100</f>
        <v>ENGI.PA</v>
      </c>
      <c r="B100" s="51" t="str">
        <f>'Net Income'!B100</f>
        <v>Engie</v>
      </c>
      <c r="C100" s="51" t="str">
        <f>'Net Income'!C100</f>
        <v>France</v>
      </c>
      <c r="D100" s="51" t="str">
        <f>'Net Income'!D100</f>
        <v>CAC 40</v>
      </c>
      <c r="E100" s="52">
        <f>IFERROR('Net Income'!E100/'Avg Shares Outstanding'!E100,"")</f>
        <v>-1.9908026755852843</v>
      </c>
      <c r="F100" s="52">
        <f>IFERROR('Net Income'!F100/'Avg Shares Outstanding'!F100,"")</f>
        <v>-0.18781302170283806</v>
      </c>
      <c r="G100" s="52">
        <f>IFERROR('Net Income'!G100/'Avg Shares Outstanding'!G100,"")</f>
        <v>0.37687813021702837</v>
      </c>
      <c r="H100" s="52">
        <f>IFERROR('Net Income'!H100/'Avg Shares Outstanding'!H100,"")</f>
        <v>-6.5517433680820719E-2</v>
      </c>
      <c r="I100" s="52">
        <f>IFERROR('Net Income'!I100/'Avg Shares Outstanding'!I100,"")</f>
        <v>0.40779113137173645</v>
      </c>
      <c r="J100" s="52">
        <f>IFERROR('Net Income'!J100/'Avg Shares Outstanding'!J100,"")</f>
        <v>-0.71316225165562919</v>
      </c>
      <c r="K100" s="52">
        <f>IFERROR('Net Income'!K100/'Avg Shares Outstanding'!K100,"")</f>
        <v>1.5134353038445638</v>
      </c>
      <c r="L100" s="52">
        <f>IFERROR('Net Income'!L100/'Avg Shares Outstanding'!L100,"")</f>
        <v>5.7851239669421489E-2</v>
      </c>
      <c r="M100" s="52">
        <f>IFERROR('Net Income'!M100/'Avg Shares Outstanding'!M100,"")</f>
        <v>0.91185047166729349</v>
      </c>
      <c r="N100" s="52">
        <f>IFERROR('Net Income'!N100/'Avg Shares Outstanding'!N100,"")</f>
        <v>1.6931958762886599</v>
      </c>
    </row>
    <row r="101" spans="1:14" x14ac:dyDescent="0.3">
      <c r="A101" s="51" t="str">
        <f>'Net Income'!A101</f>
        <v>SGO.PA</v>
      </c>
      <c r="B101" s="51" t="str">
        <f>'Net Income'!B101</f>
        <v>Saint-Gobain</v>
      </c>
      <c r="C101" s="51" t="str">
        <f>'Net Income'!C101</f>
        <v>France</v>
      </c>
      <c r="D101" s="51" t="str">
        <f>'Net Income'!D101</f>
        <v>CAC 40</v>
      </c>
      <c r="E101" s="52">
        <f>IFERROR('Net Income'!E101/'Avg Shares Outstanding'!E101,"")</f>
        <v>0.66547902030413497</v>
      </c>
      <c r="F101" s="52">
        <f>IFERROR('Net Income'!F101/'Avg Shares Outstanding'!F101,"")</f>
        <v>2.3637623440884852</v>
      </c>
      <c r="G101" s="52">
        <f>IFERROR('Net Income'!G101/'Avg Shares Outstanding'!G101,"")</f>
        <v>2.829862200745596</v>
      </c>
      <c r="H101" s="52">
        <f>IFERROR('Net Income'!H101/'Avg Shares Outstanding'!H101,"")</f>
        <v>0.72563636824407984</v>
      </c>
      <c r="I101" s="52">
        <f>IFERROR('Net Income'!I101/'Avg Shares Outstanding'!I101,"")</f>
        <v>2.5937142007831908</v>
      </c>
      <c r="J101" s="52">
        <f>IFERROR('Net Income'!J101/'Avg Shares Outstanding'!J101,"")</f>
        <v>0.85002914378978356</v>
      </c>
      <c r="K101" s="52">
        <f>IFERROR('Net Income'!K101/'Avg Shares Outstanding'!K101,"")</f>
        <v>4.7905488252261206</v>
      </c>
      <c r="L101" s="52">
        <f>IFERROR('Net Income'!L101/'Avg Shares Outstanding'!L101,"")</f>
        <v>5.8381824610022388</v>
      </c>
      <c r="M101" s="52">
        <f>IFERROR('Net Income'!M101/'Avg Shares Outstanding'!M101,"")</f>
        <v>5.2613640031573548</v>
      </c>
      <c r="N101" s="52">
        <f>IFERROR('Net Income'!N101/'Avg Shares Outstanding'!N101,"")</f>
        <v>5.6912427790756333</v>
      </c>
    </row>
    <row r="102" spans="1:14" x14ac:dyDescent="0.3">
      <c r="A102" s="51" t="str">
        <f>'Net Income'!A102</f>
        <v>LR.PA</v>
      </c>
      <c r="B102" s="51" t="str">
        <f>'Net Income'!B102</f>
        <v>Legrand</v>
      </c>
      <c r="C102" s="51" t="str">
        <f>'Net Income'!C102</f>
        <v>France</v>
      </c>
      <c r="D102" s="51" t="str">
        <f>'Net Income'!D102</f>
        <v>CAC 40</v>
      </c>
      <c r="E102" s="52">
        <f>IFERROR('Net Income'!E102/'Avg Shares Outstanding'!E102,"")</f>
        <v>2.0670051672313607</v>
      </c>
      <c r="F102" s="52">
        <f>IFERROR('Net Income'!F102/'Avg Shares Outstanding'!F102,"")</f>
        <v>2.3592753355736953</v>
      </c>
      <c r="G102" s="52">
        <f>IFERROR('Net Income'!G102/'Avg Shares Outstanding'!G102,"")</f>
        <v>2.6693392086820484</v>
      </c>
      <c r="H102" s="52">
        <f>IFERROR('Net Income'!H102/'Avg Shares Outstanding'!H102,"")</f>
        <v>2.8915740805279664</v>
      </c>
      <c r="I102" s="52">
        <f>IFERROR('Net Income'!I102/'Avg Shares Outstanding'!I102,"")</f>
        <v>3.1285371127980452</v>
      </c>
      <c r="J102" s="52">
        <f>IFERROR('Net Income'!J102/'Avg Shares Outstanding'!J102,"")</f>
        <v>2.5496640458301139</v>
      </c>
      <c r="K102" s="52">
        <f>IFERROR('Net Income'!K102/'Avg Shares Outstanding'!K102,"")</f>
        <v>3.3889561513735544</v>
      </c>
      <c r="L102" s="52">
        <f>IFERROR('Net Income'!L102/'Avg Shares Outstanding'!L102,"")</f>
        <v>3.7489439474329567</v>
      </c>
      <c r="M102" s="52">
        <f>IFERROR('Net Income'!M102/'Avg Shares Outstanding'!M102,"")</f>
        <v>4.332603870216766</v>
      </c>
      <c r="N102" s="52">
        <f>IFERROR('Net Income'!N102/'Avg Shares Outstanding'!N102,"")</f>
        <v>4.4523146791578219</v>
      </c>
    </row>
    <row r="103" spans="1:14" x14ac:dyDescent="0.3">
      <c r="A103" s="51" t="str">
        <f>'Net Income'!A103</f>
        <v>ORA.PA</v>
      </c>
      <c r="B103" s="51" t="str">
        <f>'Net Income'!B103</f>
        <v>Orange</v>
      </c>
      <c r="C103" s="51" t="str">
        <f>'Net Income'!C103</f>
        <v>France</v>
      </c>
      <c r="D103" s="51" t="str">
        <f>'Net Income'!D103</f>
        <v>CAC 40</v>
      </c>
      <c r="E103" s="52">
        <f>IFERROR('Net Income'!E103/'Avg Shares Outstanding'!E103,"")</f>
        <v>1.0012757759830349</v>
      </c>
      <c r="F103" s="52">
        <f>IFERROR('Net Income'!F103/'Avg Shares Outstanding'!F103,"")</f>
        <v>1.0598915966310891</v>
      </c>
      <c r="G103" s="52">
        <f>IFERROR('Net Income'!G103/'Avg Shares Outstanding'!G103,"")</f>
        <v>0.69300778946358077</v>
      </c>
      <c r="H103" s="52">
        <f>IFERROR('Net Income'!H103/'Avg Shares Outstanding'!H103,"")</f>
        <v>0.73550339668266496</v>
      </c>
      <c r="I103" s="52">
        <f>IFERROR('Net Income'!I103/'Avg Shares Outstanding'!I103,"")</f>
        <v>1.1325025904564163</v>
      </c>
      <c r="J103" s="52">
        <f>IFERROR('Net Income'!J103/'Avg Shares Outstanding'!J103,"")</f>
        <v>1.8154282937912081</v>
      </c>
      <c r="K103" s="52">
        <f>IFERROR('Net Income'!K103/'Avg Shares Outstanding'!K103,"")</f>
        <v>8.7693495915147759E-2</v>
      </c>
      <c r="L103" s="52">
        <f>IFERROR('Net Income'!L103/'Avg Shares Outstanding'!L103,"")</f>
        <v>0.8072742348257278</v>
      </c>
      <c r="M103" s="52">
        <f>IFERROR('Net Income'!M103/'Avg Shares Outstanding'!M103,"")</f>
        <v>0.91757464011662138</v>
      </c>
      <c r="N103" s="52">
        <f>IFERROR('Net Income'!N103/'Avg Shares Outstanding'!N103,"")</f>
        <v>0.88392187484719431</v>
      </c>
    </row>
    <row r="104" spans="1:14" x14ac:dyDescent="0.3">
      <c r="A104" s="51" t="str">
        <f>'Net Income'!A104</f>
        <v>KER.PA</v>
      </c>
      <c r="B104" s="51" t="str">
        <f>'Net Income'!B104</f>
        <v>Kering</v>
      </c>
      <c r="C104" s="51" t="str">
        <f>'Net Income'!C104</f>
        <v>France</v>
      </c>
      <c r="D104" s="51" t="str">
        <f>'Net Income'!D104</f>
        <v>CAC 40</v>
      </c>
      <c r="E104" s="52">
        <f>IFERROR('Net Income'!E104/'Avg Shares Outstanding'!E104,"")</f>
        <v>5.523970551935216</v>
      </c>
      <c r="F104" s="52">
        <f>IFERROR('Net Income'!F104/'Avg Shares Outstanding'!F104,"")</f>
        <v>6.4563392656363687</v>
      </c>
      <c r="G104" s="52">
        <f>IFERROR('Net Income'!G104/'Avg Shares Outstanding'!G104,"")</f>
        <v>14.171483570281476</v>
      </c>
      <c r="H104" s="52">
        <f>IFERROR('Net Income'!H104/'Avg Shares Outstanding'!H104,"")</f>
        <v>21.010505268512812</v>
      </c>
      <c r="I104" s="52">
        <f>IFERROR('Net Income'!I104/'Avg Shares Outstanding'!I104,"")</f>
        <v>18.39539999939123</v>
      </c>
      <c r="J104" s="52">
        <f>IFERROR('Net Income'!J104/'Avg Shares Outstanding'!J104,"")</f>
        <v>17.201556219287685</v>
      </c>
      <c r="K104" s="52">
        <f>IFERROR('Net Income'!K104/'Avg Shares Outstanding'!K104,"")</f>
        <v>25.49273601905033</v>
      </c>
      <c r="L104" s="52">
        <f>IFERROR('Net Income'!L104/'Avg Shares Outstanding'!L104,"")</f>
        <v>29.344153460796196</v>
      </c>
      <c r="M104" s="52">
        <f>IFERROR('Net Income'!M104/'Avg Shares Outstanding'!M104,"")</f>
        <v>24.374314293668242</v>
      </c>
      <c r="N104" s="52">
        <f>IFERROR('Net Income'!N104/'Avg Shares Outstanding'!N104,"")</f>
        <v>9.2399999712932033</v>
      </c>
    </row>
    <row r="105" spans="1:14" x14ac:dyDescent="0.3">
      <c r="A105" s="51" t="str">
        <f>'Net Income'!A105</f>
        <v>PUB.PA</v>
      </c>
      <c r="B105" s="51" t="str">
        <f>'Net Income'!B105</f>
        <v>Publicis Groupe</v>
      </c>
      <c r="C105" s="51" t="str">
        <f>'Net Income'!C105</f>
        <v>France</v>
      </c>
      <c r="D105" s="51" t="str">
        <f>'Net Income'!D105</f>
        <v>CAC 40</v>
      </c>
      <c r="E105" s="52">
        <f>IFERROR('Net Income'!E105/'Avg Shares Outstanding'!E105,"")</f>
        <v>4.0462169225752174</v>
      </c>
      <c r="F105" s="52">
        <f>IFERROR('Net Income'!F105/'Avg Shares Outstanding'!F105,"")</f>
        <v>-2.3600000078815939</v>
      </c>
      <c r="G105" s="52">
        <f>IFERROR('Net Income'!G105/'Avg Shares Outstanding'!G105,"")</f>
        <v>3.8076776979462661</v>
      </c>
      <c r="H105" s="52">
        <f>IFERROR('Net Income'!H105/'Avg Shares Outstanding'!H105,"")</f>
        <v>4.0090445265991752</v>
      </c>
      <c r="I105" s="52">
        <f>IFERROR('Net Income'!I105/'Avg Shares Outstanding'!I105,"")</f>
        <v>3.5895220000437571</v>
      </c>
      <c r="J105" s="52">
        <f>IFERROR('Net Income'!J105/'Avg Shares Outstanding'!J105,"")</f>
        <v>2.4016176195543908</v>
      </c>
      <c r="K105" s="52">
        <f>IFERROR('Net Income'!K105/'Avg Shares Outstanding'!K105,"")</f>
        <v>4.1307994020340058</v>
      </c>
      <c r="L105" s="52">
        <f>IFERROR('Net Income'!L105/'Avg Shares Outstanding'!L105,"")</f>
        <v>4.8690669254045797</v>
      </c>
      <c r="M105" s="52">
        <f>IFERROR('Net Income'!M105/'Avg Shares Outstanding'!M105,"")</f>
        <v>5.233211258974813</v>
      </c>
      <c r="N105" s="52">
        <f>IFERROR('Net Income'!N105/'Avg Shares Outstanding'!N105,"")</f>
        <v>6.6140768570570581</v>
      </c>
    </row>
    <row r="106" spans="1:14" x14ac:dyDescent="0.3">
      <c r="A106" s="51" t="str">
        <f>'Net Income'!A106</f>
        <v>HO.PA</v>
      </c>
      <c r="B106" s="51" t="str">
        <f>'Net Income'!B106</f>
        <v>Thales</v>
      </c>
      <c r="C106" s="51" t="str">
        <f>'Net Income'!C106</f>
        <v>France</v>
      </c>
      <c r="D106" s="51" t="str">
        <f>'Net Income'!D106</f>
        <v>CAC 40</v>
      </c>
      <c r="E106" s="52">
        <f>IFERROR('Net Income'!E106/'Avg Shares Outstanding'!E106,"")</f>
        <v>3.6763857922657031</v>
      </c>
      <c r="F106" s="52">
        <f>IFERROR('Net Income'!F106/'Avg Shares Outstanding'!F106,"")</f>
        <v>4.4880306536666792</v>
      </c>
      <c r="G106" s="52">
        <f>IFERROR('Net Income'!G106/'Avg Shares Outstanding'!G106,"")</f>
        <v>3.1999924683907777</v>
      </c>
      <c r="H106" s="52">
        <f>IFERROR('Net Income'!H106/'Avg Shares Outstanding'!H106,"")</f>
        <v>4.6215837091292515</v>
      </c>
      <c r="I106" s="52">
        <f>IFERROR('Net Income'!I106/'Avg Shares Outstanding'!I106,"")</f>
        <v>5.2794797225437877</v>
      </c>
      <c r="J106" s="52">
        <f>IFERROR('Net Income'!J106/'Avg Shares Outstanding'!J106,"")</f>
        <v>2.2726417932902061</v>
      </c>
      <c r="K106" s="52">
        <f>IFERROR('Net Income'!K106/'Avg Shares Outstanding'!K106,"")</f>
        <v>5.1152913761674776</v>
      </c>
      <c r="L106" s="52">
        <f>IFERROR('Net Income'!L106/'Avg Shares Outstanding'!L106,"")</f>
        <v>5.2900161920003024</v>
      </c>
      <c r="M106" s="52">
        <f>IFERROR('Net Income'!M106/'Avg Shares Outstanding'!M106,"")</f>
        <v>4.9082285007217985</v>
      </c>
      <c r="N106" s="52">
        <f>IFERROR('Net Income'!N106/'Avg Shares Outstanding'!N106,"")</f>
        <v>6.9067695586382056</v>
      </c>
    </row>
    <row r="107" spans="1:14" x14ac:dyDescent="0.3">
      <c r="A107" s="51" t="str">
        <f>'Net Income'!A107</f>
        <v>CAP.PA</v>
      </c>
      <c r="B107" s="51" t="str">
        <f>'Net Income'!B107</f>
        <v>Capgemini</v>
      </c>
      <c r="C107" s="51" t="str">
        <f>'Net Income'!C107</f>
        <v>France</v>
      </c>
      <c r="D107" s="51" t="str">
        <f>'Net Income'!D107</f>
        <v>CAC 40</v>
      </c>
      <c r="E107" s="52">
        <f>IFERROR('Net Income'!E107/'Avg Shares Outstanding'!E107,"")</f>
        <v>6.3276420040383075</v>
      </c>
      <c r="F107" s="52">
        <f>IFERROR('Net Income'!F107/'Avg Shares Outstanding'!F107,"")</f>
        <v>5.2546110067383971</v>
      </c>
      <c r="G107" s="52">
        <f>IFERROR('Net Income'!G107/'Avg Shares Outstanding'!G107,"")</f>
        <v>4.8792806174308341</v>
      </c>
      <c r="H107" s="52">
        <f>IFERROR('Net Income'!H107/'Avg Shares Outstanding'!H107,"")</f>
        <v>4.3689457894802644</v>
      </c>
      <c r="I107" s="52">
        <f>IFERROR('Net Income'!I107/'Avg Shares Outstanding'!I107,"")</f>
        <v>5.1513138877412441</v>
      </c>
      <c r="J107" s="52">
        <f>IFERROR('Net Income'!J107/'Avg Shares Outstanding'!J107,"")</f>
        <v>5.7093391203719657</v>
      </c>
      <c r="K107" s="52">
        <f>IFERROR('Net Income'!K107/'Avg Shares Outstanding'!K107,"")</f>
        <v>6.8634522638115527</v>
      </c>
      <c r="L107" s="52">
        <f>IFERROR('Net Income'!L107/'Avg Shares Outstanding'!L107,"")</f>
        <v>9.0865804035552991</v>
      </c>
      <c r="M107" s="52">
        <f>IFERROR('Net Income'!M107/'Avg Shares Outstanding'!M107,"")</f>
        <v>9.3699990165726827</v>
      </c>
      <c r="N107" s="52">
        <f>IFERROR('Net Income'!N107/'Avg Shares Outstanding'!N107,"")</f>
        <v>9.8177800631485965</v>
      </c>
    </row>
    <row r="108" spans="1:14" x14ac:dyDescent="0.3">
      <c r="A108" s="51" t="str">
        <f>'Net Income'!A108</f>
        <v>ML.PA</v>
      </c>
      <c r="B108" s="51" t="str">
        <f>'Net Income'!B108</f>
        <v>Michelin</v>
      </c>
      <c r="C108" s="51" t="str">
        <f>'Net Income'!C108</f>
        <v>France</v>
      </c>
      <c r="D108" s="51" t="str">
        <f>'Net Income'!D108</f>
        <v>CAC 40</v>
      </c>
      <c r="E108" s="52">
        <f>IFERROR('Net Income'!E108/'Avg Shares Outstanding'!E108,"")</f>
        <v>1.5806510983359858</v>
      </c>
      <c r="F108" s="52">
        <f>IFERROR('Net Income'!F108/'Avg Shares Outstanding'!F108,"")</f>
        <v>2.3189528737858702</v>
      </c>
      <c r="G108" s="52">
        <f>IFERROR('Net Income'!G108/'Avg Shares Outstanding'!G108,"")</f>
        <v>2.3625680280617494</v>
      </c>
      <c r="H108" s="52">
        <f>IFERROR('Net Income'!H108/'Avg Shares Outstanding'!H108,"")</f>
        <v>2.3423096262361027</v>
      </c>
      <c r="I108" s="52">
        <f>IFERROR('Net Income'!I108/'Avg Shares Outstanding'!I108,"")</f>
        <v>2.4385556397343908</v>
      </c>
      <c r="J108" s="52">
        <f>IFERROR('Net Income'!J108/'Avg Shares Outstanding'!J108,"")</f>
        <v>0.8860972463686837</v>
      </c>
      <c r="K108" s="52">
        <f>IFERROR('Net Income'!K108/'Avg Shares Outstanding'!K108,"")</f>
        <v>2.5846312555364932</v>
      </c>
      <c r="L108" s="52">
        <f>IFERROR('Net Income'!L108/'Avg Shares Outstanding'!L108,"")</f>
        <v>2.8089572185006539</v>
      </c>
      <c r="M108" s="52">
        <f>IFERROR('Net Income'!M108/'Avg Shares Outstanding'!M108,"")</f>
        <v>2.7763075069555918</v>
      </c>
      <c r="N108" s="52">
        <f>IFERROR('Net Income'!N108/'Avg Shares Outstanding'!N108,"")</f>
        <v>2.654081848277805</v>
      </c>
    </row>
    <row r="109" spans="1:14" x14ac:dyDescent="0.3">
      <c r="A109" s="51" t="str">
        <f>'Net Income'!A109</f>
        <v>VIE.PA</v>
      </c>
      <c r="B109" s="51" t="str">
        <f>'Net Income'!B109</f>
        <v>Veolia</v>
      </c>
      <c r="C109" s="51" t="str">
        <f>'Net Income'!C109</f>
        <v>France</v>
      </c>
      <c r="D109" s="51" t="str">
        <f>'Net Income'!D109</f>
        <v>CAC 40</v>
      </c>
      <c r="E109" s="52">
        <f>IFERROR('Net Income'!E109/'Avg Shares Outstanding'!E109,"")</f>
        <v>0.79799453053783043</v>
      </c>
      <c r="F109" s="52">
        <f>IFERROR('Net Income'!F109/'Avg Shares Outstanding'!F109,"")</f>
        <v>0.67586004156181123</v>
      </c>
      <c r="G109" s="52">
        <f>IFERROR('Net Income'!G109/'Avg Shares Outstanding'!G109,"")</f>
        <v>0.57748754888531006</v>
      </c>
      <c r="H109" s="52">
        <f>IFERROR('Net Income'!H109/'Avg Shares Outstanding'!H109,"")</f>
        <v>0.65467779813472327</v>
      </c>
      <c r="I109" s="52">
        <f>IFERROR('Net Income'!I109/'Avg Shares Outstanding'!I109,"")</f>
        <v>1.520128511193924</v>
      </c>
      <c r="J109" s="52">
        <f>IFERROR('Net Income'!J109/'Avg Shares Outstanding'!J109,"")</f>
        <v>0.39685823667072551</v>
      </c>
      <c r="K109" s="52">
        <f>IFERROR('Net Income'!K109/'Avg Shares Outstanding'!K109,"")</f>
        <v>0.93590824759655933</v>
      </c>
      <c r="L109" s="52">
        <f>IFERROR('Net Income'!L109/'Avg Shares Outstanding'!L109,"")</f>
        <v>1.5635624001162285</v>
      </c>
      <c r="M109" s="52">
        <f>IFERROR('Net Income'!M109/'Avg Shares Outstanding'!M109,"")</f>
        <v>1.3290780141843972</v>
      </c>
      <c r="N109" s="52">
        <f>IFERROR('Net Income'!N109/'Avg Shares Outstanding'!N109,"")</f>
        <v>1.523611111111111</v>
      </c>
    </row>
    <row r="110" spans="1:14" x14ac:dyDescent="0.3">
      <c r="A110" s="51" t="str">
        <f>'Net Income'!A110</f>
        <v>STLAP.PA</v>
      </c>
      <c r="B110" s="51" t="str">
        <f>'Net Income'!B110</f>
        <v>Stellantis</v>
      </c>
      <c r="C110" s="51" t="str">
        <f>'Net Income'!C110</f>
        <v>France</v>
      </c>
      <c r="D110" s="51" t="str">
        <f>'Net Income'!D110</f>
        <v>CAC 40</v>
      </c>
      <c r="E110" s="52">
        <f>IFERROR('Net Income'!E110/'Avg Shares Outstanding'!E110,"")</f>
        <v>0.22111078378476784</v>
      </c>
      <c r="F110" s="52">
        <f>IFERROR('Net Income'!F110/'Avg Shares Outstanding'!F110,"")</f>
        <v>1.1916572098565847</v>
      </c>
      <c r="G110" s="52">
        <f>IFERROR('Net Income'!G110/'Avg Shares Outstanding'!G110,"")</f>
        <v>2.2728042146162601</v>
      </c>
      <c r="H110" s="52">
        <f>IFERROR('Net Income'!H110/'Avg Shares Outstanding'!H110,"")</f>
        <v>2.3300885601563897</v>
      </c>
      <c r="I110" s="52">
        <f>IFERROR('Net Income'!I110/'Avg Shares Outstanding'!I110,"")</f>
        <v>4.2337067502752355</v>
      </c>
      <c r="J110" s="52">
        <f>IFERROR('Net Income'!J110/'Avg Shares Outstanding'!J110,"")</f>
        <v>1.8782359090208433E-2</v>
      </c>
      <c r="K110" s="52">
        <f>IFERROR('Net Income'!K110/'Avg Shares Outstanding'!K110,"")</f>
        <v>4.6416089516370498</v>
      </c>
      <c r="L110" s="52">
        <f>IFERROR('Net Income'!L110/'Avg Shares Outstanding'!L110,"")</f>
        <v>5.3498483641705699</v>
      </c>
      <c r="M110" s="52">
        <f>IFERROR('Net Income'!M110/'Avg Shares Outstanding'!M110,"")</f>
        <v>5.9837984377639595</v>
      </c>
      <c r="N110" s="52">
        <f>IFERROR('Net Income'!N110/'Avg Shares Outstanding'!N110,"")</f>
        <v>1.8554731202189276</v>
      </c>
    </row>
    <row r="111" spans="1:14" x14ac:dyDescent="0.3">
      <c r="A111" s="51" t="str">
        <f>'Net Income'!A111</f>
        <v>RI.PA</v>
      </c>
      <c r="B111" s="51" t="str">
        <f>'Net Income'!B111</f>
        <v>Pernod Ricard</v>
      </c>
      <c r="C111" s="51" t="str">
        <f>'Net Income'!C111</f>
        <v>France</v>
      </c>
      <c r="D111" s="51" t="str">
        <f>'Net Income'!D111</f>
        <v>CAC 40</v>
      </c>
      <c r="E111" s="52">
        <f>IFERROR('Net Income'!E111/'Avg Shares Outstanding'!E111,"")</f>
        <v>3.261601893911076</v>
      </c>
      <c r="F111" s="52">
        <f>IFERROR('Net Income'!F111/'Avg Shares Outstanding'!F111,"")</f>
        <v>4.6781340016673401</v>
      </c>
      <c r="G111" s="52">
        <f>IFERROR('Net Income'!G111/'Avg Shares Outstanding'!G111,"")</f>
        <v>5.2718698553736116</v>
      </c>
      <c r="H111" s="52">
        <f>IFERROR('Net Income'!H111/'Avg Shares Outstanding'!H111,"")</f>
        <v>5.9709090119073593</v>
      </c>
      <c r="I111" s="52">
        <f>IFERROR('Net Income'!I111/'Avg Shares Outstanding'!I111,"")</f>
        <v>5.5077440262677069</v>
      </c>
      <c r="J111" s="52">
        <f>IFERROR('Net Income'!J111/'Avg Shares Outstanding'!J111,"")</f>
        <v>1.2516259438943036</v>
      </c>
      <c r="K111" s="52">
        <f>IFERROR('Net Income'!K111/'Avg Shares Outstanding'!K111,"")</f>
        <v>5.0039096447141329</v>
      </c>
      <c r="L111" s="52">
        <f>IFERROR('Net Income'!L111/'Avg Shares Outstanding'!L111,"")</f>
        <v>7.7056196045293026</v>
      </c>
      <c r="M111" s="52">
        <f>IFERROR('Net Income'!M111/'Avg Shares Outstanding'!M111,"")</f>
        <v>8.83427144612833</v>
      </c>
      <c r="N111" s="52">
        <f>IFERROR('Net Income'!N111/'Avg Shares Outstanding'!N111,"")</f>
        <v>5.8433229346466291</v>
      </c>
    </row>
    <row r="112" spans="1:14" x14ac:dyDescent="0.3">
      <c r="A112" s="51" t="str">
        <f>'Net Income'!A112</f>
        <v>DSY.PA</v>
      </c>
      <c r="B112" s="51" t="str">
        <f>'Net Income'!B112</f>
        <v>Dassault Systemes</v>
      </c>
      <c r="C112" s="51" t="str">
        <f>'Net Income'!C112</f>
        <v>France</v>
      </c>
      <c r="D112" s="51" t="str">
        <f>'Net Income'!D112</f>
        <v>CAC 40</v>
      </c>
      <c r="E112" s="52">
        <f>IFERROR('Net Income'!E112/'Avg Shares Outstanding'!E112,"")</f>
        <v>0.3185811044090559</v>
      </c>
      <c r="F112" s="52">
        <f>IFERROR('Net Income'!F112/'Avg Shares Outstanding'!F112,"")</f>
        <v>0.35223580359361462</v>
      </c>
      <c r="G112" s="52">
        <f>IFERROR('Net Income'!G112/'Avg Shares Outstanding'!G112,"")</f>
        <v>0.40747057685285565</v>
      </c>
      <c r="H112" s="52">
        <f>IFERROR('Net Income'!H112/'Avg Shares Outstanding'!H112,"")</f>
        <v>0.44077346531353184</v>
      </c>
      <c r="I112" s="52">
        <f>IFERROR('Net Income'!I112/'Avg Shares Outstanding'!I112,"")</f>
        <v>0.47440618530368051</v>
      </c>
      <c r="J112" s="52">
        <f>IFERROR('Net Income'!J112/'Avg Shares Outstanding'!J112,"")</f>
        <v>0.37704660812499735</v>
      </c>
      <c r="K112" s="52">
        <f>IFERROR('Net Income'!K112/'Avg Shares Outstanding'!K112,"")</f>
        <v>0.5907096372000592</v>
      </c>
      <c r="L112" s="52">
        <f>IFERROR('Net Income'!L112/'Avg Shares Outstanding'!L112,"")</f>
        <v>0.70984626682223628</v>
      </c>
      <c r="M112" s="52">
        <f>IFERROR('Net Income'!M112/'Avg Shares Outstanding'!M112,"")</f>
        <v>0.79911055383430252</v>
      </c>
      <c r="N112" s="52">
        <f>IFERROR('Net Income'!N112/'Avg Shares Outstanding'!N112,"")</f>
        <v>0.91408987052551405</v>
      </c>
    </row>
    <row r="113" spans="1:14" x14ac:dyDescent="0.3">
      <c r="A113" s="51" t="str">
        <f>'Net Income'!A113</f>
        <v>ACA.PA</v>
      </c>
      <c r="B113" s="51" t="str">
        <f>'Net Income'!B113</f>
        <v>Credit Agricole</v>
      </c>
      <c r="C113" s="51" t="str">
        <f>'Net Income'!C113</f>
        <v>France</v>
      </c>
      <c r="D113" s="51" t="str">
        <f>'Net Income'!D113</f>
        <v>CAC 40</v>
      </c>
      <c r="E113" s="52">
        <f>IFERROR('Net Income'!E113/'Avg Shares Outstanding'!E113,"")</f>
        <v>1.2122547481737125</v>
      </c>
      <c r="F113" s="52">
        <f>IFERROR('Net Income'!F113/'Avg Shares Outstanding'!F113,"")</f>
        <v>1.1202547629159447</v>
      </c>
      <c r="G113" s="52">
        <f>IFERROR('Net Income'!G113/'Avg Shares Outstanding'!G113,"")</f>
        <v>1.1235839795520799</v>
      </c>
      <c r="H113" s="52">
        <f>IFERROR('Net Income'!H113/'Avg Shares Outstanding'!H113,"")</f>
        <v>1.3866186507832305</v>
      </c>
      <c r="I113" s="52">
        <f>IFERROR('Net Income'!I113/'Avg Shares Outstanding'!I113,"")</f>
        <v>1.4815126742069409</v>
      </c>
      <c r="J113" s="52">
        <f>IFERROR('Net Income'!J113/'Avg Shares Outstanding'!J113,"")</f>
        <v>0.93299907433079099</v>
      </c>
      <c r="K113" s="52">
        <f>IFERROR('Net Income'!K113/'Avg Shares Outstanding'!K113,"")</f>
        <v>1.9544951541909672</v>
      </c>
      <c r="L113" s="52">
        <f>IFERROR('Net Income'!L113/'Avg Shares Outstanding'!L113,"")</f>
        <v>1.7751714831544292</v>
      </c>
      <c r="M113" s="52">
        <f>IFERROR('Net Income'!M113/'Avg Shares Outstanding'!M113,"")</f>
        <v>2.0943200643312045</v>
      </c>
      <c r="N113" s="52">
        <f>IFERROR('Net Income'!N113/'Avg Shares Outstanding'!N113,"")</f>
        <v>2.3505165033654141</v>
      </c>
    </row>
    <row r="114" spans="1:14" x14ac:dyDescent="0.3">
      <c r="A114" s="51" t="str">
        <f>'Net Income'!A114</f>
        <v>URW.PA</v>
      </c>
      <c r="B114" s="51" t="str">
        <f>'Net Income'!B114</f>
        <v>Unibail-Rodamco-Westfield</v>
      </c>
      <c r="C114" s="51" t="str">
        <f>'Net Income'!C114</f>
        <v>France</v>
      </c>
      <c r="D114" s="51" t="str">
        <f>'Net Income'!D114</f>
        <v>CAC 40</v>
      </c>
      <c r="E114" s="52">
        <f>IFERROR('Net Income'!E114/'Avg Shares Outstanding'!E114,"")</f>
        <v>23.698191048236783</v>
      </c>
      <c r="F114" s="52">
        <f>IFERROR('Net Income'!F114/'Avg Shares Outstanding'!F114,"")</f>
        <v>24.295772559779603</v>
      </c>
      <c r="G114" s="52">
        <f>IFERROR('Net Income'!G114/'Avg Shares Outstanding'!G114,"")</f>
        <v>24.457382467163697</v>
      </c>
      <c r="H114" s="52">
        <f>IFERROR('Net Income'!H114/'Avg Shares Outstanding'!H114,"")</f>
        <v>8.423664767846871</v>
      </c>
      <c r="I114" s="52">
        <f>IFERROR('Net Income'!I114/'Avg Shares Outstanding'!I114,"")</f>
        <v>7.9746597074358787</v>
      </c>
      <c r="J114" s="52">
        <f>IFERROR('Net Income'!J114/'Avg Shares Outstanding'!J114,"")</f>
        <v>-52.100130200483434</v>
      </c>
      <c r="K114" s="52">
        <f>IFERROR('Net Income'!K114/'Avg Shares Outstanding'!K114,"")</f>
        <v>-7.0164746044183648</v>
      </c>
      <c r="L114" s="52">
        <f>IFERROR('Net Income'!L114/'Avg Shares Outstanding'!L114,"")</f>
        <v>1.2846256442637303</v>
      </c>
      <c r="M114" s="52">
        <f>IFERROR('Net Income'!M114/'Avg Shares Outstanding'!M114,"")</f>
        <v>-11.723035257681577</v>
      </c>
      <c r="N114" s="52">
        <f>IFERROR('Net Income'!N114/'Avg Shares Outstanding'!N114,"")</f>
        <v>1.0480487933668003</v>
      </c>
    </row>
    <row r="115" spans="1:14" x14ac:dyDescent="0.3">
      <c r="A115" s="51" t="str">
        <f>'Net Income'!A115</f>
        <v>TEP.PA</v>
      </c>
      <c r="B115" s="51" t="str">
        <f>'Net Income'!B115</f>
        <v>Teleperformance</v>
      </c>
      <c r="C115" s="51" t="str">
        <f>'Net Income'!C115</f>
        <v>France</v>
      </c>
      <c r="D115" s="51" t="str">
        <f>'Net Income'!D115</f>
        <v>CAC 40</v>
      </c>
      <c r="E115" s="52">
        <f>IFERROR('Net Income'!E115/'Avg Shares Outstanding'!E115,"")</f>
        <v>3.5019500083328898</v>
      </c>
      <c r="F115" s="52">
        <f>IFERROR('Net Income'!F115/'Avg Shares Outstanding'!F115,"")</f>
        <v>3.7371230135684983</v>
      </c>
      <c r="G115" s="52">
        <f>IFERROR('Net Income'!G115/'Avg Shares Outstanding'!G115,"")</f>
        <v>5.4009696298457586</v>
      </c>
      <c r="H115" s="52">
        <f>IFERROR('Net Income'!H115/'Avg Shares Outstanding'!H115,"")</f>
        <v>5.4066669610296456</v>
      </c>
      <c r="I115" s="52">
        <f>IFERROR('Net Income'!I115/'Avg Shares Outstanding'!I115,"")</f>
        <v>6.866659026364057</v>
      </c>
      <c r="J115" s="52">
        <f>IFERROR('Net Income'!J115/'Avg Shares Outstanding'!J115,"")</f>
        <v>5.5183508755860036</v>
      </c>
      <c r="K115" s="52">
        <f>IFERROR('Net Income'!K115/'Avg Shares Outstanding'!K115,"")</f>
        <v>9.4844772821908521</v>
      </c>
      <c r="L115" s="52">
        <f>IFERROR('Net Income'!L115/'Avg Shares Outstanding'!L115,"")</f>
        <v>10.917896417145418</v>
      </c>
      <c r="M115" s="52">
        <f>IFERROR('Net Income'!M115/'Avg Shares Outstanding'!M115,"")</f>
        <v>10.101791073153024</v>
      </c>
      <c r="N115" s="52">
        <f>IFERROR('Net Income'!N115/'Avg Shares Outstanding'!N115,"")</f>
        <v>8.759475097415244</v>
      </c>
    </row>
    <row r="116" spans="1:14" x14ac:dyDescent="0.3">
      <c r="A116" s="51" t="str">
        <f>'Net Income'!A116</f>
        <v>ERA.PA</v>
      </c>
      <c r="B116" s="51" t="str">
        <f>'Net Income'!B116</f>
        <v>Eramet</v>
      </c>
      <c r="C116" s="51" t="str">
        <f>'Net Income'!C116</f>
        <v>France</v>
      </c>
      <c r="D116" s="51" t="str">
        <f>'Net Income'!D116</f>
        <v>CAC 40</v>
      </c>
      <c r="E116" s="52">
        <f>IFERROR('Net Income'!E116/'Avg Shares Outstanding'!E116,"")</f>
        <v>-27.110000993273985</v>
      </c>
      <c r="F116" s="52">
        <f>IFERROR('Net Income'!F116/'Avg Shares Outstanding'!F116,"")</f>
        <v>-6.7858687278622876</v>
      </c>
      <c r="G116" s="52">
        <f>IFERROR('Net Income'!G116/'Avg Shares Outstanding'!G116,"")</f>
        <v>7.0349006271769854</v>
      </c>
      <c r="H116" s="52">
        <f>IFERROR('Net Income'!H116/'Avg Shares Outstanding'!H116,"")</f>
        <v>1.8310517564744004</v>
      </c>
      <c r="I116" s="52">
        <f>IFERROR('Net Income'!I116/'Avg Shares Outstanding'!I116,"")</f>
        <v>-6.9356442699007479</v>
      </c>
      <c r="J116" s="52">
        <f>IFERROR('Net Income'!J116/'Avg Shares Outstanding'!J116,"")</f>
        <v>-25.465621919720814</v>
      </c>
      <c r="K116" s="52">
        <f>IFERROR('Net Income'!K116/'Avg Shares Outstanding'!K116,"")</f>
        <v>10.429925008839186</v>
      </c>
      <c r="L116" s="52">
        <f>IFERROR('Net Income'!L116/'Avg Shares Outstanding'!L116,"")</f>
        <v>25.806702705145764</v>
      </c>
      <c r="M116" s="52">
        <f>IFERROR('Net Income'!M116/'Avg Shares Outstanding'!M116,"")</f>
        <v>3.7900000605009185</v>
      </c>
      <c r="N116" s="52">
        <f>IFERROR('Net Income'!N116/'Avg Shares Outstanding'!N116,"")</f>
        <v>0.49170732091088643</v>
      </c>
    </row>
    <row r="117" spans="1:14" x14ac:dyDescent="0.3">
      <c r="A117" s="51" t="str">
        <f>'Net Income'!A117</f>
        <v>STM.PA</v>
      </c>
      <c r="B117" s="51" t="str">
        <f>'Net Income'!B117</f>
        <v>STMicroelectronics</v>
      </c>
      <c r="C117" s="51" t="str">
        <f>'Net Income'!C117</f>
        <v>France</v>
      </c>
      <c r="D117" s="51" t="str">
        <f>'Net Income'!D117</f>
        <v>CAC 40</v>
      </c>
      <c r="E117" s="52">
        <f>IFERROR('Net Income'!E117/'Avg Shares Outstanding'!E117,"")</f>
        <v>0.11731102815133385</v>
      </c>
      <c r="F117" s="52">
        <f>IFERROR('Net Income'!F117/'Avg Shares Outstanding'!F117,"")</f>
        <v>0.18723470756837979</v>
      </c>
      <c r="G117" s="52">
        <f>IFERROR('Net Income'!G117/'Avg Shares Outstanding'!G117,"")</f>
        <v>0.9065140294168369</v>
      </c>
      <c r="H117" s="52">
        <f>IFERROR('Net Income'!H117/'Avg Shares Outstanding'!H117,"")</f>
        <v>1.4193024618704393</v>
      </c>
      <c r="I117" s="52">
        <f>IFERROR('Net Income'!I117/'Avg Shares Outstanding'!I117,"")</f>
        <v>1.1500000004457365</v>
      </c>
      <c r="J117" s="52">
        <f>IFERROR('Net Income'!J117/'Avg Shares Outstanding'!J117,"")</f>
        <v>0.77578436978201526</v>
      </c>
      <c r="K117" s="52">
        <f>IFERROR('Net Income'!K117/'Avg Shares Outstanding'!K117,"")</f>
        <v>1.8920033663859688</v>
      </c>
      <c r="L117" s="52">
        <f>IFERROR('Net Income'!L117/'Avg Shares Outstanding'!L117,"")</f>
        <v>4.7735944498699343</v>
      </c>
      <c r="M117" s="52">
        <f>IFERROR('Net Income'!M117/'Avg Shares Outstanding'!M117,"")</f>
        <v>4.6606917255440452</v>
      </c>
      <c r="N117" s="52" t="str">
        <f>IFERROR('Net Income'!N117/'Avg Shares Outstanding'!N117,"")</f>
        <v/>
      </c>
    </row>
    <row r="118" spans="1:14" x14ac:dyDescent="0.3">
      <c r="A118" s="51" t="str">
        <f>'Net Income'!A118</f>
        <v>RNO.PA</v>
      </c>
      <c r="B118" s="51" t="str">
        <f>'Net Income'!B118</f>
        <v>Renault</v>
      </c>
      <c r="C118" s="51" t="str">
        <f>'Net Income'!C118</f>
        <v>France</v>
      </c>
      <c r="D118" s="51" t="str">
        <f>'Net Income'!D118</f>
        <v>CAC 40</v>
      </c>
      <c r="E118" s="52">
        <f>IFERROR('Net Income'!E118/'Avg Shares Outstanding'!E118,"")</f>
        <v>10.351731522360913</v>
      </c>
      <c r="F118" s="52">
        <f>IFERROR('Net Income'!F118/'Avg Shares Outstanding'!F118,"")</f>
        <v>12.571331921402518</v>
      </c>
      <c r="G118" s="52">
        <f>IFERROR('Net Income'!G118/'Avg Shares Outstanding'!G118,"")</f>
        <v>19.226796517633172</v>
      </c>
      <c r="H118" s="52">
        <f>IFERROR('Net Income'!H118/'Avg Shares Outstanding'!H118,"")</f>
        <v>12.236427644987955</v>
      </c>
      <c r="I118" s="52">
        <f>IFERROR('Net Income'!I118/'Avg Shares Outstanding'!I118,"")</f>
        <v>-0.51907126738060438</v>
      </c>
      <c r="J118" s="52">
        <f>IFERROR('Net Income'!J118/'Avg Shares Outstanding'!J118,"")</f>
        <v>-29.511809514684042</v>
      </c>
      <c r="K118" s="52">
        <f>IFERROR('Net Income'!K118/'Avg Shares Outstanding'!K118,"")</f>
        <v>3.2634820765742258</v>
      </c>
      <c r="L118" s="52">
        <f>IFERROR('Net Income'!L118/'Avg Shares Outstanding'!L118,"")</f>
        <v>-1.2422040669320131</v>
      </c>
      <c r="M118" s="52">
        <f>IFERROR('Net Income'!M118/'Avg Shares Outstanding'!M118,"")</f>
        <v>8.1104317568789224</v>
      </c>
      <c r="N118" s="52">
        <f>IFERROR('Net Income'!N118/'Avg Shares Outstanding'!N118,"")</f>
        <v>2.7609096316094783</v>
      </c>
    </row>
    <row r="119" spans="1:14" x14ac:dyDescent="0.3">
      <c r="A119" s="51" t="str">
        <f>'Net Income'!A119</f>
        <v>SW.PA</v>
      </c>
      <c r="B119" s="51" t="str">
        <f>'Net Income'!B119</f>
        <v>Sodexo</v>
      </c>
      <c r="C119" s="51" t="str">
        <f>'Net Income'!C119</f>
        <v>France</v>
      </c>
      <c r="D119" s="51" t="str">
        <f>'Net Income'!D119</f>
        <v>CAC 40</v>
      </c>
      <c r="E119" s="52">
        <f>IFERROR('Net Income'!E119/'Avg Shares Outstanding'!E119,"")</f>
        <v>4.6026157454301124</v>
      </c>
      <c r="F119" s="52">
        <f>IFERROR('Net Income'!F119/'Avg Shares Outstanding'!F119,"")</f>
        <v>4.2108169223464342</v>
      </c>
      <c r="G119" s="52">
        <f>IFERROR('Net Income'!G119/'Avg Shares Outstanding'!G119,"")</f>
        <v>4.852382829703088</v>
      </c>
      <c r="H119" s="52">
        <f>IFERROR('Net Income'!H119/'Avg Shares Outstanding'!H119,"")</f>
        <v>4.396338313454951</v>
      </c>
      <c r="I119" s="52">
        <f>IFERROR('Net Income'!I119/'Avg Shares Outstanding'!I119,"")</f>
        <v>4.5634984874644537</v>
      </c>
      <c r="J119" s="52">
        <f>IFERROR('Net Income'!J119/'Avg Shares Outstanding'!J119,"")</f>
        <v>-2.1882444039610847</v>
      </c>
      <c r="K119" s="52">
        <f>IFERROR('Net Income'!K119/'Avg Shares Outstanding'!K119,"")</f>
        <v>0.95202555559868973</v>
      </c>
      <c r="L119" s="52">
        <f>IFERROR('Net Income'!L119/'Avg Shares Outstanding'!L119,"")</f>
        <v>4.7506563014591778</v>
      </c>
      <c r="M119" s="52">
        <f>IFERROR('Net Income'!M119/'Avg Shares Outstanding'!M119,"")</f>
        <v>5.4336065967542622</v>
      </c>
      <c r="N119" s="52">
        <f>IFERROR('Net Income'!N119/'Avg Shares Outstanding'!N119,"")</f>
        <v>1.1471339782770926</v>
      </c>
    </row>
    <row r="120" spans="1:14" x14ac:dyDescent="0.3">
      <c r="A120" s="51" t="str">
        <f>'Net Income'!A120</f>
        <v>CA.PA</v>
      </c>
      <c r="B120" s="51" t="str">
        <f>'Net Income'!B120</f>
        <v>Carrefour</v>
      </c>
      <c r="C120" s="51" t="str">
        <f>'Net Income'!C120</f>
        <v>France</v>
      </c>
      <c r="D120" s="51" t="str">
        <f>'Net Income'!D120</f>
        <v>CAC 40</v>
      </c>
      <c r="E120" s="52">
        <f>IFERROR('Net Income'!E120/'Avg Shares Outstanding'!E120,"")</f>
        <v>1.3548584562711505</v>
      </c>
      <c r="F120" s="52">
        <f>IFERROR('Net Income'!F120/'Avg Shares Outstanding'!F120,"")</f>
        <v>1.0080665103797826</v>
      </c>
      <c r="G120" s="52">
        <f>IFERROR('Net Income'!G120/'Avg Shares Outstanding'!G120,"")</f>
        <v>-0.33999900034939584</v>
      </c>
      <c r="H120" s="52">
        <f>IFERROR('Net Income'!H120/'Avg Shares Outstanding'!H120,"")</f>
        <v>-0.24256188620746874</v>
      </c>
      <c r="I120" s="52">
        <f>IFERROR('Net Income'!I120/'Avg Shares Outstanding'!I120,"")</f>
        <v>1.4278955315204525</v>
      </c>
      <c r="J120" s="52">
        <f>IFERROR('Net Income'!J120/'Avg Shares Outstanding'!J120,"")</f>
        <v>0.79556794138863063</v>
      </c>
      <c r="K120" s="52">
        <f>IFERROR('Net Income'!K120/'Avg Shares Outstanding'!K120,"")</f>
        <v>1.3622273028387111</v>
      </c>
      <c r="L120" s="52">
        <f>IFERROR('Net Income'!L120/'Avg Shares Outstanding'!L120,"")</f>
        <v>1.8182368704899767</v>
      </c>
      <c r="M120" s="52">
        <f>IFERROR('Net Income'!M120/'Avg Shares Outstanding'!M120,"")</f>
        <v>2.3229757204159958</v>
      </c>
      <c r="N120" s="52">
        <f>IFERROR('Net Income'!N120/'Avg Shares Outstanding'!N120,"")</f>
        <v>1.0795676475812426</v>
      </c>
    </row>
    <row r="121" spans="1:14" x14ac:dyDescent="0.3">
      <c r="A121" s="51" t="str">
        <f>'Net Income'!A121</f>
        <v>EDEN.PA</v>
      </c>
      <c r="B121" s="51" t="str">
        <f>'Net Income'!B121</f>
        <v>Edenred</v>
      </c>
      <c r="C121" s="51" t="str">
        <f>'Net Income'!C121</f>
        <v>France</v>
      </c>
      <c r="D121" s="51" t="str">
        <f>'Net Income'!D121</f>
        <v>CAC 40</v>
      </c>
      <c r="E121" s="52">
        <f>IFERROR('Net Income'!E121/'Avg Shares Outstanding'!E121,"")</f>
        <v>0.77708947065718936</v>
      </c>
      <c r="F121" s="52">
        <f>IFERROR('Net Income'!F121/'Avg Shares Outstanding'!F121,"")</f>
        <v>0.78222419504958463</v>
      </c>
      <c r="G121" s="52">
        <f>IFERROR('Net Income'!G121/'Avg Shares Outstanding'!G121,"")</f>
        <v>1.0340507328459136</v>
      </c>
      <c r="H121" s="52">
        <f>IFERROR('Net Income'!H121/'Avg Shares Outstanding'!H121,"")</f>
        <v>1.0742183369915965</v>
      </c>
      <c r="I121" s="52">
        <f>IFERROR('Net Income'!I121/'Avg Shares Outstanding'!I121,"")</f>
        <v>1.295859943457311</v>
      </c>
      <c r="J121" s="52">
        <f>IFERROR('Net Income'!J121/'Avg Shares Outstanding'!J121,"")</f>
        <v>0.97405985298211784</v>
      </c>
      <c r="K121" s="52">
        <f>IFERROR('Net Income'!K121/'Avg Shares Outstanding'!K121,"")</f>
        <v>1.2634709771936827</v>
      </c>
      <c r="L121" s="52">
        <f>IFERROR('Net Income'!L121/'Avg Shares Outstanding'!L121,"")</f>
        <v>1.5502447641697985</v>
      </c>
      <c r="M121" s="52">
        <f>IFERROR('Net Income'!M121/'Avg Shares Outstanding'!M121,"")</f>
        <v>1.0721498503449469</v>
      </c>
      <c r="N121" s="52">
        <f>IFERROR('Net Income'!N121/'Avg Shares Outstanding'!N121,"")</f>
        <v>2.0669719205044554</v>
      </c>
    </row>
    <row r="122" spans="1:14" x14ac:dyDescent="0.3">
      <c r="A122" s="51" t="str">
        <f>'Net Income'!A122</f>
        <v>BIM.PA</v>
      </c>
      <c r="B122" s="51" t="str">
        <f>'Net Income'!B122</f>
        <v>bioMerieux</v>
      </c>
      <c r="C122" s="51" t="str">
        <f>'Net Income'!C122</f>
        <v>France</v>
      </c>
      <c r="D122" s="51" t="str">
        <f>'Net Income'!D122</f>
        <v>CAC 40</v>
      </c>
      <c r="E122" s="52">
        <f>IFERROR('Net Income'!E122/'Avg Shares Outstanding'!E122,"")</f>
        <v>0.93333333445952738</v>
      </c>
      <c r="F122" s="52">
        <f>IFERROR('Net Income'!F122/'Avg Shares Outstanding'!F122,"")</f>
        <v>1.5172604000576</v>
      </c>
      <c r="G122" s="52">
        <f>IFERROR('Net Income'!G122/'Avg Shares Outstanding'!G122,"")</f>
        <v>2.020000002205796</v>
      </c>
      <c r="H122" s="52">
        <f>IFERROR('Net Income'!H122/'Avg Shares Outstanding'!H122,"")</f>
        <v>2.1784203153671755</v>
      </c>
      <c r="I122" s="52">
        <f>IFERROR('Net Income'!I122/'Avg Shares Outstanding'!I122,"")</f>
        <v>2.3059606784339186</v>
      </c>
      <c r="J122" s="52">
        <f>IFERROR('Net Income'!J122/'Avg Shares Outstanding'!J122,"")</f>
        <v>3.4228679641886757</v>
      </c>
      <c r="K122" s="52">
        <f>IFERROR('Net Income'!K122/'Avg Shares Outstanding'!K122,"")</f>
        <v>5.0826371610010597</v>
      </c>
      <c r="L122" s="52">
        <f>IFERROR('Net Income'!L122/'Avg Shares Outstanding'!L122,"")</f>
        <v>3.8356488562161242</v>
      </c>
      <c r="M122" s="52">
        <f>IFERROR('Net Income'!M122/'Avg Shares Outstanding'!M122,"")</f>
        <v>3.0291529286407046</v>
      </c>
      <c r="N122" s="52">
        <f>IFERROR('Net Income'!N122/'Avg Shares Outstanding'!N122,"")</f>
        <v>3.6699999867533548</v>
      </c>
    </row>
    <row r="123" spans="1:14" x14ac:dyDescent="0.3">
      <c r="A123" s="53" t="str">
        <f>'Net Income'!A123</f>
        <v>IBEX 35</v>
      </c>
      <c r="B123" s="53">
        <f>'Net Income'!B123</f>
        <v>0</v>
      </c>
      <c r="C123" s="53">
        <f>'Net Income'!C123</f>
        <v>0</v>
      </c>
      <c r="D123" s="53">
        <f>'Net Income'!D123</f>
        <v>0</v>
      </c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x14ac:dyDescent="0.3">
      <c r="A124" s="51" t="str">
        <f>'Net Income'!A124</f>
        <v>ITX.MC</v>
      </c>
      <c r="B124" s="51" t="str">
        <f>'Net Income'!B124</f>
        <v>Inditex</v>
      </c>
      <c r="C124" s="51" t="str">
        <f>'Net Income'!C124</f>
        <v>Spain</v>
      </c>
      <c r="D124" s="51" t="str">
        <f>'Net Income'!D124</f>
        <v>IBEX 35</v>
      </c>
      <c r="E124" s="52">
        <f>IFERROR('Net Income'!E124/'Avg Shares Outstanding'!E124,"")</f>
        <v>0.80306037173154965</v>
      </c>
      <c r="F124" s="52">
        <f>IFERROR('Net Income'!F124/'Avg Shares Outstanding'!F124,"")</f>
        <v>0.923367699360648</v>
      </c>
      <c r="G124" s="52">
        <f>IFERROR('Net Income'!G124/'Avg Shares Outstanding'!G124,"")</f>
        <v>1.0139097325285336</v>
      </c>
      <c r="H124" s="52">
        <f>IFERROR('Net Income'!H124/'Avg Shares Outstanding'!H124,"")</f>
        <v>1.0818387178695335</v>
      </c>
      <c r="I124" s="52">
        <f>IFERROR('Net Income'!I124/'Avg Shares Outstanding'!I124,"")</f>
        <v>1.1060789241132536</v>
      </c>
      <c r="J124" s="52">
        <f>IFERROR('Net Income'!J124/'Avg Shares Outstanding'!J124,"")</f>
        <v>1.168449362699012</v>
      </c>
      <c r="K124" s="52">
        <f>IFERROR('Net Income'!K124/'Avg Shares Outstanding'!K124,"")</f>
        <v>0.35507248427060439</v>
      </c>
      <c r="L124" s="52">
        <f>IFERROR('Net Income'!L124/'Avg Shares Outstanding'!L124,"")</f>
        <v>1.0415693183023911</v>
      </c>
      <c r="M124" s="52">
        <f>IFERROR('Net Income'!M124/'Avg Shares Outstanding'!M124,"")</f>
        <v>1.3269268150061608</v>
      </c>
      <c r="N124" s="52">
        <f>IFERROR('Net Income'!N124/'Avg Shares Outstanding'!N124,"")</f>
        <v>1.7300264889207251</v>
      </c>
    </row>
    <row r="125" spans="1:14" x14ac:dyDescent="0.3">
      <c r="A125" s="51" t="str">
        <f>'Net Income'!A125</f>
        <v>SAN.MC</v>
      </c>
      <c r="B125" s="51" t="str">
        <f>'Net Income'!B125</f>
        <v>Banco Santander</v>
      </c>
      <c r="C125" s="51" t="str">
        <f>'Net Income'!C125</f>
        <v>Spain</v>
      </c>
      <c r="D125" s="51" t="str">
        <f>'Net Income'!D125</f>
        <v>IBEX 35</v>
      </c>
      <c r="E125" s="52">
        <f>IFERROR('Net Income'!E125/'Avg Shares Outstanding'!E125,"")</f>
        <v>0.43850855799606264</v>
      </c>
      <c r="F125" s="52">
        <f>IFERROR('Net Income'!F125/'Avg Shares Outstanding'!F125,"")</f>
        <v>0.41243711979284009</v>
      </c>
      <c r="G125" s="52">
        <f>IFERROR('Net Income'!G125/'Avg Shares Outstanding'!G125,"")</f>
        <v>0.4120450113264133</v>
      </c>
      <c r="H125" s="52">
        <f>IFERROR('Net Income'!H125/'Avg Shares Outstanding'!H125,"")</f>
        <v>0.48358860640475648</v>
      </c>
      <c r="I125" s="52">
        <f>IFERROR('Net Income'!I125/'Avg Shares Outstanding'!I125,"")</f>
        <v>0.38190487233239595</v>
      </c>
      <c r="J125" s="52">
        <f>IFERROR('Net Income'!J125/'Avg Shares Outstanding'!J125,"")</f>
        <v>-0.50651730287014729</v>
      </c>
      <c r="K125" s="52">
        <f>IFERROR('Net Income'!K125/'Avg Shares Outstanding'!K125,"")</f>
        <v>0.47035514882276602</v>
      </c>
      <c r="L125" s="52">
        <f>IFERROR('Net Income'!L125/'Avg Shares Outstanding'!L125,"")</f>
        <v>0.57008566716790288</v>
      </c>
      <c r="M125" s="52">
        <f>IFERROR('Net Income'!M125/'Avg Shares Outstanding'!M125,"")</f>
        <v>0.68488386005886071</v>
      </c>
      <c r="N125" s="52">
        <f>IFERROR('Net Income'!N125/'Avg Shares Outstanding'!N125,"")</f>
        <v>0.81135106858755679</v>
      </c>
    </row>
    <row r="126" spans="1:14" x14ac:dyDescent="0.3">
      <c r="A126" s="51" t="str">
        <f>'Net Income'!A126</f>
        <v>IBE.MC</v>
      </c>
      <c r="B126" s="51" t="str">
        <f>'Net Income'!B126</f>
        <v>Iberdrola</v>
      </c>
      <c r="C126" s="51" t="str">
        <f>'Net Income'!C126</f>
        <v>Spain</v>
      </c>
      <c r="D126" s="51" t="str">
        <f>'Net Income'!D126</f>
        <v>IBEX 35</v>
      </c>
      <c r="E126" s="52">
        <f>IFERROR('Net Income'!E126/'Avg Shares Outstanding'!E126,"")</f>
        <v>0.38465545756903374</v>
      </c>
      <c r="F126" s="52">
        <f>IFERROR('Net Income'!F126/'Avg Shares Outstanding'!F126,"")</f>
        <v>0.4117045865169186</v>
      </c>
      <c r="G126" s="52">
        <f>IFERROR('Net Income'!G126/'Avg Shares Outstanding'!G126,"")</f>
        <v>0.41974358226141678</v>
      </c>
      <c r="H126" s="52">
        <f>IFERROR('Net Income'!H126/'Avg Shares Outstanding'!H126,"")</f>
        <v>0.44719888334590818</v>
      </c>
      <c r="I126" s="52">
        <f>IFERROR('Net Income'!I126/'Avg Shares Outstanding'!I126,"")</f>
        <v>0.51037253193882204</v>
      </c>
      <c r="J126" s="52">
        <f>IFERROR('Net Income'!J126/'Avg Shares Outstanding'!J126,"")</f>
        <v>0.56096654644697364</v>
      </c>
      <c r="K126" s="52">
        <f>IFERROR('Net Income'!K126/'Avg Shares Outstanding'!K126,"")</f>
        <v>0.60330471220579385</v>
      </c>
      <c r="L126" s="52">
        <f>IFERROR('Net Income'!L126/'Avg Shares Outstanding'!L126,"")</f>
        <v>0.65171746853649548</v>
      </c>
      <c r="M126" s="52">
        <f>IFERROR('Net Income'!M126/'Avg Shares Outstanding'!M126,"")</f>
        <v>0.74678430294534337</v>
      </c>
      <c r="N126" s="52">
        <f>IFERROR('Net Income'!N126/'Avg Shares Outstanding'!N126,"")</f>
        <v>0.87139271443022914</v>
      </c>
    </row>
    <row r="127" spans="1:14" x14ac:dyDescent="0.3">
      <c r="A127" s="51" t="str">
        <f>'Net Income'!A127</f>
        <v>BBVA.MC</v>
      </c>
      <c r="B127" s="51" t="str">
        <f>'Net Income'!B127</f>
        <v>BBVA</v>
      </c>
      <c r="C127" s="51" t="str">
        <f>'Net Income'!C127</f>
        <v>Spain</v>
      </c>
      <c r="D127" s="51" t="str">
        <f>'Net Income'!D127</f>
        <v>IBEX 35</v>
      </c>
      <c r="E127" s="52">
        <f>IFERROR('Net Income'!E127/'Avg Shares Outstanding'!E127,"")</f>
        <v>0.40540125824765999</v>
      </c>
      <c r="F127" s="52">
        <f>IFERROR('Net Income'!F127/'Avg Shares Outstanding'!F127,"")</f>
        <v>0.5</v>
      </c>
      <c r="G127" s="52">
        <f>IFERROR('Net Income'!G127/'Avg Shares Outstanding'!G127,"")</f>
        <v>0.47931798806479115</v>
      </c>
      <c r="H127" s="52">
        <f>IFERROR('Net Income'!H127/'Avg Shares Outstanding'!H127,"")</f>
        <v>0.8137432188065099</v>
      </c>
      <c r="I127" s="52">
        <f>IFERROR('Net Income'!I127/'Avg Shares Outstanding'!I127,"")</f>
        <v>0.52827918170878463</v>
      </c>
      <c r="J127" s="52">
        <f>IFERROR('Net Income'!J127/'Avg Shares Outstanding'!J127,"")</f>
        <v>0.19613636903335882</v>
      </c>
      <c r="K127" s="52">
        <f>IFERROR('Net Income'!K127/'Avg Shares Outstanding'!K127,"")</f>
        <v>0.72691766911420086</v>
      </c>
      <c r="L127" s="52">
        <f>IFERROR('Net Income'!L127/'Avg Shares Outstanding'!L127,"")</f>
        <v>1.0273065115527549</v>
      </c>
      <c r="M127" s="52">
        <f>IFERROR('Net Income'!M127/'Avg Shares Outstanding'!M127,"")</f>
        <v>1.3465994962216625</v>
      </c>
      <c r="N127" s="52">
        <f>IFERROR('Net Income'!N127/'Avg Shares Outstanding'!N127,"")</f>
        <v>1.6683047160057194</v>
      </c>
    </row>
    <row r="128" spans="1:14" x14ac:dyDescent="0.3">
      <c r="A128" s="51" t="str">
        <f>'Net Income'!A128</f>
        <v>TEF.MC</v>
      </c>
      <c r="B128" s="51" t="str">
        <f>'Net Income'!B128</f>
        <v>Telefonica</v>
      </c>
      <c r="C128" s="51" t="str">
        <f>'Net Income'!C128</f>
        <v>Spain</v>
      </c>
      <c r="D128" s="51" t="str">
        <f>'Net Income'!D128</f>
        <v>IBEX 35</v>
      </c>
      <c r="E128" s="52">
        <f>IFERROR('Net Income'!E128/'Avg Shares Outstanding'!E128,"")</f>
        <v>0.55702110389610393</v>
      </c>
      <c r="F128" s="52">
        <f>IFERROR('Net Income'!F128/'Avg Shares Outstanding'!F128,"")</f>
        <v>0.48255804242355355</v>
      </c>
      <c r="G128" s="52">
        <f>IFERROR('Net Income'!G128/'Avg Shares Outstanding'!G128,"")</f>
        <v>0.61289330255560071</v>
      </c>
      <c r="H128" s="52">
        <f>IFERROR('Net Income'!H128/'Avg Shares Outstanding'!H128,"")</f>
        <v>0.64975153977070466</v>
      </c>
      <c r="I128" s="52">
        <f>IFERROR('Net Income'!I128/'Avg Shares Outstanding'!I128,"")</f>
        <v>0.32505472601051194</v>
      </c>
      <c r="J128" s="52">
        <f>IFERROR('Net Income'!J128/'Avg Shares Outstanding'!J128,"")</f>
        <v>0.28915257459112875</v>
      </c>
      <c r="K128" s="52">
        <f>IFERROR('Net Income'!K128/'Avg Shares Outstanding'!K128,"")</f>
        <v>1.4209052407951552</v>
      </c>
      <c r="L128" s="52">
        <f>IFERROR('Net Income'!L128/'Avg Shares Outstanding'!L128,"")</f>
        <v>0.35034202336019987</v>
      </c>
      <c r="M128" s="52">
        <f>IFERROR('Net Income'!M128/'Avg Shares Outstanding'!M128,"")</f>
        <v>-0.15737079275713275</v>
      </c>
      <c r="N128" s="52">
        <f>IFERROR('Net Income'!N128/'Avg Shares Outstanding'!N128,"")</f>
        <v>-8.6945798166863184E-3</v>
      </c>
    </row>
    <row r="129" spans="1:14" x14ac:dyDescent="0.3">
      <c r="A129" s="51" t="str">
        <f>'Net Income'!A129</f>
        <v>FER.MC</v>
      </c>
      <c r="B129" s="51" t="str">
        <f>'Net Income'!B129</f>
        <v>Ferrovial</v>
      </c>
      <c r="C129" s="51" t="str">
        <f>'Net Income'!C129</f>
        <v>Spain</v>
      </c>
      <c r="D129" s="51" t="str">
        <f>'Net Income'!D129</f>
        <v>IBEX 35</v>
      </c>
      <c r="E129" s="52">
        <f>IFERROR('Net Income'!E129/'Avg Shares Outstanding'!E129,"")</f>
        <v>0.98379471483617087</v>
      </c>
      <c r="F129" s="52">
        <f>IFERROR('Net Income'!F129/'Avg Shares Outstanding'!F129,"")</f>
        <v>0.49510686934445741</v>
      </c>
      <c r="G129" s="52">
        <f>IFERROR('Net Income'!G129/'Avg Shares Outstanding'!G129,"")</f>
        <v>0.62115880321579664</v>
      </c>
      <c r="H129" s="52">
        <f>IFERROR('Net Income'!H129/'Avg Shares Outstanding'!H129,"")</f>
        <v>-0.55350462324620575</v>
      </c>
      <c r="I129" s="52">
        <f>IFERROR('Net Income'!I129/'Avg Shares Outstanding'!I129,"")</f>
        <v>0.36628084173524184</v>
      </c>
      <c r="J129" s="52">
        <f>IFERROR('Net Income'!J129/'Avg Shares Outstanding'!J129,"")</f>
        <v>-0.56770558574094954</v>
      </c>
      <c r="K129" s="52">
        <f>IFERROR('Net Income'!K129/'Avg Shares Outstanding'!K129,"")</f>
        <v>1.6371219450867209</v>
      </c>
      <c r="L129" s="52">
        <f>IFERROR('Net Income'!L129/'Avg Shares Outstanding'!L129,"")</f>
        <v>0.25985622210519477</v>
      </c>
      <c r="M129" s="52">
        <f>IFERROR('Net Income'!M129/'Avg Shares Outstanding'!M129,"")</f>
        <v>0.63164688193009322</v>
      </c>
      <c r="N129" s="52">
        <f>IFERROR('Net Income'!N129/'Avg Shares Outstanding'!N129,"")</f>
        <v>4.4725769859056523</v>
      </c>
    </row>
    <row r="130" spans="1:14" x14ac:dyDescent="0.3">
      <c r="A130" s="51" t="str">
        <f>'Net Income'!A130</f>
        <v>CABK.MC</v>
      </c>
      <c r="B130" s="51" t="str">
        <f>'Net Income'!B130</f>
        <v>CaixaBank</v>
      </c>
      <c r="C130" s="51" t="str">
        <f>'Net Income'!C130</f>
        <v>Spain</v>
      </c>
      <c r="D130" s="51" t="str">
        <f>'Net Income'!D130</f>
        <v>IBEX 35</v>
      </c>
      <c r="E130" s="52">
        <f>IFERROR('Net Income'!E130/'Avg Shares Outstanding'!E130,"")</f>
        <v>0.13993280490141083</v>
      </c>
      <c r="F130" s="52">
        <f>IFERROR('Net Income'!F130/'Avg Shares Outstanding'!F130,"")</f>
        <v>0.17922120382439813</v>
      </c>
      <c r="G130" s="52">
        <f>IFERROR('Net Income'!G130/'Avg Shares Outstanding'!G130,"")</f>
        <v>0.28170847154585515</v>
      </c>
      <c r="H130" s="52">
        <f>IFERROR('Net Income'!H130/'Avg Shares Outstanding'!H130,"")</f>
        <v>0.33201519676207408</v>
      </c>
      <c r="I130" s="52">
        <f>IFERROR('Net Income'!I130/'Avg Shares Outstanding'!I130,"")</f>
        <v>0.28521244563399129</v>
      </c>
      <c r="J130" s="52">
        <f>IFERROR('Net Income'!J130/'Avg Shares Outstanding'!J130,"")</f>
        <v>0.23105236740839885</v>
      </c>
      <c r="K130" s="52">
        <f>IFERROR('Net Income'!K130/'Avg Shares Outstanding'!K130,"")</f>
        <v>0.68990099009900985</v>
      </c>
      <c r="L130" s="52">
        <f>IFERROR('Net Income'!L130/'Avg Shares Outstanding'!L130,"")</f>
        <v>0.40017905102954343</v>
      </c>
      <c r="M130" s="52">
        <f>IFERROR('Net Income'!M130/'Avg Shares Outstanding'!M130,"")</f>
        <v>0.64471218206157965</v>
      </c>
      <c r="N130" s="52">
        <f>IFERROR('Net Income'!N130/'Avg Shares Outstanding'!N130,"")</f>
        <v>0.79688790966675849</v>
      </c>
    </row>
    <row r="131" spans="1:14" x14ac:dyDescent="0.3">
      <c r="A131" s="51" t="str">
        <f>'Net Income'!A131</f>
        <v>AMS.MC</v>
      </c>
      <c r="B131" s="51" t="str">
        <f>'Net Income'!B131</f>
        <v>Amadeus IT</v>
      </c>
      <c r="C131" s="51" t="str">
        <f>'Net Income'!C131</f>
        <v>Spain</v>
      </c>
      <c r="D131" s="51" t="str">
        <f>'Net Income'!D131</f>
        <v>IBEX 35</v>
      </c>
      <c r="E131" s="52">
        <f>IFERROR('Net Income'!E131/'Avg Shares Outstanding'!E131,"")</f>
        <v>1.5666195589179936</v>
      </c>
      <c r="F131" s="52">
        <f>IFERROR('Net Income'!F131/'Avg Shares Outstanding'!F131,"")</f>
        <v>1.8897953751087004</v>
      </c>
      <c r="G131" s="52">
        <f>IFERROR('Net Income'!G131/'Avg Shares Outstanding'!G131,"")</f>
        <v>2.2941856256952082</v>
      </c>
      <c r="H131" s="52">
        <f>IFERROR('Net Income'!H131/'Avg Shares Outstanding'!H131,"")</f>
        <v>2.3291720202885382</v>
      </c>
      <c r="I131" s="52">
        <f>IFERROR('Net Income'!I131/'Avg Shares Outstanding'!I131,"")</f>
        <v>2.5837205480723306</v>
      </c>
      <c r="J131" s="52">
        <f>IFERROR('Net Income'!J131/'Avg Shares Outstanding'!J131,"")</f>
        <v>-1.4047398176578536</v>
      </c>
      <c r="K131" s="52">
        <f>IFERROR('Net Income'!K131/'Avg Shares Outstanding'!K131,"")</f>
        <v>-0.31642142091869968</v>
      </c>
      <c r="L131" s="52">
        <f>IFERROR('Net Income'!L131/'Avg Shares Outstanding'!L131,"")</f>
        <v>1.4766117051743286</v>
      </c>
      <c r="M131" s="52">
        <f>IFERROR('Net Income'!M131/'Avg Shares Outstanding'!M131,"")</f>
        <v>2.4977703220535568</v>
      </c>
      <c r="N131" s="52">
        <f>IFERROR('Net Income'!N131/'Avg Shares Outstanding'!N131,"")</f>
        <v>2.873395431666343</v>
      </c>
    </row>
    <row r="132" spans="1:14" x14ac:dyDescent="0.3">
      <c r="A132" s="51" t="str">
        <f>'Net Income'!A132</f>
        <v>REP.MC</v>
      </c>
      <c r="B132" s="51" t="str">
        <f>'Net Income'!B132</f>
        <v>Repsol</v>
      </c>
      <c r="C132" s="51" t="str">
        <f>'Net Income'!C132</f>
        <v>Spain</v>
      </c>
      <c r="D132" s="51" t="str">
        <f>'Net Income'!D132</f>
        <v>IBEX 35</v>
      </c>
      <c r="E132" s="52">
        <f>IFERROR('Net Income'!E132/'Avg Shares Outstanding'!E132,"")</f>
        <v>-0.94014794889038333</v>
      </c>
      <c r="F132" s="52">
        <f>IFERROR('Net Income'!F132/'Avg Shares Outstanding'!F132,"")</f>
        <v>1.1287386215864759</v>
      </c>
      <c r="G132" s="52">
        <f>IFERROR('Net Income'!G132/'Avg Shares Outstanding'!G132,"")</f>
        <v>1.3076448828606659</v>
      </c>
      <c r="H132" s="52">
        <f>IFERROR('Net Income'!H132/'Avg Shares Outstanding'!H132,"")</f>
        <v>1.4009575104727707</v>
      </c>
      <c r="I132" s="52">
        <f>IFERROR('Net Income'!I132/'Avg Shares Outstanding'!I132,"")</f>
        <v>-2.3317159192771681</v>
      </c>
      <c r="J132" s="52">
        <f>IFERROR('Net Income'!J132/'Avg Shares Outstanding'!J132,"")</f>
        <v>-2.0922391857506359</v>
      </c>
      <c r="K132" s="52">
        <f>IFERROR('Net Income'!K132/'Avg Shares Outstanding'!K132,"")</f>
        <v>1.676056338028169</v>
      </c>
      <c r="L132" s="52">
        <f>IFERROR('Net Income'!L132/'Avg Shares Outstanding'!L132,"")</f>
        <v>3.0063649222065063</v>
      </c>
      <c r="M132" s="52">
        <f>IFERROR('Net Income'!M132/'Avg Shares Outstanding'!M132,"")</f>
        <v>2.5063291139240507</v>
      </c>
      <c r="N132" s="52">
        <f>IFERROR('Net Income'!N132/'Avg Shares Outstanding'!N132,"")</f>
        <v>1.4843617920540997</v>
      </c>
    </row>
    <row r="133" spans="1:14" x14ac:dyDescent="0.3">
      <c r="A133" s="51" t="str">
        <f>'Net Income'!A133</f>
        <v>AENA.MC</v>
      </c>
      <c r="B133" s="51" t="str">
        <f>'Net Income'!B133</f>
        <v>Aena</v>
      </c>
      <c r="C133" s="51" t="str">
        <f>'Net Income'!C133</f>
        <v>Spain</v>
      </c>
      <c r="D133" s="51" t="str">
        <f>'Net Income'!D133</f>
        <v>IBEX 35</v>
      </c>
      <c r="E133" s="52" t="str">
        <f>IFERROR('Net Income'!E133/'Avg Shares Outstanding'!E133,"")</f>
        <v/>
      </c>
      <c r="F133" s="52">
        <f>IFERROR('Net Income'!F133/'Avg Shares Outstanding'!F133,"")</f>
        <v>7.7609933333333334</v>
      </c>
      <c r="G133" s="52">
        <f>IFERROR('Net Income'!G133/'Avg Shares Outstanding'!G133,"")</f>
        <v>8.2133666666666674</v>
      </c>
      <c r="H133" s="52">
        <f>IFERROR('Net Income'!H133/'Avg Shares Outstanding'!H133,"")</f>
        <v>8.852546666666667</v>
      </c>
      <c r="I133" s="52">
        <f>IFERROR('Net Income'!I133/'Avg Shares Outstanding'!I133,"")</f>
        <v>9.6134799999999991</v>
      </c>
      <c r="J133" s="52">
        <f>IFERROR('Net Income'!J133/'Avg Shares Outstanding'!J133,"")</f>
        <v>-1.0716533333333333</v>
      </c>
      <c r="K133" s="52">
        <f>IFERROR('Net Income'!K133/'Avg Shares Outstanding'!K133,"")</f>
        <v>-0.59722666666666668</v>
      </c>
      <c r="L133" s="52">
        <f>IFERROR('Net Income'!L133/'Avg Shares Outstanding'!L133,"")</f>
        <v>6.0099933333333331</v>
      </c>
      <c r="M133" s="52">
        <f>IFERROR('Net Income'!M133/'Avg Shares Outstanding'!M133,"")</f>
        <v>10.869999988735502</v>
      </c>
      <c r="N133" s="52">
        <f>IFERROR('Net Income'!N133/'Avg Shares Outstanding'!N133,"")</f>
        <v>12.889999963213775</v>
      </c>
    </row>
    <row r="134" spans="1:14" x14ac:dyDescent="0.3">
      <c r="A134" s="51" t="str">
        <f>'Net Income'!A134</f>
        <v>ENG.MC</v>
      </c>
      <c r="B134" s="51" t="str">
        <f>'Net Income'!B134</f>
        <v>Enagas</v>
      </c>
      <c r="C134" s="51" t="str">
        <f>'Net Income'!C134</f>
        <v>Spain</v>
      </c>
      <c r="D134" s="51" t="str">
        <f>'Net Income'!D134</f>
        <v>IBEX 35</v>
      </c>
      <c r="E134" s="52">
        <f>IFERROR('Net Income'!E134/'Avg Shares Outstanding'!E134,"")</f>
        <v>1.7285430646661137</v>
      </c>
      <c r="F134" s="52">
        <f>IFERROR('Net Income'!F134/'Avg Shares Outstanding'!F134,"")</f>
        <v>1.7499014369238255</v>
      </c>
      <c r="G134" s="52">
        <f>IFERROR('Net Income'!G134/'Avg Shares Outstanding'!G134,"")</f>
        <v>2.0586555157575095</v>
      </c>
      <c r="H134" s="52">
        <f>IFERROR('Net Income'!H134/'Avg Shares Outstanding'!H134,"")</f>
        <v>1.8564502193552717</v>
      </c>
      <c r="I134" s="52">
        <f>IFERROR('Net Income'!I134/'Avg Shares Outstanding'!I134,"")</f>
        <v>1.7688090135940535</v>
      </c>
      <c r="J134" s="52">
        <f>IFERROR('Net Income'!J134/'Avg Shares Outstanding'!J134,"")</f>
        <v>1.6979823165881418</v>
      </c>
      <c r="K134" s="52">
        <f>IFERROR('Net Income'!K134/'Avg Shares Outstanding'!K134,"")</f>
        <v>1.5443385547329131</v>
      </c>
      <c r="L134" s="52">
        <f>IFERROR('Net Income'!L134/'Avg Shares Outstanding'!L134,"")</f>
        <v>1.4378520264479</v>
      </c>
      <c r="M134" s="52">
        <f>IFERROR('Net Income'!M134/'Avg Shares Outstanding'!M134,"")</f>
        <v>1.3099999986231783</v>
      </c>
      <c r="N134" s="52">
        <f>IFERROR('Net Income'!N134/'Avg Shares Outstanding'!N134,"")</f>
        <v>-1.1466503721808687</v>
      </c>
    </row>
    <row r="135" spans="1:14" x14ac:dyDescent="0.3">
      <c r="A135" s="51" t="str">
        <f>'Net Income'!A135</f>
        <v>RED.MC</v>
      </c>
      <c r="B135" s="51" t="str">
        <f>'Net Income'!B135</f>
        <v>Redeia (REE)</v>
      </c>
      <c r="C135" s="51" t="str">
        <f>'Net Income'!C135</f>
        <v>Spain</v>
      </c>
      <c r="D135" s="51" t="str">
        <f>'Net Income'!D135</f>
        <v>IBEX 35</v>
      </c>
      <c r="E135" s="52">
        <f>IFERROR('Net Income'!E135/'Avg Shares Outstanding'!E135,"")</f>
        <v>1.1227764047797353</v>
      </c>
      <c r="F135" s="52">
        <f>IFERROR('Net Income'!F135/'Avg Shares Outstanding'!F135,"")</f>
        <v>1.1813743976788824</v>
      </c>
      <c r="G135" s="52">
        <f>IFERROR('Net Income'!G135/'Avg Shares Outstanding'!G135,"")</f>
        <v>1.2421495656404158</v>
      </c>
      <c r="H135" s="52">
        <f>IFERROR('Net Income'!H135/'Avg Shares Outstanding'!H135,"")</f>
        <v>1.3074224609815188</v>
      </c>
      <c r="I135" s="52">
        <f>IFERROR('Net Income'!I135/'Avg Shares Outstanding'!I135,"")</f>
        <v>1.3247895744232487</v>
      </c>
      <c r="J135" s="52">
        <f>IFERROR('Net Income'!J135/'Avg Shares Outstanding'!J135,"")</f>
        <v>1.1528188710108713</v>
      </c>
      <c r="K135" s="52">
        <f>IFERROR('Net Income'!K135/'Avg Shares Outstanding'!K135,"")</f>
        <v>1.2626904516325248</v>
      </c>
      <c r="L135" s="52">
        <f>IFERROR('Net Income'!L135/'Avg Shares Outstanding'!L135,"")</f>
        <v>1.2325624558313755</v>
      </c>
      <c r="M135" s="52">
        <f>IFERROR('Net Income'!M135/'Avg Shares Outstanding'!M135,"")</f>
        <v>1.2779866574034562</v>
      </c>
      <c r="N135" s="52">
        <f>IFERROR('Net Income'!N135/'Avg Shares Outstanding'!N135,"")</f>
        <v>0.68276035044431094</v>
      </c>
    </row>
    <row r="136" spans="1:14" x14ac:dyDescent="0.3">
      <c r="A136" s="51" t="str">
        <f>'Net Income'!A136</f>
        <v>MAP.MC</v>
      </c>
      <c r="B136" s="51" t="str">
        <f>'Net Income'!B136</f>
        <v>MAPFRE</v>
      </c>
      <c r="C136" s="51" t="str">
        <f>'Net Income'!C136</f>
        <v>Spain</v>
      </c>
      <c r="D136" s="51" t="str">
        <f>'Net Income'!D136</f>
        <v>IBEX 35</v>
      </c>
      <c r="E136" s="52">
        <f>IFERROR('Net Income'!E136/'Avg Shares Outstanding'!E136,"")</f>
        <v>0.23022921912687963</v>
      </c>
      <c r="F136" s="52">
        <f>IFERROR('Net Income'!F136/'Avg Shares Outstanding'!F136,"")</f>
        <v>0.25424040512850038</v>
      </c>
      <c r="G136" s="52">
        <f>IFERROR('Net Income'!G136/'Avg Shares Outstanding'!G136,"")</f>
        <v>0.22944655254740215</v>
      </c>
      <c r="H136" s="52">
        <f>IFERROR('Net Income'!H136/'Avg Shares Outstanding'!H136,"")</f>
        <v>0.17308938990131817</v>
      </c>
      <c r="I136" s="52">
        <f>IFERROR('Net Income'!I136/'Avg Shares Outstanding'!I136,"")</f>
        <v>0.19961466374824699</v>
      </c>
      <c r="J136" s="52">
        <f>IFERROR('Net Income'!J136/'Avg Shares Outstanding'!J136,"")</f>
        <v>0.17266824085005902</v>
      </c>
      <c r="K136" s="52">
        <f>IFERROR('Net Income'!K136/'Avg Shares Outstanding'!K136,"")</f>
        <v>0.25093461008723028</v>
      </c>
      <c r="L136" s="52">
        <f>IFERROR('Net Income'!L136/'Avg Shares Outstanding'!L136,"")</f>
        <v>0.18450860996529825</v>
      </c>
      <c r="M136" s="52">
        <f>IFERROR('Net Income'!M136/'Avg Shares Outstanding'!M136,"")</f>
        <v>0.22100385092356895</v>
      </c>
      <c r="N136" s="52">
        <f>IFERROR('Net Income'!N136/'Avg Shares Outstanding'!N136,"")</f>
        <v>0.31541370541826952</v>
      </c>
    </row>
    <row r="137" spans="1:14" x14ac:dyDescent="0.3">
      <c r="A137" s="51" t="str">
        <f>'Net Income'!A137</f>
        <v>ANA.MC</v>
      </c>
      <c r="B137" s="51" t="str">
        <f>'Net Income'!B137</f>
        <v>Acciona</v>
      </c>
      <c r="C137" s="51" t="str">
        <f>'Net Income'!C137</f>
        <v>Spain</v>
      </c>
      <c r="D137" s="51" t="str">
        <f>'Net Income'!D137</f>
        <v>IBEX 35</v>
      </c>
      <c r="E137" s="52">
        <f>IFERROR('Net Income'!E137/'Avg Shares Outstanding'!E137,"")</f>
        <v>3.650397480154516</v>
      </c>
      <c r="F137" s="52">
        <f>IFERROR('Net Income'!F137/'Avg Shares Outstanding'!F137,"")</f>
        <v>6.1739725016767979</v>
      </c>
      <c r="G137" s="52">
        <f>IFERROR('Net Income'!G137/'Avg Shares Outstanding'!G137,"")</f>
        <v>3.8540179631121751</v>
      </c>
      <c r="H137" s="52">
        <f>IFERROR('Net Income'!H137/'Avg Shares Outstanding'!H137,"")</f>
        <v>5.9009887731543378</v>
      </c>
      <c r="I137" s="52">
        <f>IFERROR('Net Income'!I137/'Avg Shares Outstanding'!I137,"")</f>
        <v>6.4600690497283209</v>
      </c>
      <c r="J137" s="52">
        <f>IFERROR('Net Income'!J137/'Avg Shares Outstanding'!J137,"")</f>
        <v>7.0987487614393485</v>
      </c>
      <c r="K137" s="52">
        <f>IFERROR('Net Income'!K137/'Avg Shares Outstanding'!K137,"")</f>
        <v>6.0774234829043996</v>
      </c>
      <c r="L137" s="52">
        <f>IFERROR('Net Income'!L137/'Avg Shares Outstanding'!L137,"")</f>
        <v>11.246259041649395</v>
      </c>
      <c r="M137" s="52">
        <f>IFERROR('Net Income'!M137/'Avg Shares Outstanding'!M137,"")</f>
        <v>9.8859839060202184</v>
      </c>
      <c r="N137" s="52">
        <f>IFERROR('Net Income'!N137/'Avg Shares Outstanding'!N137,"")</f>
        <v>7.7463883840886982</v>
      </c>
    </row>
    <row r="138" spans="1:14" x14ac:dyDescent="0.3">
      <c r="A138" s="51" t="str">
        <f>'Net Income'!A138</f>
        <v>ACS.MC</v>
      </c>
      <c r="B138" s="51" t="str">
        <f>'Net Income'!B138</f>
        <v>ACS</v>
      </c>
      <c r="C138" s="51" t="str">
        <f>'Net Income'!C138</f>
        <v>Spain</v>
      </c>
      <c r="D138" s="51" t="str">
        <f>'Net Income'!D138</f>
        <v>IBEX 35</v>
      </c>
      <c r="E138" s="52">
        <f>IFERROR('Net Income'!E138/'Avg Shares Outstanding'!E138,"")</f>
        <v>2.3332491591968822</v>
      </c>
      <c r="F138" s="52">
        <f>IFERROR('Net Income'!F138/'Avg Shares Outstanding'!F138,"")</f>
        <v>1.6037070254110612</v>
      </c>
      <c r="G138" s="52">
        <f>IFERROR('Net Income'!G138/'Avg Shares Outstanding'!G138,"")</f>
        <v>1.6488183958142739</v>
      </c>
      <c r="H138" s="52">
        <f>IFERROR('Net Income'!H138/'Avg Shares Outstanding'!H138,"")</f>
        <v>1.9619850897550459</v>
      </c>
      <c r="I138" s="52">
        <f>IFERROR('Net Income'!I138/'Avg Shares Outstanding'!I138,"")</f>
        <v>1.6349978753443999</v>
      </c>
      <c r="J138" s="52">
        <f>IFERROR('Net Income'!J138/'Avg Shares Outstanding'!J138,"")</f>
        <v>1.9534078843483706</v>
      </c>
      <c r="K138" s="52">
        <f>IFERROR('Net Income'!K138/'Avg Shares Outstanding'!K138,"")</f>
        <v>9.4622122106571389</v>
      </c>
      <c r="L138" s="52">
        <f>IFERROR('Net Income'!L138/'Avg Shares Outstanding'!L138,"")</f>
        <v>2.3563303101682722</v>
      </c>
      <c r="M138" s="52">
        <f>IFERROR('Net Income'!M138/'Avg Shares Outstanding'!M138,"")</f>
        <v>2.9967847264904734</v>
      </c>
      <c r="N138" s="52">
        <f>IFERROR('Net Income'!N138/'Avg Shares Outstanding'!N138,"")</f>
        <v>3.1992423070975722</v>
      </c>
    </row>
    <row r="139" spans="1:14" x14ac:dyDescent="0.3">
      <c r="A139" s="51" t="str">
        <f>'Net Income'!A139</f>
        <v>GRF.MC</v>
      </c>
      <c r="B139" s="51" t="str">
        <f>'Net Income'!B139</f>
        <v>Grifols</v>
      </c>
      <c r="C139" s="51" t="str">
        <f>'Net Income'!C139</f>
        <v>Spain</v>
      </c>
      <c r="D139" s="51" t="str">
        <f>'Net Income'!D139</f>
        <v>IBEX 35</v>
      </c>
      <c r="E139" s="52">
        <f>IFERROR('Net Income'!E139/'Avg Shares Outstanding'!E139,"")</f>
        <v>0.77653220944833179</v>
      </c>
      <c r="F139" s="52">
        <f>IFERROR('Net Income'!F139/'Avg Shares Outstanding'!F139,"")</f>
        <v>0.79835390880246526</v>
      </c>
      <c r="G139" s="52">
        <f>IFERROR('Net Income'!G139/'Avg Shares Outstanding'!G139,"")</f>
        <v>0.96858029583853533</v>
      </c>
      <c r="H139" s="52">
        <f>IFERROR('Net Income'!H139/'Avg Shares Outstanding'!H139,"")</f>
        <v>0.87137991685485561</v>
      </c>
      <c r="I139" s="52">
        <f>IFERROR('Net Income'!I139/'Avg Shares Outstanding'!I139,"")</f>
        <v>0.91246759620952622</v>
      </c>
      <c r="J139" s="52">
        <f>IFERROR('Net Income'!J139/'Avg Shares Outstanding'!J139,"")</f>
        <v>0.90359003206379762</v>
      </c>
      <c r="K139" s="52">
        <f>IFERROR('Net Income'!K139/'Avg Shares Outstanding'!K139,"")</f>
        <v>0.39102635118544266</v>
      </c>
      <c r="L139" s="52">
        <f>IFERROR('Net Income'!L139/'Avg Shares Outstanding'!L139,"")</f>
        <v>0.30701019580331085</v>
      </c>
      <c r="M139" s="52">
        <f>IFERROR('Net Income'!M139/'Avg Shares Outstanding'!M139,"")</f>
        <v>8.7344535984630156E-2</v>
      </c>
      <c r="N139" s="52">
        <f>IFERROR('Net Income'!N139/'Avg Shares Outstanding'!N139,"")</f>
        <v>0.23079297293051546</v>
      </c>
    </row>
    <row r="140" spans="1:14" x14ac:dyDescent="0.3">
      <c r="A140" s="51" t="str">
        <f>'Net Income'!A140</f>
        <v>CLNX.MC</v>
      </c>
      <c r="B140" s="51" t="str">
        <f>'Net Income'!B140</f>
        <v>Cellnex Telecom</v>
      </c>
      <c r="C140" s="51" t="str">
        <f>'Net Income'!C140</f>
        <v>Spain</v>
      </c>
      <c r="D140" s="51" t="str">
        <f>'Net Income'!D140</f>
        <v>IBEX 35</v>
      </c>
      <c r="E140" s="52" t="str">
        <f>IFERROR('Net Income'!E140/'Avg Shares Outstanding'!E140,"")</f>
        <v/>
      </c>
      <c r="F140" s="52">
        <f>IFERROR('Net Income'!F140/'Avg Shares Outstanding'!F140,"")</f>
        <v>0.13086021365857367</v>
      </c>
      <c r="G140" s="52">
        <f>IFERROR('Net Income'!G140/'Avg Shares Outstanding'!G140,"")</f>
        <v>0.10825185841286715</v>
      </c>
      <c r="H140" s="52">
        <f>IFERROR('Net Income'!H140/'Avg Shares Outstanding'!H140,"")</f>
        <v>-4.9280069591365175E-2</v>
      </c>
      <c r="I140" s="52">
        <f>IFERROR('Net Income'!I140/'Avg Shares Outstanding'!I140,"")</f>
        <v>-5.3966049343827906E-2</v>
      </c>
      <c r="J140" s="52">
        <f>IFERROR('Net Income'!J140/'Avg Shares Outstanding'!J140,"")</f>
        <v>-0.32564800827618451</v>
      </c>
      <c r="K140" s="52">
        <f>IFERROR('Net Income'!K140/'Avg Shares Outstanding'!K140,"")</f>
        <v>-0.59379783704274558</v>
      </c>
      <c r="L140" s="52">
        <f>IFERROR('Net Income'!L140/'Avg Shares Outstanding'!L140,"")</f>
        <v>-0.44154292862767386</v>
      </c>
      <c r="M140" s="52">
        <f>IFERROR('Net Income'!M140/'Avg Shares Outstanding'!M140,"")</f>
        <v>-0.4444657078428863</v>
      </c>
      <c r="N140" s="52">
        <f>IFERROR('Net Income'!N140/'Avg Shares Outstanding'!N140,"")</f>
        <v>-5.1081548089422231E-2</v>
      </c>
    </row>
    <row r="141" spans="1:14" x14ac:dyDescent="0.3">
      <c r="A141" s="51" t="str">
        <f>'Net Income'!A141</f>
        <v>IAG.MC</v>
      </c>
      <c r="B141" s="51" t="str">
        <f>'Net Income'!B141</f>
        <v>IAG</v>
      </c>
      <c r="C141" s="51" t="str">
        <f>'Net Income'!C141</f>
        <v>Spain</v>
      </c>
      <c r="D141" s="51" t="str">
        <f>'Net Income'!D141</f>
        <v>IBEX 35</v>
      </c>
      <c r="E141" s="52">
        <f>IFERROR('Net Income'!E141/'Avg Shares Outstanding'!E141,"")</f>
        <v>0.70372400022662074</v>
      </c>
      <c r="F141" s="52">
        <f>IFERROR('Net Income'!F141/'Avg Shares Outstanding'!F141,"")</f>
        <v>0.88512300002905731</v>
      </c>
      <c r="G141" s="52">
        <f>IFERROR('Net Income'!G141/'Avg Shares Outstanding'!G141,"")</f>
        <v>0.92045600006657269</v>
      </c>
      <c r="H141" s="52">
        <f>IFERROR('Net Income'!H141/'Avg Shares Outstanding'!H141,"")</f>
        <v>1.373823000358956</v>
      </c>
      <c r="I141" s="52">
        <f>IFERROR('Net Income'!I141/'Avg Shares Outstanding'!I141,"")</f>
        <v>0.84278200026657368</v>
      </c>
      <c r="J141" s="52">
        <f>IFERROR('Net Income'!J141/'Avg Shares Outstanding'!J141,"")</f>
        <v>-1.9660000005267235</v>
      </c>
      <c r="K141" s="52">
        <f>IFERROR('Net Income'!K141/'Avg Shares Outstanding'!K141,"")</f>
        <v>-0.59100000008321962</v>
      </c>
      <c r="L141" s="52">
        <f>IFERROR('Net Income'!L141/'Avg Shares Outstanding'!L141,"")</f>
        <v>8.6922850424127035E-2</v>
      </c>
      <c r="M141" s="52">
        <f>IFERROR('Net Income'!M141/'Avg Shares Outstanding'!M141,"")</f>
        <v>0.53825230389218248</v>
      </c>
      <c r="N141" s="52">
        <f>IFERROR('Net Income'!N141/'Avg Shares Outstanding'!N141,"")</f>
        <v>0.5571583942988747</v>
      </c>
    </row>
    <row r="142" spans="1:14" x14ac:dyDescent="0.3">
      <c r="A142" s="51" t="str">
        <f>'Net Income'!A142</f>
        <v>MRL.MC</v>
      </c>
      <c r="B142" s="51" t="str">
        <f>'Net Income'!B142</f>
        <v>Merlin Properties</v>
      </c>
      <c r="C142" s="51" t="str">
        <f>'Net Income'!C142</f>
        <v>Spain</v>
      </c>
      <c r="D142" s="51" t="str">
        <f>'Net Income'!D142</f>
        <v>IBEX 35</v>
      </c>
      <c r="E142" s="52">
        <f>IFERROR('Net Income'!E142/'Avg Shares Outstanding'!E142,"")</f>
        <v>0.21970883024373927</v>
      </c>
      <c r="F142" s="52">
        <f>IFERROR('Net Income'!F142/'Avg Shares Outstanding'!F142,"")</f>
        <v>1.6190413951130855</v>
      </c>
      <c r="G142" s="52">
        <f>IFERROR('Net Income'!G142/'Avg Shares Outstanding'!G142,"")</f>
        <v>2.3518274321375845</v>
      </c>
      <c r="H142" s="52">
        <f>IFERROR('Net Income'!H142/'Avg Shares Outstanding'!H142,"")</f>
        <v>1.8273957645677554</v>
      </c>
      <c r="I142" s="52">
        <f>IFERROR('Net Income'!I142/'Avg Shares Outstanding'!I142,"")</f>
        <v>1.2135505670499698</v>
      </c>
      <c r="J142" s="52">
        <f>IFERROR('Net Income'!J142/'Avg Shares Outstanding'!J142,"")</f>
        <v>0.12</v>
      </c>
      <c r="K142" s="52">
        <f>IFERROR('Net Income'!K142/'Avg Shares Outstanding'!K142,"")</f>
        <v>1.0982436052632329</v>
      </c>
      <c r="L142" s="52">
        <f>IFERROR('Net Income'!L142/'Avg Shares Outstanding'!L142,"")</f>
        <v>0.56228266839926389</v>
      </c>
      <c r="M142" s="52">
        <f>IFERROR('Net Income'!M142/'Avg Shares Outstanding'!M142,"")</f>
        <v>-0.17828896234231004</v>
      </c>
      <c r="N142" s="52">
        <f>IFERROR('Net Income'!N142/'Avg Shares Outstanding'!N142,"")</f>
        <v>0.55654624728110036</v>
      </c>
    </row>
    <row r="143" spans="1:14" x14ac:dyDescent="0.3">
      <c r="A143" s="51" t="str">
        <f>'Net Income'!A143</f>
        <v>MTS.MC</v>
      </c>
      <c r="B143" s="51" t="str">
        <f>'Net Income'!B143</f>
        <v>ArcelorMittal</v>
      </c>
      <c r="C143" s="51" t="str">
        <f>'Net Income'!C143</f>
        <v>Spain</v>
      </c>
      <c r="D143" s="51" t="str">
        <f>'Net Income'!D143</f>
        <v>IBEX 35</v>
      </c>
      <c r="E143" s="52">
        <f>IFERROR('Net Income'!E143/'Avg Shares Outstanding'!E143,"")</f>
        <v>-10.298015896855073</v>
      </c>
      <c r="F143" s="52">
        <f>IFERROR('Net Income'!F143/'Avg Shares Outstanding'!F143,"")</f>
        <v>1.8660857821696983</v>
      </c>
      <c r="G143" s="52">
        <f>IFERROR('Net Income'!G143/'Avg Shares Outstanding'!G143,"")</f>
        <v>4.4784313725490197</v>
      </c>
      <c r="H143" s="52">
        <f>IFERROR('Net Income'!H143/'Avg Shares Outstanding'!H143,"")</f>
        <v>5.0729064039408867</v>
      </c>
      <c r="I143" s="52">
        <f>IFERROR('Net Income'!I143/'Avg Shares Outstanding'!I143,"")</f>
        <v>-2.360315893385982</v>
      </c>
      <c r="J143" s="52">
        <f>IFERROR('Net Income'!J143/'Avg Shares Outstanding'!J143,"")</f>
        <v>-0.50701754385964914</v>
      </c>
      <c r="K143" s="52">
        <f>IFERROR('Net Income'!K143/'Avg Shares Outstanding'!K143,"")</f>
        <v>18.53846153846154</v>
      </c>
      <c r="L143" s="52">
        <f>IFERROR('Net Income'!L143/'Avg Shares Outstanding'!L143,"")</f>
        <v>10.210757409440175</v>
      </c>
      <c r="M143" s="52">
        <f>IFERROR('Net Income'!M143/'Avg Shares Outstanding'!M143,"")</f>
        <v>1.0914489311163895</v>
      </c>
      <c r="N143" s="52">
        <f>IFERROR('Net Income'!N143/'Avg Shares Outstanding'!N143,"")</f>
        <v>1.6992385786802031</v>
      </c>
    </row>
    <row r="144" spans="1:14" x14ac:dyDescent="0.3">
      <c r="A144" s="51" t="str">
        <f>'Net Income'!A144</f>
        <v>SAB.MC</v>
      </c>
      <c r="B144" s="51" t="str">
        <f>'Net Income'!B144</f>
        <v>Banco Sabadell</v>
      </c>
      <c r="C144" s="51" t="str">
        <f>'Net Income'!C144</f>
        <v>Spain</v>
      </c>
      <c r="D144" s="51" t="str">
        <f>'Net Income'!D144</f>
        <v>IBEX 35</v>
      </c>
      <c r="E144" s="52">
        <f>IFERROR('Net Income'!E144/'Avg Shares Outstanding'!E144,"")</f>
        <v>0.14273868932366535</v>
      </c>
      <c r="F144" s="52">
        <f>IFERROR('Net Income'!F144/'Avg Shares Outstanding'!F144,"")</f>
        <v>0.12836819801493599</v>
      </c>
      <c r="G144" s="52">
        <f>IFERROR('Net Income'!G144/'Avg Shares Outstanding'!G144,"")</f>
        <v>0.14174787977265188</v>
      </c>
      <c r="H144" s="52">
        <f>IFERROR('Net Income'!H144/'Avg Shares Outstanding'!H144,"")</f>
        <v>5.8083761516816226E-2</v>
      </c>
      <c r="I144" s="52">
        <f>IFERROR('Net Income'!I144/'Avg Shares Outstanding'!I144,"")</f>
        <v>0.13864300806414898</v>
      </c>
      <c r="J144" s="52">
        <f>IFERROR('Net Income'!J144/'Avg Shares Outstanding'!J144,"")</f>
        <v>3.5862169707218155E-4</v>
      </c>
      <c r="K144" s="52">
        <f>IFERROR('Net Income'!K144/'Avg Shares Outstanding'!K144,"")</f>
        <v>9.4915112494664486E-2</v>
      </c>
      <c r="L144" s="52">
        <f>IFERROR('Net Income'!L144/'Avg Shares Outstanding'!L144,"")</f>
        <v>0.1589935875805929</v>
      </c>
      <c r="M144" s="52">
        <f>IFERROR('Net Income'!M144/'Avg Shares Outstanding'!M144,"")</f>
        <v>0.24662099611183114</v>
      </c>
      <c r="N144" s="52">
        <f>IFERROR('Net Income'!N144/'Avg Shares Outstanding'!N144,"")</f>
        <v>0.33981527782854443</v>
      </c>
    </row>
    <row r="145" spans="1:14" x14ac:dyDescent="0.3">
      <c r="A145" s="51" t="str">
        <f>'Net Income'!A145</f>
        <v>NTGY.MC</v>
      </c>
      <c r="B145" s="51" t="str">
        <f>'Net Income'!B145</f>
        <v>Naturgy</v>
      </c>
      <c r="C145" s="51" t="str">
        <f>'Net Income'!C145</f>
        <v>Spain</v>
      </c>
      <c r="D145" s="51" t="str">
        <f>'Net Income'!D145</f>
        <v>IBEX 35</v>
      </c>
      <c r="E145" s="52">
        <f>IFERROR('Net Income'!E145/'Avg Shares Outstanding'!E145,"")</f>
        <v>1.4994668891060907</v>
      </c>
      <c r="F145" s="52">
        <f>IFERROR('Net Income'!F145/'Avg Shares Outstanding'!F145,"")</f>
        <v>1.3463694386443663</v>
      </c>
      <c r="G145" s="52">
        <f>IFERROR('Net Income'!G145/'Avg Shares Outstanding'!G145,"")</f>
        <v>1.3593499452626758</v>
      </c>
      <c r="H145" s="52">
        <f>IFERROR('Net Income'!H145/'Avg Shares Outstanding'!H145,"")</f>
        <v>-2.8286081491001975</v>
      </c>
      <c r="I145" s="52">
        <f>IFERROR('Net Income'!I145/'Avg Shares Outstanding'!I145,"")</f>
        <v>1.433048248211084</v>
      </c>
      <c r="J145" s="52">
        <f>IFERROR('Net Income'!J145/'Avg Shares Outstanding'!J145,"")</f>
        <v>-5.71396082292576E-2</v>
      </c>
      <c r="K145" s="52">
        <f>IFERROR('Net Income'!K145/'Avg Shares Outstanding'!K145,"")</f>
        <v>1.2633529381149915</v>
      </c>
      <c r="L145" s="52">
        <f>IFERROR('Net Income'!L145/'Avg Shares Outstanding'!L145,"")</f>
        <v>1.716084602683684</v>
      </c>
      <c r="M145" s="52">
        <f>IFERROR('Net Income'!M145/'Avg Shares Outstanding'!M145,"")</f>
        <v>2.0671690334298352</v>
      </c>
      <c r="N145" s="52">
        <f>IFERROR('Net Income'!N145/'Avg Shares Outstanding'!N145,"")</f>
        <v>1.9786950314955269</v>
      </c>
    </row>
    <row r="146" spans="1:14" x14ac:dyDescent="0.3">
      <c r="A146" s="51" t="str">
        <f>'Net Income'!A146</f>
        <v>COL.MC</v>
      </c>
      <c r="B146" s="51" t="str">
        <f>'Net Income'!B146</f>
        <v>Inmobiliaria Colonial</v>
      </c>
      <c r="C146" s="51" t="str">
        <f>'Net Income'!C146</f>
        <v>Spain</v>
      </c>
      <c r="D146" s="51" t="str">
        <f>'Net Income'!D146</f>
        <v>IBEX 35</v>
      </c>
      <c r="E146" s="52">
        <f>IFERROR('Net Income'!E146/'Avg Shares Outstanding'!E146,"")</f>
        <v>1.3039367676375158</v>
      </c>
      <c r="F146" s="52">
        <f>IFERROR('Net Income'!F146/'Avg Shares Outstanding'!F146,"")</f>
        <v>0.81384427789674041</v>
      </c>
      <c r="G146" s="52">
        <f>IFERROR('Net Income'!G146/'Avg Shares Outstanding'!G146,"")</f>
        <v>1.8282910809189097</v>
      </c>
      <c r="H146" s="52">
        <f>IFERROR('Net Income'!H146/'Avg Shares Outstanding'!H146,"")</f>
        <v>1.1707867224138468</v>
      </c>
      <c r="I146" s="52">
        <f>IFERROR('Net Income'!I146/'Avg Shares Outstanding'!I146,"")</f>
        <v>1.628643917890088</v>
      </c>
      <c r="J146" s="52">
        <f>IFERROR('Net Income'!J146/'Avg Shares Outstanding'!J146,"")</f>
        <v>0.12386544911750033</v>
      </c>
      <c r="K146" s="52">
        <f>IFERROR('Net Income'!K146/'Avg Shares Outstanding'!K146,"")</f>
        <v>0.91882374613393314</v>
      </c>
      <c r="L146" s="52">
        <f>IFERROR('Net Income'!L146/'Avg Shares Outstanding'!L146,"")</f>
        <v>9.3367129005003491E-2</v>
      </c>
      <c r="M146" s="52">
        <f>IFERROR('Net Income'!M146/'Avg Shares Outstanding'!M146,"")</f>
        <v>-1.9172512023120518</v>
      </c>
      <c r="N146" s="52">
        <f>IFERROR('Net Income'!N146/'Avg Shares Outstanding'!N146,"")</f>
        <v>0.53287348989274752</v>
      </c>
    </row>
    <row r="147" spans="1:14" x14ac:dyDescent="0.3">
      <c r="A147" s="51" t="str">
        <f>'Net Income'!A147</f>
        <v>LOG.MC</v>
      </c>
      <c r="B147" s="51" t="str">
        <f>'Net Income'!B147</f>
        <v>Logista</v>
      </c>
      <c r="C147" s="51" t="str">
        <f>'Net Income'!C147</f>
        <v>Spain</v>
      </c>
      <c r="D147" s="51" t="str">
        <f>'Net Income'!D147</f>
        <v>IBEX 35</v>
      </c>
      <c r="E147" s="52">
        <f>IFERROR('Net Income'!E147/'Avg Shares Outstanding'!E147,"")</f>
        <v>0.82255233561081442</v>
      </c>
      <c r="F147" s="52">
        <f>IFERROR('Net Income'!F147/'Avg Shares Outstanding'!F147,"")</f>
        <v>0.99643911397453899</v>
      </c>
      <c r="G147" s="52">
        <f>IFERROR('Net Income'!G147/'Avg Shares Outstanding'!G147,"")</f>
        <v>1.1624157625940588</v>
      </c>
      <c r="H147" s="52">
        <f>IFERROR('Net Income'!H147/'Avg Shares Outstanding'!H147,"")</f>
        <v>1.1841524604038205</v>
      </c>
      <c r="I147" s="52">
        <f>IFERROR('Net Income'!I147/'Avg Shares Outstanding'!I147,"")</f>
        <v>1.2446302610589026</v>
      </c>
      <c r="J147" s="52">
        <f>IFERROR('Net Income'!J147/'Avg Shares Outstanding'!J147,"")</f>
        <v>1.1887346099162053</v>
      </c>
      <c r="K147" s="52">
        <f>IFERROR('Net Income'!K147/'Avg Shares Outstanding'!K147,"")</f>
        <v>1.3180660999227167</v>
      </c>
      <c r="L147" s="52">
        <f>IFERROR('Net Income'!L147/'Avg Shares Outstanding'!L147,"")</f>
        <v>1.5080808578217046</v>
      </c>
      <c r="M147" s="52">
        <f>IFERROR('Net Income'!M147/'Avg Shares Outstanding'!M147,"")</f>
        <v>2.0650177107273153</v>
      </c>
      <c r="N147" s="52">
        <f>IFERROR('Net Income'!N147/'Avg Shares Outstanding'!N147,"")</f>
        <v>2.3362109652731657</v>
      </c>
    </row>
    <row r="148" spans="1:14" x14ac:dyDescent="0.3">
      <c r="A148" s="51" t="str">
        <f>'Net Income'!A148</f>
        <v>SCYR.MC</v>
      </c>
      <c r="B148" s="51" t="str">
        <f>'Net Income'!B148</f>
        <v>Sacyr</v>
      </c>
      <c r="C148" s="51" t="str">
        <f>'Net Income'!C148</f>
        <v>Spain</v>
      </c>
      <c r="D148" s="51" t="str">
        <f>'Net Income'!D148</f>
        <v>IBEX 35</v>
      </c>
      <c r="E148" s="52">
        <f>IFERROR('Net Income'!E148/'Avg Shares Outstanding'!E148,"")</f>
        <v>0.68348016114811749</v>
      </c>
      <c r="F148" s="52">
        <f>IFERROR('Net Income'!F148/'Avg Shares Outstanding'!F148,"")</f>
        <v>0.2295135659797532</v>
      </c>
      <c r="G148" s="52">
        <f>IFERROR('Net Income'!G148/'Avg Shares Outstanding'!G148,"")</f>
        <v>0.25005407081458397</v>
      </c>
      <c r="H148" s="52">
        <f>IFERROR('Net Income'!H148/'Avg Shares Outstanding'!H148,"")</f>
        <v>0.3536646203027804</v>
      </c>
      <c r="I148" s="52">
        <f>IFERROR('Net Income'!I148/'Avg Shares Outstanding'!I148,"")</f>
        <v>-0.49074421704429305</v>
      </c>
      <c r="J148" s="52">
        <f>IFERROR('Net Income'!J148/'Avg Shares Outstanding'!J148,"")</f>
        <v>6.1902920433322177E-2</v>
      </c>
      <c r="K148" s="52">
        <f>IFERROR('Net Income'!K148/'Avg Shares Outstanding'!K148,"")</f>
        <v>-0.31258540325205669</v>
      </c>
      <c r="L148" s="52">
        <f>IFERROR('Net Income'!L148/'Avg Shares Outstanding'!L148,"")</f>
        <v>0.17564554298401619</v>
      </c>
      <c r="M148" s="52">
        <f>IFERROR('Net Income'!M148/'Avg Shares Outstanding'!M148,"")</f>
        <v>0.23468954816495141</v>
      </c>
      <c r="N148" s="52">
        <f>IFERROR('Net Income'!N148/'Avg Shares Outstanding'!N148,"")</f>
        <v>0.15432834845675736</v>
      </c>
    </row>
    <row r="149" spans="1:14" x14ac:dyDescent="0.3">
      <c r="A149" s="51" t="str">
        <f>'Net Income'!A149</f>
        <v>UNI.MC</v>
      </c>
      <c r="B149" s="51" t="str">
        <f>'Net Income'!B149</f>
        <v>Unicaja</v>
      </c>
      <c r="C149" s="51" t="str">
        <f>'Net Income'!C149</f>
        <v>Spain</v>
      </c>
      <c r="D149" s="51" t="str">
        <f>'Net Income'!D149</f>
        <v>IBEX 35</v>
      </c>
      <c r="E149" s="52" t="str">
        <f>IFERROR('Net Income'!E149/'Avg Shares Outstanding'!E149,"")</f>
        <v/>
      </c>
      <c r="F149" s="52" t="str">
        <f>IFERROR('Net Income'!F149/'Avg Shares Outstanding'!F149,"")</f>
        <v/>
      </c>
      <c r="G149" s="52" t="str">
        <f>IFERROR('Net Income'!G149/'Avg Shares Outstanding'!G149,"")</f>
        <v/>
      </c>
      <c r="H149" s="52">
        <f>IFERROR('Net Income'!H149/'Avg Shares Outstanding'!H149,"")</f>
        <v>9.4945985661320106E-2</v>
      </c>
      <c r="I149" s="52">
        <f>IFERROR('Net Income'!I149/'Avg Shares Outstanding'!I149,"")</f>
        <v>0.10735483533267157</v>
      </c>
      <c r="J149" s="52">
        <f>IFERROR('Net Income'!J149/'Avg Shares Outstanding'!J149,"")</f>
        <v>4.9168418146659364E-2</v>
      </c>
      <c r="K149" s="52">
        <f>IFERROR('Net Income'!K149/'Avg Shares Outstanding'!K149,"")</f>
        <v>0.54737526361932809</v>
      </c>
      <c r="L149" s="52">
        <f>IFERROR('Net Income'!L149/'Avg Shares Outstanding'!L149,"")</f>
        <v>0.1046230342850983</v>
      </c>
      <c r="M149" s="52">
        <f>IFERROR('Net Income'!M149/'Avg Shares Outstanding'!M149,"")</f>
        <v>0.1004486429605012</v>
      </c>
      <c r="N149" s="52">
        <f>IFERROR('Net Income'!N149/'Avg Shares Outstanding'!N149,"")</f>
        <v>0.22316031487076807</v>
      </c>
    </row>
    <row r="150" spans="1:14" x14ac:dyDescent="0.3">
      <c r="A150" s="51" t="str">
        <f>'Net Income'!A150</f>
        <v>PHM.MC</v>
      </c>
      <c r="B150" s="51" t="str">
        <f>'Net Income'!B150</f>
        <v>Pharma Mar</v>
      </c>
      <c r="C150" s="51" t="str">
        <f>'Net Income'!C150</f>
        <v>Spain</v>
      </c>
      <c r="D150" s="51" t="str">
        <f>'Net Income'!D150</f>
        <v>IBEX 35</v>
      </c>
      <c r="E150" s="52">
        <f>IFERROR('Net Income'!E150/'Avg Shares Outstanding'!E150,"")</f>
        <v>0.35840039830970799</v>
      </c>
      <c r="F150" s="52">
        <f>IFERROR('Net Income'!F150/'Avg Shares Outstanding'!F150,"")</f>
        <v>-1.3100318619201829</v>
      </c>
      <c r="G150" s="52">
        <f>IFERROR('Net Income'!G150/'Avg Shares Outstanding'!G150,"")</f>
        <v>-1.4543486247392288</v>
      </c>
      <c r="H150" s="52">
        <f>IFERROR('Net Income'!H150/'Avg Shares Outstanding'!H150,"")</f>
        <v>-0.30059860668879962</v>
      </c>
      <c r="I150" s="52">
        <f>IFERROR('Net Income'!I150/'Avg Shares Outstanding'!I150,"")</f>
        <v>-0.49791183478395806</v>
      </c>
      <c r="J150" s="52">
        <f>IFERROR('Net Income'!J150/'Avg Shares Outstanding'!J150,"")</f>
        <v>7.5035259388837261</v>
      </c>
      <c r="K150" s="52">
        <f>IFERROR('Net Income'!K150/'Avg Shares Outstanding'!K150,"")</f>
        <v>5.1388489208633095</v>
      </c>
      <c r="L150" s="52">
        <f>IFERROR('Net Income'!L150/'Avg Shares Outstanding'!L150,"")</f>
        <v>2.7344044321329641</v>
      </c>
      <c r="M150" s="52">
        <f>IFERROR('Net Income'!M150/'Avg Shares Outstanding'!M150,"")</f>
        <v>6.3519553072625703E-2</v>
      </c>
      <c r="N150" s="52">
        <f>IFERROR('Net Income'!N150/'Avg Shares Outstanding'!N150,"")</f>
        <v>1.4895376019157307</v>
      </c>
    </row>
    <row r="151" spans="1:14" x14ac:dyDescent="0.3">
      <c r="A151" s="51" t="str">
        <f>'Net Income'!A151</f>
        <v>BKT.MC</v>
      </c>
      <c r="B151" s="51" t="str">
        <f>'Net Income'!B151</f>
        <v>Bankinter</v>
      </c>
      <c r="C151" s="51" t="str">
        <f>'Net Income'!C151</f>
        <v>Spain</v>
      </c>
      <c r="D151" s="51" t="str">
        <f>'Net Income'!D151</f>
        <v>IBEX 35</v>
      </c>
      <c r="E151" s="52">
        <f>IFERROR('Net Income'!E151/'Avg Shares Outstanding'!E151,"")</f>
        <v>0.41821584084835783</v>
      </c>
      <c r="F151" s="52">
        <f>IFERROR('Net Income'!F151/'Avg Shares Outstanding'!F151,"")</f>
        <v>0.54526314523058161</v>
      </c>
      <c r="G151" s="52">
        <f>IFERROR('Net Income'!G151/'Avg Shares Outstanding'!G151,"")</f>
        <v>0.55103634985862648</v>
      </c>
      <c r="H151" s="52">
        <f>IFERROR('Net Income'!H151/'Avg Shares Outstanding'!H151,"")</f>
        <v>0.58577574407378308</v>
      </c>
      <c r="I151" s="52">
        <f>IFERROR('Net Income'!I151/'Avg Shares Outstanding'!I151,"")</f>
        <v>0.61276028945221961</v>
      </c>
      <c r="J151" s="52">
        <f>IFERROR('Net Income'!J151/'Avg Shares Outstanding'!J151,"")</f>
        <v>0.35289686054741226</v>
      </c>
      <c r="K151" s="52">
        <f>IFERROR('Net Income'!K151/'Avg Shares Outstanding'!K151,"")</f>
        <v>1.485001364575617</v>
      </c>
      <c r="L151" s="52">
        <f>IFERROR('Net Income'!L151/'Avg Shares Outstanding'!L151,"")</f>
        <v>0.62342308856522199</v>
      </c>
      <c r="M151" s="52">
        <f>IFERROR('Net Income'!M151/'Avg Shares Outstanding'!M151,"")</f>
        <v>0.94009369922770469</v>
      </c>
      <c r="N151" s="52">
        <f>IFERROR('Net Income'!N151/'Avg Shares Outstanding'!N151,"")</f>
        <v>1.0604859784709053</v>
      </c>
    </row>
    <row r="152" spans="1:14" x14ac:dyDescent="0.3">
      <c r="A152" s="51" t="str">
        <f>'Net Income'!A152</f>
        <v>ACX.MC</v>
      </c>
      <c r="B152" s="51" t="str">
        <f>'Net Income'!B152</f>
        <v>Acerinox</v>
      </c>
      <c r="C152" s="51" t="str">
        <f>'Net Income'!C152</f>
        <v>Spain</v>
      </c>
      <c r="D152" s="51" t="str">
        <f>'Net Income'!D152</f>
        <v>IBEX 35</v>
      </c>
      <c r="E152" s="52">
        <f>IFERROR('Net Income'!E152/'Avg Shares Outstanding'!E152,"")</f>
        <v>0.16248745098782036</v>
      </c>
      <c r="F152" s="52">
        <f>IFERROR('Net Income'!F152/'Avg Shares Outstanding'!F152,"")</f>
        <v>0.29649754887484497</v>
      </c>
      <c r="G152" s="52">
        <f>IFERROR('Net Income'!G152/'Avg Shares Outstanding'!G152,"")</f>
        <v>0.84814193655887882</v>
      </c>
      <c r="H152" s="52">
        <f>IFERROR('Net Income'!H152/'Avg Shares Outstanding'!H152,"")</f>
        <v>0.85879565904052624</v>
      </c>
      <c r="I152" s="52">
        <f>IFERROR('Net Income'!I152/'Avg Shares Outstanding'!I152,"")</f>
        <v>-0.21811914591216625</v>
      </c>
      <c r="J152" s="52">
        <f>IFERROR('Net Income'!J152/'Avg Shares Outstanding'!J152,"")</f>
        <v>0.1813586833941572</v>
      </c>
      <c r="K152" s="52">
        <f>IFERROR('Net Income'!K152/'Avg Shares Outstanding'!K152,"")</f>
        <v>2.1146666863879071</v>
      </c>
      <c r="L152" s="52">
        <f>IFERROR('Net Income'!L152/'Avg Shares Outstanding'!L152,"")</f>
        <v>2.1586114799027944</v>
      </c>
      <c r="M152" s="52">
        <f>IFERROR('Net Income'!M152/'Avg Shares Outstanding'!M152,"")</f>
        <v>0.91522105432078948</v>
      </c>
      <c r="N152" s="52">
        <f>IFERROR('Net Income'!N152/'Avg Shares Outstanding'!N152,"")</f>
        <v>0.90218380893175842</v>
      </c>
    </row>
    <row r="153" spans="1:14" x14ac:dyDescent="0.3">
      <c r="A153" s="51" t="str">
        <f>'Net Income'!A153</f>
        <v>ROVI.MC</v>
      </c>
      <c r="B153" s="51" t="str">
        <f>'Net Income'!B153</f>
        <v>Laboratorios Rovi</v>
      </c>
      <c r="C153" s="51" t="str">
        <f>'Net Income'!C153</f>
        <v>Spain</v>
      </c>
      <c r="D153" s="51" t="str">
        <f>'Net Income'!D153</f>
        <v>IBEX 35</v>
      </c>
      <c r="E153" s="52">
        <f>IFERROR('Net Income'!E153/'Avg Shares Outstanding'!E153,"")</f>
        <v>0.39988291580031088</v>
      </c>
      <c r="F153" s="52">
        <f>IFERROR('Net Income'!F153/'Avg Shares Outstanding'!F153,"")</f>
        <v>0.53209194183271813</v>
      </c>
      <c r="G153" s="52">
        <f>IFERROR('Net Income'!G153/'Avg Shares Outstanding'!G153,"")</f>
        <v>0.34965928449744466</v>
      </c>
      <c r="H153" s="52">
        <f>IFERROR('Net Income'!H153/'Avg Shares Outstanding'!H153,"")</f>
        <v>0.34935478203150927</v>
      </c>
      <c r="I153" s="52">
        <f>IFERROR('Net Income'!I153/'Avg Shares Outstanding'!I153,"")</f>
        <v>0.71172526277636827</v>
      </c>
      <c r="J153" s="52">
        <f>IFERROR('Net Income'!J153/'Avg Shares Outstanding'!J153,"")</f>
        <v>1.1023904957931607</v>
      </c>
      <c r="K153" s="52">
        <f>IFERROR('Net Income'!K153/'Avg Shares Outstanding'!K153,"")</f>
        <v>2.7629232546386544</v>
      </c>
      <c r="L153" s="52">
        <f>IFERROR('Net Income'!L153/'Avg Shares Outstanding'!L153,"")</f>
        <v>3.7345041708749487</v>
      </c>
      <c r="M153" s="52">
        <f>IFERROR('Net Income'!M153/'Avg Shares Outstanding'!M153,"")</f>
        <v>3.2870420704719745</v>
      </c>
      <c r="N153" s="52">
        <f>IFERROR('Net Income'!N153/'Avg Shares Outstanding'!N153,"")</f>
        <v>2.6700000070221579</v>
      </c>
    </row>
    <row r="154" spans="1:14" x14ac:dyDescent="0.3">
      <c r="A154" s="51" t="str">
        <f>'Net Income'!A154</f>
        <v>SLR.MC</v>
      </c>
      <c r="B154" s="51" t="str">
        <f>'Net Income'!B154</f>
        <v>Solaria Energia</v>
      </c>
      <c r="C154" s="51" t="str">
        <f>'Net Income'!C154</f>
        <v>Spain</v>
      </c>
      <c r="D154" s="51" t="str">
        <f>'Net Income'!D154</f>
        <v>IBEX 35</v>
      </c>
      <c r="E154" s="52">
        <f>IFERROR('Net Income'!E154/'Avg Shares Outstanding'!E154,"")</f>
        <v>6.2027324684547448E-2</v>
      </c>
      <c r="F154" s="52">
        <f>IFERROR('Net Income'!F154/'Avg Shares Outstanding'!F154,"")</f>
        <v>7.4940735799816027E-2</v>
      </c>
      <c r="G154" s="52">
        <f>IFERROR('Net Income'!G154/'Avg Shares Outstanding'!G154,"")</f>
        <v>0.14016139859095916</v>
      </c>
      <c r="H154" s="52">
        <f>IFERROR('Net Income'!H154/'Avg Shares Outstanding'!H154,"")</f>
        <v>0.18289636259782238</v>
      </c>
      <c r="I154" s="52">
        <f>IFERROR('Net Income'!I154/'Avg Shares Outstanding'!I154,"")</f>
        <v>0.19104307840146714</v>
      </c>
      <c r="J154" s="52">
        <f>IFERROR('Net Income'!J154/'Avg Shares Outstanding'!J154,"")</f>
        <v>0.24340741570695712</v>
      </c>
      <c r="K154" s="52">
        <f>IFERROR('Net Income'!K154/'Avg Shares Outstanding'!K154,"")</f>
        <v>0.38443069683315861</v>
      </c>
      <c r="L154" s="52">
        <f>IFERROR('Net Income'!L154/'Avg Shares Outstanding'!L154,"")</f>
        <v>0.72066650126849729</v>
      </c>
      <c r="M154" s="52">
        <f>IFERROR('Net Income'!M154/'Avg Shares Outstanding'!M154,"")</f>
        <v>0.86000000047993752</v>
      </c>
      <c r="N154" s="52">
        <f>IFERROR('Net Income'!N154/'Avg Shares Outstanding'!N154,"")</f>
        <v>0.70919070627404002</v>
      </c>
    </row>
    <row r="155" spans="1:14" x14ac:dyDescent="0.3">
      <c r="A155" s="51" t="str">
        <f>'Net Income'!A155</f>
        <v>ELE.MC</v>
      </c>
      <c r="B155" s="51" t="str">
        <f>'Net Income'!B155</f>
        <v>Endesa</v>
      </c>
      <c r="C155" s="51" t="str">
        <f>'Net Income'!C155</f>
        <v>Spain</v>
      </c>
      <c r="D155" s="51" t="str">
        <f>'Net Income'!D155</f>
        <v>IBEX 35</v>
      </c>
      <c r="E155" s="52">
        <f>IFERROR('Net Income'!E155/'Avg Shares Outstanding'!E155,"")</f>
        <v>1.0300000000379375</v>
      </c>
      <c r="F155" s="52">
        <f>IFERROR('Net Income'!F155/'Avg Shares Outstanding'!F155,"")</f>
        <v>1.3327009952037716</v>
      </c>
      <c r="G155" s="52">
        <f>IFERROR('Net Income'!G155/'Avg Shares Outstanding'!G155,"")</f>
        <v>1.3818154188399134</v>
      </c>
      <c r="H155" s="52">
        <f>IFERROR('Net Income'!H155/'Avg Shares Outstanding'!H155,"")</f>
        <v>1.3399999994515173</v>
      </c>
      <c r="I155" s="52">
        <f>IFERROR('Net Income'!I155/'Avg Shares Outstanding'!I155,"")</f>
        <v>0.16151089311115871</v>
      </c>
      <c r="J155" s="52">
        <f>IFERROR('Net Income'!J155/'Avg Shares Outstanding'!J155,"")</f>
        <v>1.3166700993439964</v>
      </c>
      <c r="K155" s="52">
        <f>IFERROR('Net Income'!K155/'Avg Shares Outstanding'!K155,"")</f>
        <v>1.3554996308209379</v>
      </c>
      <c r="L155" s="52">
        <f>IFERROR('Net Income'!L155/'Avg Shares Outstanding'!L155,"")</f>
        <v>2.4004154651556782</v>
      </c>
      <c r="M155" s="52">
        <f>IFERROR('Net Income'!M155/'Avg Shares Outstanding'!M155,"")</f>
        <v>0.70101066426927827</v>
      </c>
      <c r="N155" s="52">
        <f>IFERROR('Net Income'!N155/'Avg Shares Outstanding'!N155,"")</f>
        <v>1.7800000005091101</v>
      </c>
    </row>
    <row r="156" spans="1:14" x14ac:dyDescent="0.3">
      <c r="A156" s="51" t="str">
        <f>'Net Income'!A156</f>
        <v>SGRE.MC</v>
      </c>
      <c r="B156" s="51" t="str">
        <f>'Net Income'!B156</f>
        <v>Puig Brands</v>
      </c>
      <c r="C156" s="51" t="str">
        <f>'Net Income'!C156</f>
        <v>Spain</v>
      </c>
      <c r="D156" s="51" t="str">
        <f>'Net Income'!D156</f>
        <v>IBEX 35</v>
      </c>
      <c r="E156" s="52" t="str">
        <f>IFERROR('Net Income'!E156/'Avg Shares Outstanding'!E156,"")</f>
        <v/>
      </c>
      <c r="F156" s="52" t="str">
        <f>IFERROR('Net Income'!F156/'Avg Shares Outstanding'!F156,"")</f>
        <v/>
      </c>
      <c r="G156" s="52" t="str">
        <f>IFERROR('Net Income'!G156/'Avg Shares Outstanding'!G156,"")</f>
        <v/>
      </c>
      <c r="H156" s="52" t="str">
        <f>IFERROR('Net Income'!H156/'Avg Shares Outstanding'!H156,"")</f>
        <v/>
      </c>
      <c r="I156" s="52" t="str">
        <f>IFERROR('Net Income'!I156/'Avg Shares Outstanding'!I156,"")</f>
        <v/>
      </c>
      <c r="J156" s="52" t="str">
        <f>IFERROR('Net Income'!J156/'Avg Shares Outstanding'!J156,"")</f>
        <v/>
      </c>
      <c r="K156" s="52" t="str">
        <f>IFERROR('Net Income'!K156/'Avg Shares Outstanding'!K156,"")</f>
        <v/>
      </c>
      <c r="L156" s="52" t="str">
        <f>IFERROR('Net Income'!L156/'Avg Shares Outstanding'!L156,"")</f>
        <v/>
      </c>
      <c r="M156" s="52" t="str">
        <f>IFERROR('Net Income'!M156/'Avg Shares Outstanding'!M156,"")</f>
        <v/>
      </c>
      <c r="N156" s="52" t="str">
        <f>IFERROR('Net Income'!N156/'Avg Shares Outstanding'!N156,"")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52E-6896-4FBC-BCD3-138428F1C74F}">
  <dimension ref="A1:O157"/>
  <sheetViews>
    <sheetView zoomScale="42" workbookViewId="0">
      <pane xSplit="4" ySplit="4" topLeftCell="E83" activePane="bottomRight" state="frozen"/>
      <selection pane="topRight" activeCell="E1" sqref="E1"/>
      <selection pane="bottomLeft" activeCell="A4" sqref="A4"/>
      <selection pane="bottomRight" activeCell="W114" sqref="W114"/>
    </sheetView>
  </sheetViews>
  <sheetFormatPr defaultRowHeight="14.4" x14ac:dyDescent="0.3"/>
  <cols>
    <col min="1" max="1" width="13.88671875" customWidth="1"/>
    <col min="2" max="2" width="38.88671875" customWidth="1"/>
    <col min="3" max="4" width="12" customWidth="1"/>
    <col min="5" max="15" width="14.77734375" customWidth="1"/>
  </cols>
  <sheetData>
    <row r="1" spans="1:15" ht="18" x14ac:dyDescent="0.35">
      <c r="A1" s="27" t="s">
        <v>353</v>
      </c>
    </row>
    <row r="2" spans="1:15" x14ac:dyDescent="0.3">
      <c r="A2" s="28" t="s">
        <v>28</v>
      </c>
    </row>
    <row r="3" spans="1:15" x14ac:dyDescent="0.3">
      <c r="A3" s="36"/>
      <c r="B3" s="37"/>
      <c r="C3" s="37"/>
      <c r="D3" s="37" t="s">
        <v>354</v>
      </c>
      <c r="E3" s="38" t="s">
        <v>355</v>
      </c>
      <c r="F3" s="38" t="s">
        <v>356</v>
      </c>
      <c r="G3" s="38" t="s">
        <v>357</v>
      </c>
      <c r="H3" s="38" t="s">
        <v>358</v>
      </c>
      <c r="I3" s="38" t="s">
        <v>359</v>
      </c>
      <c r="J3" s="38" t="s">
        <v>360</v>
      </c>
      <c r="K3" s="38" t="s">
        <v>361</v>
      </c>
      <c r="L3" s="38" t="s">
        <v>362</v>
      </c>
      <c r="M3" s="38" t="s">
        <v>363</v>
      </c>
      <c r="N3" s="38" t="s">
        <v>364</v>
      </c>
      <c r="O3" s="38" t="s">
        <v>365</v>
      </c>
    </row>
    <row r="4" spans="1:15" x14ac:dyDescent="0.3">
      <c r="A4" s="29" t="s">
        <v>29</v>
      </c>
      <c r="B4" s="30" t="s">
        <v>30</v>
      </c>
      <c r="C4" s="30" t="s">
        <v>31</v>
      </c>
      <c r="D4" s="30" t="s">
        <v>32</v>
      </c>
      <c r="E4" s="35">
        <v>2014</v>
      </c>
      <c r="F4" s="35">
        <v>2015</v>
      </c>
      <c r="G4" s="35">
        <v>2016</v>
      </c>
      <c r="H4" s="35">
        <v>2017</v>
      </c>
      <c r="I4" s="35">
        <v>2018</v>
      </c>
      <c r="J4" s="35">
        <v>2019</v>
      </c>
      <c r="K4" s="35">
        <v>2020</v>
      </c>
      <c r="L4" s="35">
        <v>2021</v>
      </c>
      <c r="M4" s="35">
        <v>2022</v>
      </c>
      <c r="N4" s="35">
        <v>2023</v>
      </c>
      <c r="O4" s="35">
        <v>2024</v>
      </c>
    </row>
    <row r="5" spans="1:15" x14ac:dyDescent="0.3">
      <c r="A5" s="31" t="s">
        <v>43</v>
      </c>
      <c r="B5" s="32"/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x14ac:dyDescent="0.3">
      <c r="A6" s="17" t="s">
        <v>44</v>
      </c>
      <c r="B6" s="18" t="s">
        <v>45</v>
      </c>
      <c r="C6" s="18" t="s">
        <v>46</v>
      </c>
      <c r="D6" s="18" t="s">
        <v>43</v>
      </c>
      <c r="E6" s="34">
        <v>0.83750000000000002</v>
      </c>
      <c r="F6" s="34">
        <v>1.25</v>
      </c>
      <c r="G6" s="34">
        <v>1.23</v>
      </c>
      <c r="H6" s="34">
        <v>1.54</v>
      </c>
      <c r="I6" s="34">
        <v>1.57</v>
      </c>
      <c r="J6" s="34">
        <v>1.67</v>
      </c>
      <c r="K6" s="34">
        <v>1.3</v>
      </c>
      <c r="L6" s="34">
        <v>1.72</v>
      </c>
      <c r="M6" s="34">
        <v>1.25</v>
      </c>
      <c r="N6" s="34">
        <v>1.86</v>
      </c>
      <c r="O6" s="34">
        <v>2.15</v>
      </c>
    </row>
    <row r="7" spans="1:15" x14ac:dyDescent="0.3">
      <c r="A7" s="17" t="s">
        <v>47</v>
      </c>
      <c r="B7" s="18" t="s">
        <v>48</v>
      </c>
      <c r="C7" s="18" t="s">
        <v>46</v>
      </c>
      <c r="D7" s="18" t="s">
        <v>43</v>
      </c>
      <c r="E7" s="34">
        <v>4.9000000000000004</v>
      </c>
      <c r="F7" s="34">
        <v>8</v>
      </c>
      <c r="G7" s="34">
        <v>9.0500000000000007</v>
      </c>
      <c r="H7" s="34">
        <v>12.84</v>
      </c>
      <c r="I7" s="34">
        <v>14.05</v>
      </c>
      <c r="J7" s="34">
        <v>25.64</v>
      </c>
      <c r="K7" s="34">
        <v>34.04</v>
      </c>
      <c r="L7" s="34">
        <v>47.45</v>
      </c>
      <c r="M7" s="34">
        <v>27.82</v>
      </c>
      <c r="N7" s="34">
        <v>31.34</v>
      </c>
      <c r="O7" s="34">
        <v>24.85</v>
      </c>
    </row>
    <row r="8" spans="1:15" x14ac:dyDescent="0.3">
      <c r="A8" s="17" t="s">
        <v>49</v>
      </c>
      <c r="B8" s="18" t="s">
        <v>50</v>
      </c>
      <c r="C8" s="18" t="s">
        <v>46</v>
      </c>
      <c r="D8" s="18" t="s">
        <v>43</v>
      </c>
      <c r="E8" s="34">
        <v>17</v>
      </c>
      <c r="F8" s="34">
        <v>16.920000000000002</v>
      </c>
      <c r="G8" s="34">
        <v>14.12</v>
      </c>
      <c r="H8" s="34">
        <v>15.2</v>
      </c>
      <c r="I8" s="34">
        <v>14.6</v>
      </c>
      <c r="J8" s="34">
        <v>18.399999999999999</v>
      </c>
      <c r="K8" s="34">
        <v>14.26</v>
      </c>
      <c r="L8" s="34">
        <v>18.63</v>
      </c>
      <c r="M8" s="34">
        <v>16.61</v>
      </c>
      <c r="N8" s="34">
        <v>19.11</v>
      </c>
      <c r="O8" s="34">
        <v>27.27</v>
      </c>
    </row>
    <row r="9" spans="1:15" x14ac:dyDescent="0.3">
      <c r="A9" s="17" t="s">
        <v>51</v>
      </c>
      <c r="B9" s="18" t="s">
        <v>52</v>
      </c>
      <c r="C9" s="18" t="s">
        <v>46</v>
      </c>
      <c r="D9" s="18" t="s">
        <v>43</v>
      </c>
      <c r="E9" s="34">
        <v>16.55</v>
      </c>
      <c r="F9" s="34">
        <v>21.17</v>
      </c>
      <c r="G9" s="34">
        <v>14.56</v>
      </c>
      <c r="H9" s="34">
        <v>14.66</v>
      </c>
      <c r="I9" s="34">
        <v>9.23</v>
      </c>
      <c r="J9" s="34">
        <v>20.98</v>
      </c>
      <c r="K9" s="34">
        <v>17.52</v>
      </c>
      <c r="L9" s="34">
        <v>24.33</v>
      </c>
      <c r="M9" s="34">
        <v>20.63</v>
      </c>
      <c r="N9" s="34">
        <v>23.3</v>
      </c>
      <c r="O9" s="34">
        <v>23.99</v>
      </c>
    </row>
    <row r="10" spans="1:15" x14ac:dyDescent="0.3">
      <c r="A10" s="17" t="s">
        <v>53</v>
      </c>
      <c r="B10" s="18" t="s">
        <v>54</v>
      </c>
      <c r="C10" s="18" t="s">
        <v>46</v>
      </c>
      <c r="D10" s="18" t="s">
        <v>43</v>
      </c>
      <c r="E10" s="34">
        <v>23.05</v>
      </c>
      <c r="F10" s="34">
        <v>29.18</v>
      </c>
      <c r="G10" s="34">
        <v>22.66</v>
      </c>
      <c r="H10" s="34">
        <v>27.74</v>
      </c>
      <c r="I10" s="34">
        <v>18.13</v>
      </c>
      <c r="J10" s="34">
        <v>28.96</v>
      </c>
      <c r="K10" s="34">
        <v>27.24</v>
      </c>
      <c r="L10" s="34">
        <v>38.75</v>
      </c>
      <c r="M10" s="34">
        <v>32.06</v>
      </c>
      <c r="N10" s="34">
        <v>33.64</v>
      </c>
      <c r="O10" s="34">
        <v>44.86</v>
      </c>
    </row>
    <row r="11" spans="1:15" x14ac:dyDescent="0.3">
      <c r="A11" s="17" t="s">
        <v>55</v>
      </c>
      <c r="B11" s="18" t="s">
        <v>56</v>
      </c>
      <c r="C11" s="18" t="s">
        <v>46</v>
      </c>
      <c r="D11" s="18" t="s">
        <v>43</v>
      </c>
      <c r="E11" s="34">
        <v>5.29</v>
      </c>
      <c r="F11" s="34">
        <v>7.31</v>
      </c>
      <c r="G11" s="34">
        <v>6.83</v>
      </c>
      <c r="H11" s="34">
        <v>7.22</v>
      </c>
      <c r="I11" s="34">
        <v>5.09</v>
      </c>
      <c r="J11" s="34">
        <v>8.86</v>
      </c>
      <c r="K11" s="34">
        <v>7.1</v>
      </c>
      <c r="L11" s="34">
        <v>8.68</v>
      </c>
      <c r="M11" s="34">
        <v>7.8</v>
      </c>
      <c r="N11" s="34">
        <v>8.5299999999999994</v>
      </c>
      <c r="O11" s="34">
        <v>11.49</v>
      </c>
    </row>
    <row r="12" spans="1:15" x14ac:dyDescent="0.3">
      <c r="A12" s="17" t="s">
        <v>57</v>
      </c>
      <c r="B12" s="18" t="s">
        <v>58</v>
      </c>
      <c r="C12" s="18" t="s">
        <v>46</v>
      </c>
      <c r="D12" s="18" t="s">
        <v>43</v>
      </c>
      <c r="E12" s="34">
        <v>7.46</v>
      </c>
      <c r="F12" s="34">
        <v>9.5</v>
      </c>
      <c r="G12" s="34">
        <v>2.29</v>
      </c>
      <c r="H12" s="34">
        <v>2.62</v>
      </c>
      <c r="I12" s="34">
        <v>1.97</v>
      </c>
      <c r="J12" s="34">
        <v>2.0299999999999998</v>
      </c>
      <c r="K12" s="34">
        <v>1.81</v>
      </c>
      <c r="L12" s="34">
        <v>2.64</v>
      </c>
      <c r="M12" s="34">
        <v>3.33</v>
      </c>
      <c r="N12" s="34">
        <v>4.78</v>
      </c>
      <c r="O12" s="34">
        <v>7.81</v>
      </c>
    </row>
    <row r="13" spans="1:15" x14ac:dyDescent="0.3">
      <c r="A13" s="17" t="s">
        <v>59</v>
      </c>
      <c r="B13" s="18" t="s">
        <v>60</v>
      </c>
      <c r="C13" s="18" t="s">
        <v>46</v>
      </c>
      <c r="D13" s="18" t="s">
        <v>43</v>
      </c>
      <c r="E13" s="34">
        <v>3.7</v>
      </c>
      <c r="F13" s="34">
        <v>4.7699999999999996</v>
      </c>
      <c r="G13" s="34">
        <v>3.43</v>
      </c>
      <c r="H13" s="34">
        <v>2.85</v>
      </c>
      <c r="I13" s="34">
        <v>2.2799999999999998</v>
      </c>
      <c r="J13" s="34">
        <v>3.03</v>
      </c>
      <c r="K13" s="34">
        <v>1.49</v>
      </c>
      <c r="L13" s="34">
        <v>1.82</v>
      </c>
      <c r="M13" s="34">
        <v>1.92</v>
      </c>
      <c r="N13" s="34">
        <v>3.03</v>
      </c>
      <c r="O13" s="34">
        <v>6.13</v>
      </c>
    </row>
    <row r="14" spans="1:15" x14ac:dyDescent="0.3">
      <c r="A14" s="17" t="s">
        <v>61</v>
      </c>
      <c r="B14" s="18" t="s">
        <v>62</v>
      </c>
      <c r="C14" s="18" t="s">
        <v>46</v>
      </c>
      <c r="D14" s="18" t="s">
        <v>43</v>
      </c>
      <c r="E14" s="34">
        <v>10.51</v>
      </c>
      <c r="F14" s="34">
        <v>16.600000000000001</v>
      </c>
      <c r="G14" s="34">
        <v>22.51</v>
      </c>
      <c r="H14" s="34">
        <v>22.5</v>
      </c>
      <c r="I14" s="34">
        <v>15.025</v>
      </c>
      <c r="J14" s="34">
        <v>22.450001</v>
      </c>
      <c r="K14" s="34">
        <v>19.5</v>
      </c>
      <c r="L14" s="34">
        <v>18.975000000000001</v>
      </c>
      <c r="M14" s="34">
        <v>18</v>
      </c>
      <c r="N14" s="34">
        <v>27.54</v>
      </c>
      <c r="O14" s="34">
        <v>35.58</v>
      </c>
    </row>
    <row r="15" spans="1:15" x14ac:dyDescent="0.3">
      <c r="A15" s="17" t="s">
        <v>63</v>
      </c>
      <c r="B15" s="18" t="s">
        <v>64</v>
      </c>
      <c r="C15" s="18" t="s">
        <v>46</v>
      </c>
      <c r="D15" s="18" t="s">
        <v>43</v>
      </c>
      <c r="E15" s="34">
        <v>2.58</v>
      </c>
      <c r="F15" s="34">
        <v>4</v>
      </c>
      <c r="G15" s="34">
        <v>4.6399999999999997</v>
      </c>
      <c r="H15" s="34">
        <v>6.45</v>
      </c>
      <c r="I15" s="34">
        <v>7.39</v>
      </c>
      <c r="J15" s="34">
        <v>8.14</v>
      </c>
      <c r="K15" s="34">
        <v>9.34</v>
      </c>
      <c r="L15" s="34">
        <v>12.86</v>
      </c>
      <c r="M15" s="34">
        <v>9.48</v>
      </c>
      <c r="N15" s="34">
        <v>10.220000000000001</v>
      </c>
      <c r="O15" s="34">
        <v>6.02</v>
      </c>
    </row>
    <row r="16" spans="1:15" x14ac:dyDescent="0.3">
      <c r="A16" s="17" t="s">
        <v>65</v>
      </c>
      <c r="B16" s="18" t="s">
        <v>66</v>
      </c>
      <c r="C16" s="18" t="s">
        <v>46</v>
      </c>
      <c r="D16" s="18" t="s">
        <v>43</v>
      </c>
      <c r="E16" s="34">
        <v>6.7</v>
      </c>
      <c r="F16" s="34">
        <v>6.34</v>
      </c>
      <c r="G16" s="34">
        <v>8.27</v>
      </c>
      <c r="H16" s="34">
        <v>11.17</v>
      </c>
      <c r="I16" s="34">
        <v>7.85</v>
      </c>
      <c r="J16" s="34">
        <v>9.7899999999999991</v>
      </c>
      <c r="K16" s="34">
        <v>10.33</v>
      </c>
      <c r="L16" s="34">
        <v>14.82</v>
      </c>
      <c r="M16" s="34">
        <v>14.97</v>
      </c>
      <c r="N16" s="34">
        <v>11.08</v>
      </c>
      <c r="O16" s="34">
        <v>0</v>
      </c>
    </row>
    <row r="17" spans="1:15" x14ac:dyDescent="0.3">
      <c r="A17" s="17" t="s">
        <v>67</v>
      </c>
      <c r="B17" s="18" t="s">
        <v>68</v>
      </c>
      <c r="C17" s="18" t="s">
        <v>46</v>
      </c>
      <c r="D17" s="18" t="s">
        <v>43</v>
      </c>
      <c r="E17" s="34">
        <v>33.33</v>
      </c>
      <c r="F17" s="34">
        <v>48.45</v>
      </c>
      <c r="G17" s="34">
        <v>56.25</v>
      </c>
      <c r="H17" s="34">
        <v>74</v>
      </c>
      <c r="I17" s="34">
        <v>70.7</v>
      </c>
      <c r="J17" s="34">
        <v>115.4</v>
      </c>
      <c r="K17" s="34">
        <v>170.1</v>
      </c>
      <c r="L17" s="34">
        <v>167.45</v>
      </c>
      <c r="M17" s="34">
        <v>130.4</v>
      </c>
      <c r="N17" s="34">
        <v>93.24</v>
      </c>
      <c r="O17" s="34">
        <v>99.56</v>
      </c>
    </row>
    <row r="18" spans="1:15" x14ac:dyDescent="0.3">
      <c r="A18" s="17" t="s">
        <v>69</v>
      </c>
      <c r="B18" s="18" t="s">
        <v>70</v>
      </c>
      <c r="C18" s="18" t="s">
        <v>46</v>
      </c>
      <c r="D18" s="18" t="s">
        <v>43</v>
      </c>
      <c r="E18" s="34">
        <v>3.7</v>
      </c>
      <c r="F18" s="34">
        <v>3.89</v>
      </c>
      <c r="G18" s="34">
        <v>4.1900000000000004</v>
      </c>
      <c r="H18" s="34">
        <v>5.13</v>
      </c>
      <c r="I18" s="34">
        <v>5.04</v>
      </c>
      <c r="J18" s="34">
        <v>7.07</v>
      </c>
      <c r="K18" s="34">
        <v>8.2799999999999994</v>
      </c>
      <c r="L18" s="34">
        <v>7.05</v>
      </c>
      <c r="M18" s="34">
        <v>5.03</v>
      </c>
      <c r="N18" s="34">
        <v>6.73</v>
      </c>
      <c r="O18" s="34">
        <v>6.89</v>
      </c>
    </row>
    <row r="19" spans="1:15" x14ac:dyDescent="0.3">
      <c r="A19" s="17" t="s">
        <v>71</v>
      </c>
      <c r="B19" s="18" t="s">
        <v>72</v>
      </c>
      <c r="C19" s="18" t="s">
        <v>46</v>
      </c>
      <c r="D19" s="18" t="s">
        <v>43</v>
      </c>
      <c r="E19" s="34">
        <v>14.51</v>
      </c>
      <c r="F19" s="34">
        <v>13.8</v>
      </c>
      <c r="G19" s="34">
        <v>15.47</v>
      </c>
      <c r="H19" s="34">
        <v>13.8</v>
      </c>
      <c r="I19" s="34">
        <v>13.75</v>
      </c>
      <c r="J19" s="34">
        <v>13.85</v>
      </c>
      <c r="K19" s="34">
        <v>8.5500000000000007</v>
      </c>
      <c r="L19" s="34">
        <v>12.22</v>
      </c>
      <c r="M19" s="34">
        <v>13.29</v>
      </c>
      <c r="N19" s="34">
        <v>15.35</v>
      </c>
      <c r="O19" s="34">
        <v>13.09</v>
      </c>
    </row>
    <row r="20" spans="1:15" x14ac:dyDescent="0.3">
      <c r="A20" s="17" t="s">
        <v>73</v>
      </c>
      <c r="B20" s="18" t="s">
        <v>74</v>
      </c>
      <c r="C20" s="18" t="s">
        <v>46</v>
      </c>
      <c r="D20" s="18" t="s">
        <v>43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</row>
    <row r="21" spans="1:15" x14ac:dyDescent="0.3">
      <c r="A21" s="17" t="s">
        <v>75</v>
      </c>
      <c r="B21" s="18" t="s">
        <v>76</v>
      </c>
      <c r="C21" s="18" t="s">
        <v>46</v>
      </c>
      <c r="D21" s="18" t="s">
        <v>43</v>
      </c>
      <c r="E21" s="34">
        <v>0</v>
      </c>
      <c r="F21" s="34">
        <v>0</v>
      </c>
      <c r="G21" s="34">
        <v>55.3</v>
      </c>
      <c r="H21" s="34">
        <v>87.45</v>
      </c>
      <c r="I21" s="34">
        <v>86.78</v>
      </c>
      <c r="J21" s="34">
        <v>147.9</v>
      </c>
      <c r="K21" s="34">
        <v>188.65</v>
      </c>
      <c r="L21" s="34">
        <v>227.5</v>
      </c>
      <c r="M21" s="34">
        <v>200.2</v>
      </c>
      <c r="N21" s="34">
        <v>305.2</v>
      </c>
      <c r="O21" s="34">
        <v>412.4</v>
      </c>
    </row>
    <row r="22" spans="1:15" x14ac:dyDescent="0.3">
      <c r="A22" s="17" t="s">
        <v>77</v>
      </c>
      <c r="B22" s="18" t="s">
        <v>78</v>
      </c>
      <c r="C22" s="18" t="s">
        <v>46</v>
      </c>
      <c r="D22" s="18" t="s">
        <v>43</v>
      </c>
      <c r="E22" s="34">
        <v>4.67</v>
      </c>
      <c r="F22" s="34">
        <v>7.63</v>
      </c>
      <c r="G22" s="34">
        <v>5.33</v>
      </c>
      <c r="H22" s="34">
        <v>8.5399999999999991</v>
      </c>
      <c r="I22" s="34">
        <v>8.7799999999999994</v>
      </c>
      <c r="J22" s="34">
        <v>10.69</v>
      </c>
      <c r="K22" s="34">
        <v>13.4</v>
      </c>
      <c r="L22" s="34">
        <v>15.44</v>
      </c>
      <c r="M22" s="34">
        <v>15.52</v>
      </c>
      <c r="N22" s="34">
        <v>13.59</v>
      </c>
      <c r="O22" s="34">
        <v>16.79</v>
      </c>
    </row>
    <row r="23" spans="1:15" x14ac:dyDescent="0.3">
      <c r="A23" s="17" t="s">
        <v>79</v>
      </c>
      <c r="B23" s="18" t="s">
        <v>80</v>
      </c>
      <c r="C23" s="18" t="s">
        <v>46</v>
      </c>
      <c r="D23" s="18" t="s">
        <v>43</v>
      </c>
      <c r="E23" s="34">
        <v>1.95</v>
      </c>
      <c r="F23" s="34">
        <v>2.4500000000000002</v>
      </c>
      <c r="G23" s="34">
        <v>2.19</v>
      </c>
      <c r="H23" s="34">
        <v>2.91</v>
      </c>
      <c r="I23" s="34">
        <v>2.66</v>
      </c>
      <c r="J23" s="34">
        <v>3.9</v>
      </c>
      <c r="K23" s="34">
        <v>2.98</v>
      </c>
      <c r="L23" s="34">
        <v>3.66</v>
      </c>
      <c r="M23" s="34">
        <v>2.52</v>
      </c>
      <c r="N23" s="34">
        <v>2.97</v>
      </c>
      <c r="O23" s="34">
        <v>3.43</v>
      </c>
    </row>
    <row r="24" spans="1:15" x14ac:dyDescent="0.3">
      <c r="A24" s="17" t="s">
        <v>81</v>
      </c>
      <c r="B24" s="18" t="s">
        <v>82</v>
      </c>
      <c r="C24" s="18" t="s">
        <v>46</v>
      </c>
      <c r="D24" s="18" t="s">
        <v>43</v>
      </c>
      <c r="E24" s="34">
        <v>0</v>
      </c>
      <c r="F24" s="34">
        <v>5.04</v>
      </c>
      <c r="G24" s="34">
        <v>4.4000000000000004</v>
      </c>
      <c r="H24" s="34">
        <v>6.2</v>
      </c>
      <c r="I24" s="34">
        <v>5.97</v>
      </c>
      <c r="J24" s="34">
        <v>8.73</v>
      </c>
      <c r="K24" s="34">
        <v>9.93</v>
      </c>
      <c r="L24" s="34">
        <v>10.68</v>
      </c>
      <c r="M24" s="34">
        <v>9.41</v>
      </c>
      <c r="N24" s="34">
        <v>11.45</v>
      </c>
      <c r="O24" s="34">
        <v>9.82</v>
      </c>
    </row>
    <row r="25" spans="1:15" x14ac:dyDescent="0.3">
      <c r="A25" s="17" t="s">
        <v>83</v>
      </c>
      <c r="B25" s="18" t="s">
        <v>84</v>
      </c>
      <c r="C25" s="18" t="s">
        <v>46</v>
      </c>
      <c r="D25" s="18" t="s">
        <v>43</v>
      </c>
      <c r="E25" s="34">
        <v>11.65</v>
      </c>
      <c r="F25" s="34">
        <v>14.32</v>
      </c>
      <c r="G25" s="34">
        <v>15.55</v>
      </c>
      <c r="H25" s="34">
        <v>26.219999000000001</v>
      </c>
      <c r="I25" s="34">
        <v>26</v>
      </c>
      <c r="J25" s="34">
        <v>28.24</v>
      </c>
      <c r="K25" s="34">
        <v>40.340000000000003</v>
      </c>
      <c r="L25" s="34">
        <v>64.449996999999996</v>
      </c>
      <c r="M25" s="34">
        <v>42.16</v>
      </c>
      <c r="N25" s="34">
        <v>46.87</v>
      </c>
      <c r="O25" s="34">
        <v>42.66</v>
      </c>
    </row>
    <row r="26" spans="1:15" x14ac:dyDescent="0.3">
      <c r="A26" s="17" t="s">
        <v>85</v>
      </c>
      <c r="B26" s="18" t="s">
        <v>86</v>
      </c>
      <c r="C26" s="18" t="s">
        <v>46</v>
      </c>
      <c r="D26" s="18" t="s">
        <v>43</v>
      </c>
      <c r="E26" s="34">
        <v>2.42</v>
      </c>
      <c r="F26" s="34">
        <v>3.09</v>
      </c>
      <c r="G26" s="34">
        <v>2.4300000000000002</v>
      </c>
      <c r="H26" s="34">
        <v>2.77</v>
      </c>
      <c r="I26" s="34">
        <v>1.94</v>
      </c>
      <c r="J26" s="34">
        <v>2.35</v>
      </c>
      <c r="K26" s="34">
        <v>1.91</v>
      </c>
      <c r="L26" s="34">
        <v>2.27</v>
      </c>
      <c r="M26" s="34">
        <v>2.08</v>
      </c>
      <c r="N26" s="34">
        <v>2.64</v>
      </c>
      <c r="O26" s="34">
        <v>3.86</v>
      </c>
    </row>
    <row r="27" spans="1:15" x14ac:dyDescent="0.3">
      <c r="A27" s="17" t="s">
        <v>87</v>
      </c>
      <c r="B27" s="18" t="s">
        <v>88</v>
      </c>
      <c r="C27" s="18" t="s">
        <v>46</v>
      </c>
      <c r="D27" s="18" t="s">
        <v>43</v>
      </c>
      <c r="E27" s="34">
        <v>0</v>
      </c>
      <c r="F27" s="34">
        <v>0</v>
      </c>
      <c r="G27" s="34">
        <v>3.74</v>
      </c>
      <c r="H27" s="34">
        <v>5.09</v>
      </c>
      <c r="I27" s="34">
        <v>5</v>
      </c>
      <c r="J27" s="34">
        <v>5.44</v>
      </c>
      <c r="K27" s="34">
        <v>5.2</v>
      </c>
      <c r="L27" s="34">
        <v>6.05</v>
      </c>
      <c r="M27" s="34">
        <v>5.19</v>
      </c>
      <c r="N27" s="34">
        <v>5.18</v>
      </c>
      <c r="O27" s="34">
        <v>5.41</v>
      </c>
    </row>
    <row r="28" spans="1:15" x14ac:dyDescent="0.3">
      <c r="A28" s="17" t="s">
        <v>89</v>
      </c>
      <c r="B28" s="18" t="s">
        <v>90</v>
      </c>
      <c r="C28" s="18" t="s">
        <v>46</v>
      </c>
      <c r="D28" s="18" t="s">
        <v>43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5.56</v>
      </c>
      <c r="N28" s="34">
        <v>8.15</v>
      </c>
      <c r="O28" s="34">
        <v>9.34</v>
      </c>
    </row>
    <row r="29" spans="1:15" x14ac:dyDescent="0.3">
      <c r="A29" s="17" t="s">
        <v>91</v>
      </c>
      <c r="B29" s="18" t="s">
        <v>92</v>
      </c>
      <c r="C29" s="18" t="s">
        <v>46</v>
      </c>
      <c r="D29" s="18" t="s">
        <v>43</v>
      </c>
      <c r="E29" s="34">
        <v>7.74</v>
      </c>
      <c r="F29" s="34">
        <v>12.9</v>
      </c>
      <c r="G29" s="34">
        <v>13.34</v>
      </c>
      <c r="H29" s="34">
        <v>9.92</v>
      </c>
      <c r="I29" s="34">
        <v>7.68</v>
      </c>
      <c r="J29" s="34">
        <v>10.45</v>
      </c>
      <c r="K29" s="34">
        <v>5.91</v>
      </c>
      <c r="L29" s="34">
        <v>6.3</v>
      </c>
      <c r="M29" s="34">
        <v>8.06</v>
      </c>
      <c r="N29" s="34">
        <v>14.94</v>
      </c>
      <c r="O29" s="34">
        <v>25.93</v>
      </c>
    </row>
    <row r="30" spans="1:15" x14ac:dyDescent="0.3">
      <c r="A30" s="17" t="s">
        <v>93</v>
      </c>
      <c r="B30" s="18" t="s">
        <v>94</v>
      </c>
      <c r="C30" s="18" t="s">
        <v>46</v>
      </c>
      <c r="D30" s="18" t="s">
        <v>43</v>
      </c>
      <c r="E30" s="34">
        <v>6.77</v>
      </c>
      <c r="F30" s="34">
        <v>8.89</v>
      </c>
      <c r="G30" s="34">
        <v>7.76</v>
      </c>
      <c r="H30" s="34">
        <v>9.4600000000000009</v>
      </c>
      <c r="I30" s="34">
        <v>7.38</v>
      </c>
      <c r="J30" s="34">
        <v>9.81</v>
      </c>
      <c r="K30" s="34">
        <v>7.54</v>
      </c>
      <c r="L30" s="34">
        <v>10.11</v>
      </c>
      <c r="M30" s="34">
        <v>8.98</v>
      </c>
      <c r="N30" s="34">
        <v>11.21</v>
      </c>
      <c r="O30" s="34">
        <v>14.08</v>
      </c>
    </row>
    <row r="31" spans="1:15" x14ac:dyDescent="0.3">
      <c r="A31" s="17" t="s">
        <v>95</v>
      </c>
      <c r="B31" s="18" t="s">
        <v>96</v>
      </c>
      <c r="C31" s="18" t="s">
        <v>46</v>
      </c>
      <c r="D31" s="18" t="s">
        <v>43</v>
      </c>
      <c r="E31" s="34">
        <v>11.12</v>
      </c>
      <c r="F31" s="34">
        <v>12.92</v>
      </c>
      <c r="G31" s="34">
        <v>16.53</v>
      </c>
      <c r="H31" s="34">
        <v>26.08</v>
      </c>
      <c r="I31" s="34">
        <v>28.93</v>
      </c>
      <c r="J31" s="34">
        <v>40.07</v>
      </c>
      <c r="K31" s="34">
        <v>50.14</v>
      </c>
      <c r="L31" s="34">
        <v>64.02</v>
      </c>
      <c r="M31" s="34">
        <v>49.5</v>
      </c>
      <c r="N31" s="34">
        <v>55.7</v>
      </c>
      <c r="O31" s="34">
        <v>50.98</v>
      </c>
    </row>
    <row r="32" spans="1:15" x14ac:dyDescent="0.3">
      <c r="A32" s="17" t="s">
        <v>97</v>
      </c>
      <c r="B32" s="18" t="s">
        <v>98</v>
      </c>
      <c r="C32" s="18" t="s">
        <v>46</v>
      </c>
      <c r="D32" s="18" t="s">
        <v>43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12.38</v>
      </c>
      <c r="K32" s="34">
        <v>16.34</v>
      </c>
      <c r="L32" s="34">
        <v>13.99</v>
      </c>
      <c r="M32" s="34">
        <v>7.3659999999999997</v>
      </c>
      <c r="N32" s="34">
        <v>7.41</v>
      </c>
      <c r="O32" s="34">
        <v>5.36</v>
      </c>
    </row>
    <row r="33" spans="1:15" x14ac:dyDescent="0.3">
      <c r="A33" s="17" t="s">
        <v>99</v>
      </c>
      <c r="B33" s="18" t="s">
        <v>100</v>
      </c>
      <c r="C33" s="18" t="s">
        <v>46</v>
      </c>
      <c r="D33" s="18" t="s">
        <v>43</v>
      </c>
      <c r="E33" s="34">
        <v>0</v>
      </c>
      <c r="F33" s="34">
        <v>0</v>
      </c>
      <c r="G33" s="34">
        <v>0</v>
      </c>
      <c r="H33" s="34">
        <v>7.25</v>
      </c>
      <c r="I33" s="34">
        <v>5.61</v>
      </c>
      <c r="J33" s="34">
        <v>5.14</v>
      </c>
      <c r="K33" s="34">
        <v>4.43</v>
      </c>
      <c r="L33" s="34">
        <v>6.11</v>
      </c>
      <c r="M33" s="34">
        <v>4</v>
      </c>
      <c r="N33" s="34">
        <v>4.93</v>
      </c>
      <c r="O33" s="34">
        <v>5.47</v>
      </c>
    </row>
    <row r="34" spans="1:15" x14ac:dyDescent="0.3">
      <c r="A34" s="17" t="s">
        <v>101</v>
      </c>
      <c r="B34" s="18" t="s">
        <v>102</v>
      </c>
      <c r="C34" s="18" t="s">
        <v>46</v>
      </c>
      <c r="D34" s="18" t="s">
        <v>43</v>
      </c>
      <c r="E34" s="34">
        <v>0</v>
      </c>
      <c r="F34" s="34">
        <v>7.1</v>
      </c>
      <c r="G34" s="34">
        <v>6.31</v>
      </c>
      <c r="H34" s="34">
        <v>6.28</v>
      </c>
      <c r="I34" s="34">
        <v>6.98</v>
      </c>
      <c r="J34" s="34">
        <v>10.119999999999999</v>
      </c>
      <c r="K34" s="34">
        <v>8.32</v>
      </c>
      <c r="L34" s="34">
        <v>11.54</v>
      </c>
      <c r="M34" s="34">
        <v>9.1300000000000008</v>
      </c>
      <c r="N34" s="34">
        <v>10.28</v>
      </c>
      <c r="O34" s="34">
        <v>13.62</v>
      </c>
    </row>
    <row r="35" spans="1:15" x14ac:dyDescent="0.3">
      <c r="A35" s="17" t="s">
        <v>103</v>
      </c>
      <c r="B35" s="18" t="s">
        <v>104</v>
      </c>
      <c r="C35" s="18" t="s">
        <v>46</v>
      </c>
      <c r="D35" s="18" t="s">
        <v>43</v>
      </c>
      <c r="E35" s="34">
        <v>14.65</v>
      </c>
      <c r="F35" s="34">
        <v>19.59</v>
      </c>
      <c r="G35" s="34">
        <v>23.59</v>
      </c>
      <c r="H35" s="34">
        <v>26.29</v>
      </c>
      <c r="I35" s="34">
        <v>16.87</v>
      </c>
      <c r="J35" s="34">
        <v>21.49</v>
      </c>
      <c r="K35" s="34">
        <v>29.08</v>
      </c>
      <c r="L35" s="34">
        <v>33.11</v>
      </c>
      <c r="M35" s="34">
        <v>34.659999999999997</v>
      </c>
      <c r="N35" s="34">
        <v>41.17</v>
      </c>
      <c r="O35" s="34">
        <v>61.66</v>
      </c>
    </row>
    <row r="36" spans="1:15" x14ac:dyDescent="0.3">
      <c r="A36" s="17" t="s">
        <v>105</v>
      </c>
      <c r="B36" s="18" t="s">
        <v>106</v>
      </c>
      <c r="C36" s="18" t="s">
        <v>46</v>
      </c>
      <c r="D36" s="18" t="s">
        <v>43</v>
      </c>
      <c r="E36" s="34">
        <v>27.7</v>
      </c>
      <c r="F36" s="34">
        <v>23.67</v>
      </c>
      <c r="G36" s="34">
        <v>13.43</v>
      </c>
      <c r="H36" s="34">
        <v>9.5500000000000007</v>
      </c>
      <c r="I36" s="34">
        <v>8.1999999999999993</v>
      </c>
      <c r="J36" s="34">
        <v>10.93</v>
      </c>
      <c r="K36" s="34">
        <v>5.53</v>
      </c>
      <c r="L36" s="34">
        <v>4.63</v>
      </c>
      <c r="M36" s="34">
        <v>1.1299999999999999</v>
      </c>
      <c r="N36" s="34">
        <v>1.47</v>
      </c>
      <c r="O36" s="34">
        <v>2.5099999999999998</v>
      </c>
    </row>
    <row r="37" spans="1:15" x14ac:dyDescent="0.3">
      <c r="A37" s="17" t="s">
        <v>107</v>
      </c>
      <c r="B37" s="18" t="s">
        <v>108</v>
      </c>
      <c r="C37" s="18" t="s">
        <v>46</v>
      </c>
      <c r="D37" s="18" t="s">
        <v>43</v>
      </c>
      <c r="E37" s="34">
        <v>3.44</v>
      </c>
      <c r="F37" s="34">
        <v>4.05</v>
      </c>
      <c r="G37" s="34">
        <v>3.91</v>
      </c>
      <c r="H37" s="34">
        <v>4.08</v>
      </c>
      <c r="I37" s="34">
        <v>3.82</v>
      </c>
      <c r="J37" s="34">
        <v>4.6900000000000004</v>
      </c>
      <c r="K37" s="34">
        <v>4.5999999999999996</v>
      </c>
      <c r="L37" s="34">
        <v>5.3</v>
      </c>
      <c r="M37" s="34">
        <v>4.53</v>
      </c>
      <c r="N37" s="34">
        <v>4.66</v>
      </c>
      <c r="O37" s="34">
        <v>4.28</v>
      </c>
    </row>
    <row r="38" spans="1:15" x14ac:dyDescent="0.3">
      <c r="A38" s="17" t="s">
        <v>109</v>
      </c>
      <c r="B38" s="18" t="s">
        <v>110</v>
      </c>
      <c r="C38" s="18" t="s">
        <v>46</v>
      </c>
      <c r="D38" s="18" t="s">
        <v>43</v>
      </c>
      <c r="E38" s="34">
        <v>6.3</v>
      </c>
      <c r="F38" s="34">
        <v>8.48</v>
      </c>
      <c r="G38" s="34">
        <v>8.66</v>
      </c>
      <c r="H38" s="34">
        <v>14.91</v>
      </c>
      <c r="I38" s="34">
        <v>12.68</v>
      </c>
      <c r="J38" s="34">
        <v>13.19</v>
      </c>
      <c r="K38" s="34">
        <v>14.66</v>
      </c>
      <c r="L38" s="34">
        <v>16.690000000000001</v>
      </c>
      <c r="M38" s="34">
        <v>13.26</v>
      </c>
      <c r="N38" s="34">
        <v>21.15</v>
      </c>
      <c r="O38" s="34">
        <v>12.59</v>
      </c>
    </row>
    <row r="39" spans="1:15" x14ac:dyDescent="0.3">
      <c r="A39" s="17" t="s">
        <v>111</v>
      </c>
      <c r="B39" s="18" t="s">
        <v>112</v>
      </c>
      <c r="C39" s="18" t="s">
        <v>46</v>
      </c>
      <c r="D39" s="18" t="s">
        <v>43</v>
      </c>
      <c r="E39" s="34">
        <v>6.2</v>
      </c>
      <c r="F39" s="34">
        <v>6.27</v>
      </c>
      <c r="G39" s="34">
        <v>10.8</v>
      </c>
      <c r="H39" s="34">
        <v>18.2</v>
      </c>
      <c r="I39" s="34">
        <v>12.23</v>
      </c>
      <c r="J39" s="34">
        <v>23.97</v>
      </c>
      <c r="K39" s="34">
        <v>30.55</v>
      </c>
      <c r="L39" s="34">
        <v>43.76</v>
      </c>
      <c r="M39" s="34">
        <v>33.01</v>
      </c>
      <c r="N39" s="34">
        <v>45.21</v>
      </c>
      <c r="O39" s="34">
        <v>24.01</v>
      </c>
    </row>
    <row r="40" spans="1:15" x14ac:dyDescent="0.3">
      <c r="A40" s="17" t="s">
        <v>113</v>
      </c>
      <c r="B40" s="18" t="s">
        <v>114</v>
      </c>
      <c r="C40" s="18" t="s">
        <v>46</v>
      </c>
      <c r="D40" s="18" t="s">
        <v>43</v>
      </c>
      <c r="E40" s="34">
        <v>12.46</v>
      </c>
      <c r="F40" s="34">
        <v>10.94</v>
      </c>
      <c r="G40" s="34">
        <v>16.97</v>
      </c>
      <c r="H40" s="34">
        <v>13.16</v>
      </c>
      <c r="I40" s="34">
        <v>9.44</v>
      </c>
      <c r="J40" s="34">
        <v>10.050000000000001</v>
      </c>
      <c r="K40" s="34">
        <v>6.62</v>
      </c>
      <c r="L40" s="34">
        <v>9.2100000000000009</v>
      </c>
      <c r="M40" s="34">
        <v>16.29</v>
      </c>
      <c r="N40" s="34">
        <v>15.75</v>
      </c>
      <c r="O40" s="34">
        <v>18.07</v>
      </c>
    </row>
    <row r="41" spans="1:15" x14ac:dyDescent="0.3">
      <c r="A41" s="17" t="s">
        <v>115</v>
      </c>
      <c r="B41" s="18" t="s">
        <v>116</v>
      </c>
      <c r="C41" s="18" t="s">
        <v>46</v>
      </c>
      <c r="D41" s="18" t="s">
        <v>43</v>
      </c>
      <c r="E41" s="34">
        <v>3.76</v>
      </c>
      <c r="F41" s="34">
        <v>4.76</v>
      </c>
      <c r="G41" s="34">
        <v>4.3499999999999996</v>
      </c>
      <c r="H41" s="34">
        <v>4.84</v>
      </c>
      <c r="I41" s="34">
        <v>4.95</v>
      </c>
      <c r="J41" s="34">
        <v>5.95</v>
      </c>
      <c r="K41" s="34">
        <v>6.25</v>
      </c>
      <c r="L41" s="34">
        <v>7.11</v>
      </c>
      <c r="M41" s="34">
        <v>6.9</v>
      </c>
      <c r="N41" s="34">
        <v>7.55</v>
      </c>
      <c r="O41" s="34">
        <v>7.62</v>
      </c>
    </row>
    <row r="42" spans="1:15" x14ac:dyDescent="0.3">
      <c r="A42" s="17" t="s">
        <v>117</v>
      </c>
      <c r="B42" s="18" t="s">
        <v>118</v>
      </c>
      <c r="C42" s="18" t="s">
        <v>46</v>
      </c>
      <c r="D42" s="18" t="s">
        <v>43</v>
      </c>
      <c r="E42" s="34">
        <v>26.73</v>
      </c>
      <c r="F42" s="34">
        <v>25.73</v>
      </c>
      <c r="G42" s="34">
        <v>13.7</v>
      </c>
      <c r="H42" s="34">
        <v>15.58</v>
      </c>
      <c r="I42" s="34">
        <v>9.89</v>
      </c>
      <c r="J42" s="34">
        <v>13.02</v>
      </c>
      <c r="K42" s="34">
        <v>7.65</v>
      </c>
      <c r="L42" s="34">
        <v>13.54</v>
      </c>
      <c r="M42" s="34">
        <v>13.27</v>
      </c>
      <c r="N42" s="34">
        <v>24.57</v>
      </c>
      <c r="O42" s="34">
        <v>38.53</v>
      </c>
    </row>
    <row r="43" spans="1:15" x14ac:dyDescent="0.3">
      <c r="A43" s="17" t="s">
        <v>119</v>
      </c>
      <c r="B43" s="18" t="s">
        <v>120</v>
      </c>
      <c r="C43" s="18" t="s">
        <v>46</v>
      </c>
      <c r="D43" s="18" t="s">
        <v>43</v>
      </c>
      <c r="E43" s="34">
        <v>4.12</v>
      </c>
      <c r="F43" s="34">
        <v>4.7640000000000002</v>
      </c>
      <c r="G43" s="34">
        <v>3.4239999999999999</v>
      </c>
      <c r="H43" s="34">
        <v>3.91</v>
      </c>
      <c r="I43" s="34">
        <v>3.5179999999999998</v>
      </c>
      <c r="J43" s="34">
        <v>5.1120000000000001</v>
      </c>
      <c r="K43" s="34">
        <v>3.91</v>
      </c>
      <c r="L43" s="34">
        <v>4.7789999999999999</v>
      </c>
      <c r="M43" s="34">
        <v>4.5579999999999998</v>
      </c>
      <c r="N43" s="34">
        <v>5.16</v>
      </c>
      <c r="O43" s="34">
        <v>12.03</v>
      </c>
    </row>
    <row r="44" spans="1:15" x14ac:dyDescent="0.3">
      <c r="A44" s="31" t="s">
        <v>121</v>
      </c>
      <c r="B44" s="32"/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spans="1:15" x14ac:dyDescent="0.3">
      <c r="A45" s="17" t="s">
        <v>122</v>
      </c>
      <c r="B45" s="18" t="s">
        <v>123</v>
      </c>
      <c r="C45" s="18" t="s">
        <v>124</v>
      </c>
      <c r="D45" s="18" t="s">
        <v>121</v>
      </c>
      <c r="E45" s="34">
        <v>57.62</v>
      </c>
      <c r="F45" s="34">
        <v>89.91</v>
      </c>
      <c r="G45" s="34">
        <v>150.15</v>
      </c>
      <c r="H45" s="34">
        <v>167.15</v>
      </c>
      <c r="I45" s="34">
        <v>182.4</v>
      </c>
      <c r="J45" s="34">
        <v>289.8</v>
      </c>
      <c r="K45" s="34">
        <v>297.89999999999998</v>
      </c>
      <c r="L45" s="34">
        <v>253.2</v>
      </c>
      <c r="M45" s="34">
        <v>127.46</v>
      </c>
      <c r="N45" s="34">
        <v>184.16</v>
      </c>
      <c r="O45" s="34">
        <v>236.8</v>
      </c>
    </row>
    <row r="46" spans="1:15" x14ac:dyDescent="0.3">
      <c r="A46" s="17" t="s">
        <v>125</v>
      </c>
      <c r="B46" s="18" t="s">
        <v>126</v>
      </c>
      <c r="C46" s="18" t="s">
        <v>124</v>
      </c>
      <c r="D46" s="18" t="s">
        <v>121</v>
      </c>
      <c r="E46" s="34">
        <v>41.1</v>
      </c>
      <c r="F46" s="34">
        <v>62.75</v>
      </c>
      <c r="G46" s="34">
        <v>62.71</v>
      </c>
      <c r="H46" s="34">
        <v>83.67</v>
      </c>
      <c r="I46" s="34">
        <v>83.51</v>
      </c>
      <c r="J46" s="34">
        <v>132.13999999999999</v>
      </c>
      <c r="K46" s="34">
        <v>91.32</v>
      </c>
      <c r="L46" s="34">
        <v>111.72</v>
      </c>
      <c r="M46" s="34">
        <v>111.38</v>
      </c>
      <c r="N46" s="34">
        <v>140.08000000000001</v>
      </c>
      <c r="O46" s="34">
        <v>154.46</v>
      </c>
    </row>
    <row r="47" spans="1:15" x14ac:dyDescent="0.3">
      <c r="A47" s="17" t="s">
        <v>127</v>
      </c>
      <c r="B47" s="18" t="s">
        <v>128</v>
      </c>
      <c r="C47" s="18" t="s">
        <v>124</v>
      </c>
      <c r="D47" s="18" t="s">
        <v>121</v>
      </c>
      <c r="E47" s="34">
        <v>137.35</v>
      </c>
      <c r="F47" s="34">
        <v>163.55000000000001</v>
      </c>
      <c r="G47" s="34">
        <v>157</v>
      </c>
      <c r="H47" s="34">
        <v>191.5</v>
      </c>
      <c r="I47" s="34">
        <v>175.14</v>
      </c>
      <c r="J47" s="34">
        <v>218.4</v>
      </c>
      <c r="K47" s="34">
        <v>200.7</v>
      </c>
      <c r="L47" s="34">
        <v>207.65</v>
      </c>
      <c r="M47" s="34">
        <v>200.9</v>
      </c>
      <c r="N47" s="34">
        <v>241.95</v>
      </c>
      <c r="O47" s="34">
        <v>295.89999999999998</v>
      </c>
    </row>
    <row r="48" spans="1:15" x14ac:dyDescent="0.3">
      <c r="A48" s="17" t="s">
        <v>129</v>
      </c>
      <c r="B48" s="18" t="s">
        <v>130</v>
      </c>
      <c r="C48" s="18" t="s">
        <v>124</v>
      </c>
      <c r="D48" s="18" t="s">
        <v>121</v>
      </c>
      <c r="E48" s="34">
        <v>69.88</v>
      </c>
      <c r="F48" s="34">
        <v>70.72</v>
      </c>
      <c r="G48" s="34">
        <v>88.31</v>
      </c>
      <c r="H48" s="34">
        <v>91.74</v>
      </c>
      <c r="I48" s="34">
        <v>60.4</v>
      </c>
      <c r="J48" s="34">
        <v>67.349999999999994</v>
      </c>
      <c r="K48" s="34">
        <v>64.72</v>
      </c>
      <c r="L48" s="34">
        <v>61.78</v>
      </c>
      <c r="M48" s="34">
        <v>46.39</v>
      </c>
      <c r="N48" s="34">
        <v>48.78</v>
      </c>
      <c r="O48" s="34">
        <v>42.46</v>
      </c>
    </row>
    <row r="49" spans="1:15" x14ac:dyDescent="0.3">
      <c r="A49" s="17" t="s">
        <v>131</v>
      </c>
      <c r="B49" s="18" t="s">
        <v>132</v>
      </c>
      <c r="C49" s="18" t="s">
        <v>124</v>
      </c>
      <c r="D49" s="18" t="s">
        <v>121</v>
      </c>
      <c r="E49" s="34">
        <v>89.77</v>
      </c>
      <c r="F49" s="34">
        <v>97.63</v>
      </c>
      <c r="G49" s="34">
        <v>88.75</v>
      </c>
      <c r="H49" s="34">
        <v>86.83</v>
      </c>
      <c r="I49" s="34">
        <v>70.7</v>
      </c>
      <c r="J49" s="34">
        <v>73.14</v>
      </c>
      <c r="K49" s="34">
        <v>72.23</v>
      </c>
      <c r="L49" s="34">
        <v>88.49</v>
      </c>
      <c r="M49" s="34">
        <v>83.38</v>
      </c>
      <c r="N49" s="34">
        <v>100.78</v>
      </c>
      <c r="O49" s="34">
        <v>78.98</v>
      </c>
    </row>
    <row r="50" spans="1:15" x14ac:dyDescent="0.3">
      <c r="A50" s="17" t="s">
        <v>133</v>
      </c>
      <c r="B50" s="18" t="s">
        <v>134</v>
      </c>
      <c r="C50" s="18" t="s">
        <v>124</v>
      </c>
      <c r="D50" s="18" t="s">
        <v>121</v>
      </c>
      <c r="E50" s="34">
        <v>111.2</v>
      </c>
      <c r="F50" s="34">
        <v>113.96</v>
      </c>
      <c r="G50" s="34">
        <v>97.55</v>
      </c>
      <c r="H50" s="34">
        <v>102.35</v>
      </c>
      <c r="I50" s="34">
        <v>60.56</v>
      </c>
      <c r="J50" s="34">
        <v>72.81</v>
      </c>
      <c r="K50" s="34">
        <v>48.15</v>
      </c>
      <c r="L50" s="34">
        <v>47</v>
      </c>
      <c r="M50" s="34">
        <v>48.33</v>
      </c>
      <c r="N50" s="34">
        <v>33.630000000000003</v>
      </c>
      <c r="O50" s="34">
        <v>19.309999999999999</v>
      </c>
    </row>
    <row r="51" spans="1:15" x14ac:dyDescent="0.3">
      <c r="A51" s="17" t="s">
        <v>135</v>
      </c>
      <c r="B51" s="18" t="s">
        <v>136</v>
      </c>
      <c r="C51" s="18" t="s">
        <v>124</v>
      </c>
      <c r="D51" s="18" t="s">
        <v>121</v>
      </c>
      <c r="E51" s="34">
        <v>67.42</v>
      </c>
      <c r="F51" s="34">
        <v>84.16</v>
      </c>
      <c r="G51" s="34">
        <v>80.599999999999994</v>
      </c>
      <c r="H51" s="34">
        <v>97.9</v>
      </c>
      <c r="I51" s="34">
        <v>91.16</v>
      </c>
      <c r="J51" s="34">
        <v>106.65</v>
      </c>
      <c r="K51" s="34">
        <v>94.44</v>
      </c>
      <c r="L51" s="34">
        <v>90.38</v>
      </c>
      <c r="M51" s="34">
        <v>107.2</v>
      </c>
      <c r="N51" s="34">
        <v>135.69999999999999</v>
      </c>
      <c r="O51" s="34">
        <v>124</v>
      </c>
    </row>
    <row r="52" spans="1:15" x14ac:dyDescent="0.3">
      <c r="A52" s="17" t="s">
        <v>137</v>
      </c>
      <c r="B52" s="18" t="s">
        <v>138</v>
      </c>
      <c r="C52" s="18" t="s">
        <v>124</v>
      </c>
      <c r="D52" s="18" t="s">
        <v>121</v>
      </c>
      <c r="E52" s="34">
        <v>46.51</v>
      </c>
      <c r="F52" s="34">
        <v>48.28</v>
      </c>
      <c r="G52" s="34">
        <v>52.8</v>
      </c>
      <c r="H52" s="34">
        <v>52.77</v>
      </c>
      <c r="I52" s="34">
        <v>37.700000000000003</v>
      </c>
      <c r="J52" s="34">
        <v>48.48</v>
      </c>
      <c r="K52" s="34">
        <v>63.34</v>
      </c>
      <c r="L52" s="34">
        <v>79.58</v>
      </c>
      <c r="M52" s="34">
        <v>59.72</v>
      </c>
      <c r="N52" s="34">
        <v>83.22</v>
      </c>
      <c r="O52" s="34">
        <v>57.88</v>
      </c>
    </row>
    <row r="53" spans="1:15" x14ac:dyDescent="0.3">
      <c r="A53" s="17" t="s">
        <v>139</v>
      </c>
      <c r="B53" s="18" t="s">
        <v>140</v>
      </c>
      <c r="C53" s="18" t="s">
        <v>124</v>
      </c>
      <c r="D53" s="18" t="s">
        <v>121</v>
      </c>
      <c r="E53" s="34">
        <v>10.98</v>
      </c>
      <c r="F53" s="34">
        <v>9.57</v>
      </c>
      <c r="G53" s="34">
        <v>7.25</v>
      </c>
      <c r="H53" s="34">
        <v>12.51</v>
      </c>
      <c r="I53" s="34">
        <v>5.78</v>
      </c>
      <c r="J53" s="34">
        <v>5.52</v>
      </c>
      <c r="K53" s="34">
        <v>5.27</v>
      </c>
      <c r="L53" s="34">
        <v>6.69</v>
      </c>
      <c r="M53" s="34">
        <v>8.84</v>
      </c>
      <c r="N53" s="34">
        <v>10.76</v>
      </c>
      <c r="O53" s="34">
        <v>15.73</v>
      </c>
    </row>
    <row r="54" spans="1:15" x14ac:dyDescent="0.3">
      <c r="A54" s="17" t="s">
        <v>141</v>
      </c>
      <c r="B54" s="18" t="s">
        <v>142</v>
      </c>
      <c r="C54" s="18" t="s">
        <v>124</v>
      </c>
      <c r="D54" s="18" t="s">
        <v>121</v>
      </c>
      <c r="E54" s="34">
        <v>156.11000000000001</v>
      </c>
      <c r="F54" s="34">
        <v>199.69</v>
      </c>
      <c r="G54" s="34">
        <v>163.36000000000001</v>
      </c>
      <c r="H54" s="34">
        <v>200.13</v>
      </c>
      <c r="I54" s="34">
        <v>107.38</v>
      </c>
      <c r="J54" s="34">
        <v>102.5</v>
      </c>
      <c r="K54" s="34">
        <v>107.82</v>
      </c>
      <c r="L54" s="34">
        <v>93.11</v>
      </c>
      <c r="M54" s="34">
        <v>55.98</v>
      </c>
      <c r="N54" s="34">
        <v>76.92</v>
      </c>
      <c r="O54" s="34">
        <v>64.819999999999993</v>
      </c>
    </row>
    <row r="55" spans="1:15" x14ac:dyDescent="0.3">
      <c r="A55" s="17" t="s">
        <v>143</v>
      </c>
      <c r="B55" s="18" t="s">
        <v>144</v>
      </c>
      <c r="C55" s="18" t="s">
        <v>124</v>
      </c>
      <c r="D55" s="18" t="s">
        <v>121</v>
      </c>
      <c r="E55" s="34">
        <v>0</v>
      </c>
      <c r="F55" s="34">
        <v>33.630000000000003</v>
      </c>
      <c r="G55" s="34">
        <v>65.180000000000007</v>
      </c>
      <c r="H55" s="34">
        <v>86.03</v>
      </c>
      <c r="I55" s="34">
        <v>43.18</v>
      </c>
      <c r="J55" s="34">
        <v>41.45</v>
      </c>
      <c r="K55" s="34">
        <v>50.48</v>
      </c>
      <c r="L55" s="34">
        <v>54.2</v>
      </c>
      <c r="M55" s="34">
        <v>36.549999999999997</v>
      </c>
      <c r="N55" s="34">
        <v>52.68</v>
      </c>
      <c r="O55" s="34">
        <v>56.16</v>
      </c>
    </row>
    <row r="56" spans="1:15" x14ac:dyDescent="0.3">
      <c r="A56" s="17" t="s">
        <v>145</v>
      </c>
      <c r="B56" s="18" t="s">
        <v>146</v>
      </c>
      <c r="C56" s="18" t="s">
        <v>124</v>
      </c>
      <c r="D56" s="18" t="s">
        <v>121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32.29</v>
      </c>
      <c r="M56" s="34">
        <v>28.95</v>
      </c>
      <c r="N56" s="34">
        <v>34.020000000000003</v>
      </c>
      <c r="O56" s="34">
        <v>36.85</v>
      </c>
    </row>
    <row r="57" spans="1:15" x14ac:dyDescent="0.3">
      <c r="A57" s="17" t="s">
        <v>147</v>
      </c>
      <c r="B57" s="18" t="s">
        <v>148</v>
      </c>
      <c r="C57" s="18" t="s">
        <v>124</v>
      </c>
      <c r="D57" s="18" t="s">
        <v>121</v>
      </c>
      <c r="E57" s="34">
        <v>22.31</v>
      </c>
      <c r="F57" s="34">
        <v>20.12</v>
      </c>
      <c r="G57" s="34">
        <v>15.41</v>
      </c>
      <c r="H57" s="34">
        <v>15.88</v>
      </c>
      <c r="I57" s="34">
        <v>6.97</v>
      </c>
      <c r="J57" s="34">
        <v>6.92</v>
      </c>
      <c r="K57" s="34">
        <v>8.9499999999999993</v>
      </c>
      <c r="L57" s="34">
        <v>11.02</v>
      </c>
      <c r="M57" s="34">
        <v>10.59</v>
      </c>
      <c r="N57" s="34">
        <v>12.36</v>
      </c>
      <c r="O57" s="34">
        <v>16.64</v>
      </c>
    </row>
    <row r="58" spans="1:15" x14ac:dyDescent="0.3">
      <c r="A58" s="17" t="s">
        <v>149</v>
      </c>
      <c r="B58" s="18" t="s">
        <v>150</v>
      </c>
      <c r="C58" s="18" t="s">
        <v>124</v>
      </c>
      <c r="D58" s="18" t="s">
        <v>121</v>
      </c>
      <c r="E58" s="34">
        <v>59.22</v>
      </c>
      <c r="F58" s="34">
        <v>81.39</v>
      </c>
      <c r="G58" s="34">
        <v>76.42</v>
      </c>
      <c r="H58" s="34">
        <v>96.8</v>
      </c>
      <c r="I58" s="34">
        <v>104.95</v>
      </c>
      <c r="J58" s="34">
        <v>140.15</v>
      </c>
      <c r="K58" s="34">
        <v>139.25</v>
      </c>
      <c r="L58" s="34">
        <v>147.1</v>
      </c>
      <c r="M58" s="34">
        <v>161.4</v>
      </c>
      <c r="N58" s="34">
        <v>186.5</v>
      </c>
      <c r="O58" s="34">
        <v>222.4</v>
      </c>
    </row>
    <row r="59" spans="1:15" x14ac:dyDescent="0.3">
      <c r="A59" s="17" t="s">
        <v>151</v>
      </c>
      <c r="B59" s="18" t="s">
        <v>152</v>
      </c>
      <c r="C59" s="18" t="s">
        <v>124</v>
      </c>
      <c r="D59" s="18" t="s">
        <v>121</v>
      </c>
      <c r="E59" s="34">
        <v>27.05</v>
      </c>
      <c r="F59" s="34">
        <v>25.96</v>
      </c>
      <c r="G59" s="34">
        <v>31.24</v>
      </c>
      <c r="H59" s="34">
        <v>39.75</v>
      </c>
      <c r="I59" s="34">
        <v>23.91</v>
      </c>
      <c r="J59" s="34">
        <v>34.01</v>
      </c>
      <c r="K59" s="34">
        <v>40.5</v>
      </c>
      <c r="L59" s="34">
        <v>56.54</v>
      </c>
      <c r="M59" s="34">
        <v>35.18</v>
      </c>
      <c r="N59" s="34">
        <v>44.86</v>
      </c>
      <c r="O59" s="34">
        <v>33.979999999999997</v>
      </c>
    </row>
    <row r="60" spans="1:15" x14ac:dyDescent="0.3">
      <c r="A60" s="17" t="s">
        <v>153</v>
      </c>
      <c r="B60" s="18" t="s">
        <v>154</v>
      </c>
      <c r="C60" s="18" t="s">
        <v>124</v>
      </c>
      <c r="D60" s="18" t="s">
        <v>121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94.75</v>
      </c>
      <c r="N60" s="34">
        <v>79.900000000000006</v>
      </c>
      <c r="O60" s="34">
        <v>58.42</v>
      </c>
    </row>
    <row r="61" spans="1:15" x14ac:dyDescent="0.3">
      <c r="A61" s="17" t="s">
        <v>155</v>
      </c>
      <c r="B61" s="18" t="s">
        <v>156</v>
      </c>
      <c r="C61" s="18" t="s">
        <v>124</v>
      </c>
      <c r="D61" s="18" t="s">
        <v>121</v>
      </c>
      <c r="E61" s="34">
        <v>13.25</v>
      </c>
      <c r="F61" s="34">
        <v>16.690000000000001</v>
      </c>
      <c r="G61" s="34">
        <v>16.36</v>
      </c>
      <c r="H61" s="34">
        <v>14.8</v>
      </c>
      <c r="I61" s="34">
        <v>14.82</v>
      </c>
      <c r="J61" s="34">
        <v>14.57</v>
      </c>
      <c r="K61" s="34">
        <v>14.96</v>
      </c>
      <c r="L61" s="34">
        <v>16.3</v>
      </c>
      <c r="M61" s="34">
        <v>18.64</v>
      </c>
      <c r="N61" s="34">
        <v>21.75</v>
      </c>
      <c r="O61" s="34">
        <v>28.89</v>
      </c>
    </row>
    <row r="62" spans="1:15" x14ac:dyDescent="0.3">
      <c r="A62" s="17" t="s">
        <v>157</v>
      </c>
      <c r="B62" s="18" t="s">
        <v>158</v>
      </c>
      <c r="C62" s="18" t="s">
        <v>124</v>
      </c>
      <c r="D62" s="18" t="s">
        <v>121</v>
      </c>
      <c r="E62" s="34">
        <v>12.36</v>
      </c>
      <c r="F62" s="34">
        <v>7.77</v>
      </c>
      <c r="G62" s="34">
        <v>6.7</v>
      </c>
      <c r="H62" s="34">
        <v>9.06</v>
      </c>
      <c r="I62" s="34">
        <v>8.6300000000000008</v>
      </c>
      <c r="J62" s="34">
        <v>9.52</v>
      </c>
      <c r="K62" s="34">
        <v>9.06</v>
      </c>
      <c r="L62" s="34">
        <v>12.19</v>
      </c>
      <c r="M62" s="34">
        <v>9.33</v>
      </c>
      <c r="N62" s="34">
        <v>12.15</v>
      </c>
      <c r="O62" s="34">
        <v>11.25</v>
      </c>
    </row>
    <row r="63" spans="1:15" x14ac:dyDescent="0.3">
      <c r="A63" s="17" t="s">
        <v>159</v>
      </c>
      <c r="B63" s="18" t="s">
        <v>160</v>
      </c>
      <c r="C63" s="18" t="s">
        <v>124</v>
      </c>
      <c r="D63" s="18" t="s">
        <v>121</v>
      </c>
      <c r="E63" s="34">
        <v>43.16</v>
      </c>
      <c r="F63" s="34">
        <v>65.97</v>
      </c>
      <c r="G63" s="34">
        <v>74.260000000000005</v>
      </c>
      <c r="H63" s="34">
        <v>65.069999999999993</v>
      </c>
      <c r="I63" s="34">
        <v>42.38</v>
      </c>
      <c r="J63" s="34">
        <v>50.18</v>
      </c>
      <c r="K63" s="34">
        <v>37.840000000000003</v>
      </c>
      <c r="L63" s="34">
        <v>35.4</v>
      </c>
      <c r="M63" s="34">
        <v>26.25</v>
      </c>
      <c r="N63" s="34">
        <v>28.07</v>
      </c>
      <c r="O63" s="34">
        <v>33.54</v>
      </c>
    </row>
    <row r="64" spans="1:15" x14ac:dyDescent="0.3">
      <c r="A64" s="17" t="s">
        <v>161</v>
      </c>
      <c r="B64" s="18" t="s">
        <v>162</v>
      </c>
      <c r="C64" s="18" t="s">
        <v>124</v>
      </c>
      <c r="D64" s="18" t="s">
        <v>121</v>
      </c>
      <c r="E64" s="34">
        <v>74.97</v>
      </c>
      <c r="F64" s="34">
        <v>105.65</v>
      </c>
      <c r="G64" s="34">
        <v>102.8</v>
      </c>
      <c r="H64" s="34">
        <v>104.9</v>
      </c>
      <c r="I64" s="34">
        <v>117.7</v>
      </c>
      <c r="J64" s="34">
        <v>172.3</v>
      </c>
      <c r="K64" s="34">
        <v>130.30000000000001</v>
      </c>
      <c r="L64" s="34">
        <v>167.15</v>
      </c>
      <c r="M64" s="34">
        <v>185.5</v>
      </c>
      <c r="N64" s="34">
        <v>216.3</v>
      </c>
      <c r="O64" s="34">
        <v>241.4</v>
      </c>
    </row>
    <row r="65" spans="1:15" x14ac:dyDescent="0.3">
      <c r="A65" s="17" t="s">
        <v>163</v>
      </c>
      <c r="B65" s="18" t="s">
        <v>164</v>
      </c>
      <c r="C65" s="18" t="s">
        <v>124</v>
      </c>
      <c r="D65" s="18" t="s">
        <v>121</v>
      </c>
      <c r="E65" s="34">
        <v>58.81</v>
      </c>
      <c r="F65" s="34">
        <v>75.62</v>
      </c>
      <c r="G65" s="34">
        <v>88.63</v>
      </c>
      <c r="H65" s="34">
        <v>90.25</v>
      </c>
      <c r="I65" s="34">
        <v>53.38</v>
      </c>
      <c r="J65" s="34">
        <v>64.959999999999994</v>
      </c>
      <c r="K65" s="34">
        <v>61.22</v>
      </c>
      <c r="L65" s="34">
        <v>59.52</v>
      </c>
      <c r="M65" s="34">
        <v>53.28</v>
      </c>
      <c r="N65" s="34">
        <v>80.94</v>
      </c>
      <c r="O65" s="34">
        <v>119.3</v>
      </c>
    </row>
    <row r="66" spans="1:15" x14ac:dyDescent="0.3">
      <c r="A66" s="17" t="s">
        <v>165</v>
      </c>
      <c r="B66" s="18" t="s">
        <v>166</v>
      </c>
      <c r="C66" s="18" t="s">
        <v>124</v>
      </c>
      <c r="D66" s="18" t="s">
        <v>121</v>
      </c>
      <c r="E66" s="34">
        <v>89.42</v>
      </c>
      <c r="F66" s="34">
        <v>103.2</v>
      </c>
      <c r="G66" s="34">
        <v>113.25</v>
      </c>
      <c r="H66" s="34">
        <v>110.35</v>
      </c>
      <c r="I66" s="34">
        <v>95.4</v>
      </c>
      <c r="J66" s="34">
        <v>92.2</v>
      </c>
      <c r="K66" s="34">
        <v>92.3</v>
      </c>
      <c r="L66" s="34">
        <v>71.14</v>
      </c>
      <c r="M66" s="34">
        <v>65.02</v>
      </c>
      <c r="N66" s="34">
        <v>72.86</v>
      </c>
      <c r="O66" s="34">
        <v>84.7</v>
      </c>
    </row>
    <row r="67" spans="1:15" x14ac:dyDescent="0.3">
      <c r="A67" s="17" t="s">
        <v>167</v>
      </c>
      <c r="B67" s="18" t="s">
        <v>168</v>
      </c>
      <c r="C67" s="18" t="s">
        <v>124</v>
      </c>
      <c r="D67" s="18" t="s">
        <v>121</v>
      </c>
      <c r="E67" s="34">
        <v>8.85</v>
      </c>
      <c r="F67" s="34">
        <v>13.51</v>
      </c>
      <c r="G67" s="34">
        <v>16.510000000000002</v>
      </c>
      <c r="H67" s="34">
        <v>22.83</v>
      </c>
      <c r="I67" s="34">
        <v>17.36</v>
      </c>
      <c r="J67" s="34">
        <v>20.309999999999999</v>
      </c>
      <c r="K67" s="34">
        <v>31.39</v>
      </c>
      <c r="L67" s="34">
        <v>40.76</v>
      </c>
      <c r="M67" s="34">
        <v>28.43</v>
      </c>
      <c r="N67" s="34">
        <v>37.799999999999997</v>
      </c>
      <c r="O67" s="34">
        <v>31.4</v>
      </c>
    </row>
    <row r="68" spans="1:15" x14ac:dyDescent="0.3">
      <c r="A68" s="17" t="s">
        <v>169</v>
      </c>
      <c r="B68" s="18" t="s">
        <v>170</v>
      </c>
      <c r="C68" s="18" t="s">
        <v>124</v>
      </c>
      <c r="D68" s="18" t="s">
        <v>121</v>
      </c>
      <c r="E68" s="34">
        <v>57.26</v>
      </c>
      <c r="F68" s="34">
        <v>64.41</v>
      </c>
      <c r="G68" s="34">
        <v>58.71</v>
      </c>
      <c r="H68" s="34">
        <v>58.78</v>
      </c>
      <c r="I68" s="34">
        <v>38.11</v>
      </c>
      <c r="J68" s="34">
        <v>40.99</v>
      </c>
      <c r="K68" s="34">
        <v>47.98</v>
      </c>
      <c r="L68" s="34">
        <v>67.59</v>
      </c>
      <c r="M68" s="34">
        <v>61.4</v>
      </c>
      <c r="N68" s="34">
        <v>62.55</v>
      </c>
      <c r="O68" s="34">
        <v>53.8</v>
      </c>
    </row>
    <row r="69" spans="1:15" x14ac:dyDescent="0.3">
      <c r="A69" s="17" t="s">
        <v>171</v>
      </c>
      <c r="B69" s="18" t="s">
        <v>172</v>
      </c>
      <c r="C69" s="18" t="s">
        <v>124</v>
      </c>
      <c r="D69" s="18" t="s">
        <v>121</v>
      </c>
      <c r="E69" s="34">
        <v>78.42</v>
      </c>
      <c r="F69" s="34">
        <v>89.57</v>
      </c>
      <c r="G69" s="34">
        <v>99.15</v>
      </c>
      <c r="H69" s="34">
        <v>89.75</v>
      </c>
      <c r="I69" s="34">
        <v>89.98</v>
      </c>
      <c r="J69" s="34">
        <v>105.35</v>
      </c>
      <c r="K69" s="34">
        <v>140.35</v>
      </c>
      <c r="L69" s="34">
        <v>227</v>
      </c>
      <c r="M69" s="34">
        <v>180.9</v>
      </c>
      <c r="N69" s="34">
        <v>144.1</v>
      </c>
      <c r="O69" s="34">
        <v>139.9</v>
      </c>
    </row>
    <row r="70" spans="1:15" x14ac:dyDescent="0.3">
      <c r="A70" s="17" t="s">
        <v>173</v>
      </c>
      <c r="B70" s="18" t="s">
        <v>174</v>
      </c>
      <c r="C70" s="18" t="s">
        <v>124</v>
      </c>
      <c r="D70" s="18" t="s">
        <v>121</v>
      </c>
      <c r="E70" s="34">
        <v>72.16</v>
      </c>
      <c r="F70" s="34">
        <v>90.1</v>
      </c>
      <c r="G70" s="34">
        <v>109.8</v>
      </c>
      <c r="H70" s="34">
        <v>149.4</v>
      </c>
      <c r="I70" s="34">
        <v>158.4</v>
      </c>
      <c r="J70" s="34">
        <v>254.6</v>
      </c>
      <c r="K70" s="34">
        <v>213.4</v>
      </c>
      <c r="L70" s="34">
        <v>179.4</v>
      </c>
      <c r="M70" s="34">
        <v>202.2</v>
      </c>
      <c r="N70" s="34">
        <v>195.25</v>
      </c>
      <c r="O70" s="34">
        <v>322</v>
      </c>
    </row>
    <row r="71" spans="1:15" x14ac:dyDescent="0.3">
      <c r="A71" s="17" t="s">
        <v>175</v>
      </c>
      <c r="B71" s="18" t="s">
        <v>176</v>
      </c>
      <c r="C71" s="18" t="s">
        <v>124</v>
      </c>
      <c r="D71" s="18" t="s">
        <v>121</v>
      </c>
      <c r="E71" s="34">
        <v>165.75</v>
      </c>
      <c r="F71" s="34">
        <v>184.55</v>
      </c>
      <c r="G71" s="34">
        <v>179.65</v>
      </c>
      <c r="H71" s="34">
        <v>180.75</v>
      </c>
      <c r="I71" s="34">
        <v>190.55</v>
      </c>
      <c r="J71" s="34">
        <v>263</v>
      </c>
      <c r="K71" s="34">
        <v>242.8</v>
      </c>
      <c r="L71" s="34">
        <v>260.5</v>
      </c>
      <c r="M71" s="34">
        <v>304</v>
      </c>
      <c r="N71" s="34">
        <v>375.1</v>
      </c>
      <c r="O71" s="34">
        <v>487.1</v>
      </c>
    </row>
    <row r="72" spans="1:15" x14ac:dyDescent="0.3">
      <c r="A72" s="17" t="s">
        <v>177</v>
      </c>
      <c r="B72" s="18" t="s">
        <v>178</v>
      </c>
      <c r="C72" s="18" t="s">
        <v>124</v>
      </c>
      <c r="D72" s="18" t="s">
        <v>121</v>
      </c>
      <c r="E72" s="34">
        <v>67.16</v>
      </c>
      <c r="F72" s="34">
        <v>50.01</v>
      </c>
      <c r="G72" s="34">
        <v>51.74</v>
      </c>
      <c r="H72" s="34">
        <v>69.78</v>
      </c>
      <c r="I72" s="34">
        <v>51.64</v>
      </c>
      <c r="J72" s="34">
        <v>66.64</v>
      </c>
      <c r="K72" s="34">
        <v>56.4</v>
      </c>
      <c r="L72" s="34">
        <v>83.44</v>
      </c>
      <c r="M72" s="34">
        <v>51.24</v>
      </c>
      <c r="N72" s="34">
        <v>46.32</v>
      </c>
      <c r="O72" s="34">
        <v>36.35</v>
      </c>
    </row>
    <row r="73" spans="1:15" x14ac:dyDescent="0.3">
      <c r="A73" s="17" t="s">
        <v>179</v>
      </c>
      <c r="B73" s="18" t="s">
        <v>180</v>
      </c>
      <c r="C73" s="18" t="s">
        <v>124</v>
      </c>
      <c r="D73" s="18" t="s">
        <v>121</v>
      </c>
      <c r="E73" s="34">
        <v>21.32</v>
      </c>
      <c r="F73" s="34">
        <v>27.66</v>
      </c>
      <c r="G73" s="34">
        <v>29.38</v>
      </c>
      <c r="H73" s="34">
        <v>27.77</v>
      </c>
      <c r="I73" s="34">
        <v>31.47</v>
      </c>
      <c r="J73" s="34">
        <v>32.299999999999997</v>
      </c>
      <c r="K73" s="34">
        <v>45.01</v>
      </c>
      <c r="L73" s="34">
        <v>51.95</v>
      </c>
      <c r="M73" s="34">
        <v>49.85</v>
      </c>
      <c r="N73" s="34">
        <v>41.78</v>
      </c>
      <c r="O73" s="34">
        <v>44.27</v>
      </c>
    </row>
    <row r="74" spans="1:15" x14ac:dyDescent="0.3">
      <c r="A74" s="17" t="s">
        <v>181</v>
      </c>
      <c r="B74" s="18" t="s">
        <v>182</v>
      </c>
      <c r="C74" s="18" t="s">
        <v>124</v>
      </c>
      <c r="D74" s="18" t="s">
        <v>121</v>
      </c>
      <c r="E74" s="34">
        <v>36.270000000000003</v>
      </c>
      <c r="F74" s="34">
        <v>61.48</v>
      </c>
      <c r="G74" s="34">
        <v>63.9</v>
      </c>
      <c r="H74" s="34">
        <v>105.85</v>
      </c>
      <c r="I74" s="34">
        <v>77.16</v>
      </c>
      <c r="J74" s="34">
        <v>102.4</v>
      </c>
      <c r="K74" s="34">
        <v>86.58</v>
      </c>
      <c r="L74" s="34">
        <v>83.06</v>
      </c>
      <c r="M74" s="34">
        <v>186.05</v>
      </c>
      <c r="N74" s="34">
        <v>287</v>
      </c>
      <c r="O74" s="34">
        <v>614.6</v>
      </c>
    </row>
    <row r="75" spans="1:15" x14ac:dyDescent="0.3">
      <c r="A75" s="17" t="s">
        <v>183</v>
      </c>
      <c r="B75" s="18" t="s">
        <v>184</v>
      </c>
      <c r="C75" s="18" t="s">
        <v>124</v>
      </c>
      <c r="D75" s="18" t="s">
        <v>121</v>
      </c>
      <c r="E75" s="34">
        <v>25.65</v>
      </c>
      <c r="F75" s="34">
        <v>11.71</v>
      </c>
      <c r="G75" s="34">
        <v>11.82</v>
      </c>
      <c r="H75" s="34">
        <v>17</v>
      </c>
      <c r="I75" s="34">
        <v>18.97</v>
      </c>
      <c r="J75" s="34">
        <v>27.35</v>
      </c>
      <c r="K75" s="34">
        <v>34.57</v>
      </c>
      <c r="L75" s="34">
        <v>35.72</v>
      </c>
      <c r="M75" s="34">
        <v>41.59</v>
      </c>
      <c r="N75" s="34">
        <v>41.18</v>
      </c>
      <c r="O75" s="34">
        <v>28.83</v>
      </c>
    </row>
    <row r="76" spans="1:15" x14ac:dyDescent="0.3">
      <c r="A76" s="17" t="s">
        <v>185</v>
      </c>
      <c r="B76" s="18" t="s">
        <v>186</v>
      </c>
      <c r="C76" s="18" t="s">
        <v>124</v>
      </c>
      <c r="D76" s="18" t="s">
        <v>121</v>
      </c>
      <c r="E76" s="34">
        <v>58.26</v>
      </c>
      <c r="F76" s="34">
        <v>73.38</v>
      </c>
      <c r="G76" s="34">
        <v>82.81</v>
      </c>
      <c r="H76" s="34">
        <v>93.45</v>
      </c>
      <c r="I76" s="34">
        <v>86.93</v>
      </c>
      <c r="J76" s="34">
        <v>120.32</v>
      </c>
      <c r="K76" s="34">
        <v>107.22</v>
      </c>
      <c r="L76" s="34">
        <v>124.9</v>
      </c>
      <c r="M76" s="34">
        <v>96.39</v>
      </c>
      <c r="N76" s="34">
        <v>139.47999999999999</v>
      </c>
      <c r="O76" s="34">
        <v>236.3</v>
      </c>
    </row>
    <row r="77" spans="1:15" x14ac:dyDescent="0.3">
      <c r="A77" s="17" t="s">
        <v>187</v>
      </c>
      <c r="B77" s="18" t="s">
        <v>188</v>
      </c>
      <c r="C77" s="18" t="s">
        <v>124</v>
      </c>
      <c r="D77" s="18" t="s">
        <v>121</v>
      </c>
      <c r="E77" s="34">
        <v>25.31</v>
      </c>
      <c r="F77" s="34">
        <v>60.11</v>
      </c>
      <c r="G77" s="34">
        <v>70.5</v>
      </c>
      <c r="H77" s="34">
        <v>79.540000000000006</v>
      </c>
      <c r="I77" s="34">
        <v>108.9</v>
      </c>
      <c r="J77" s="34">
        <v>190.8</v>
      </c>
      <c r="K77" s="34">
        <v>343.6</v>
      </c>
      <c r="L77" s="34">
        <v>595.20000000000005</v>
      </c>
      <c r="M77" s="34">
        <v>369.4</v>
      </c>
      <c r="N77" s="34">
        <v>333.2</v>
      </c>
      <c r="O77" s="34">
        <v>215.2</v>
      </c>
    </row>
    <row r="78" spans="1:15" x14ac:dyDescent="0.3">
      <c r="A78" s="17" t="s">
        <v>189</v>
      </c>
      <c r="B78" s="18" t="s">
        <v>190</v>
      </c>
      <c r="C78" s="18" t="s">
        <v>124</v>
      </c>
      <c r="D78" s="18" t="s">
        <v>121</v>
      </c>
      <c r="E78" s="34">
        <v>93.75</v>
      </c>
      <c r="F78" s="34">
        <v>89.88</v>
      </c>
      <c r="G78" s="34">
        <v>116.8</v>
      </c>
      <c r="H78" s="34">
        <v>116.15</v>
      </c>
      <c r="I78" s="34">
        <v>97.38</v>
      </c>
      <c r="J78" s="34">
        <v>116.54</v>
      </c>
      <c r="K78" s="34">
        <v>117.52</v>
      </c>
      <c r="L78" s="34">
        <v>152.68</v>
      </c>
      <c r="M78" s="34">
        <v>129.63999999999999</v>
      </c>
      <c r="N78" s="34">
        <v>169.92</v>
      </c>
      <c r="O78" s="34">
        <v>188.56</v>
      </c>
    </row>
    <row r="79" spans="1:15" x14ac:dyDescent="0.3">
      <c r="A79" s="17" t="s">
        <v>191</v>
      </c>
      <c r="B79" s="18" t="s">
        <v>192</v>
      </c>
      <c r="C79" s="18" t="s">
        <v>124</v>
      </c>
      <c r="D79" s="18" t="s">
        <v>121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30</v>
      </c>
      <c r="L79" s="34">
        <v>22.49</v>
      </c>
      <c r="M79" s="34">
        <v>17.579999999999998</v>
      </c>
      <c r="N79" s="34">
        <v>12</v>
      </c>
      <c r="O79" s="34">
        <v>50.38</v>
      </c>
    </row>
    <row r="80" spans="1:15" x14ac:dyDescent="0.3">
      <c r="A80" s="17" t="s">
        <v>193</v>
      </c>
      <c r="B80" s="18" t="s">
        <v>194</v>
      </c>
      <c r="C80" s="18" t="s">
        <v>124</v>
      </c>
      <c r="D80" s="18" t="s">
        <v>121</v>
      </c>
      <c r="E80" s="34">
        <v>0</v>
      </c>
      <c r="F80" s="34">
        <v>0</v>
      </c>
      <c r="G80" s="34">
        <v>0</v>
      </c>
      <c r="H80" s="34">
        <v>0</v>
      </c>
      <c r="I80" s="34">
        <v>36.54</v>
      </c>
      <c r="J80" s="34">
        <v>42.82</v>
      </c>
      <c r="K80" s="34">
        <v>41.98</v>
      </c>
      <c r="L80" s="34">
        <v>65.819999999999993</v>
      </c>
      <c r="M80" s="34">
        <v>46.73</v>
      </c>
      <c r="N80" s="34">
        <v>52.6</v>
      </c>
      <c r="O80" s="34">
        <v>51.2</v>
      </c>
    </row>
    <row r="81" spans="1:15" x14ac:dyDescent="0.3">
      <c r="A81" s="17" t="s">
        <v>195</v>
      </c>
      <c r="B81" s="18" t="s">
        <v>196</v>
      </c>
      <c r="C81" s="18" t="s">
        <v>124</v>
      </c>
      <c r="D81" s="18" t="s">
        <v>121</v>
      </c>
      <c r="E81" s="34">
        <v>50.13</v>
      </c>
      <c r="F81" s="34">
        <v>61.33</v>
      </c>
      <c r="G81" s="34">
        <v>57.83</v>
      </c>
      <c r="H81" s="34">
        <v>71.62</v>
      </c>
      <c r="I81" s="34">
        <v>64.5</v>
      </c>
      <c r="J81" s="34">
        <v>93.8</v>
      </c>
      <c r="K81" s="34">
        <v>108.4</v>
      </c>
      <c r="L81" s="34">
        <v>130.30000000000001</v>
      </c>
      <c r="M81" s="34">
        <v>101.65</v>
      </c>
      <c r="N81" s="34">
        <v>99.64</v>
      </c>
      <c r="O81" s="34">
        <v>102.65</v>
      </c>
    </row>
    <row r="82" spans="1:15" x14ac:dyDescent="0.3">
      <c r="A82" s="17" t="s">
        <v>197</v>
      </c>
      <c r="B82" s="18" t="s">
        <v>198</v>
      </c>
      <c r="C82" s="18" t="s">
        <v>124</v>
      </c>
      <c r="D82" s="18" t="s">
        <v>121</v>
      </c>
      <c r="E82" s="34">
        <v>184.65</v>
      </c>
      <c r="F82" s="34">
        <v>133.75</v>
      </c>
      <c r="G82" s="34">
        <v>133.35</v>
      </c>
      <c r="H82" s="34">
        <v>166.45</v>
      </c>
      <c r="I82" s="34">
        <v>138.91999999999999</v>
      </c>
      <c r="J82" s="34">
        <v>176.24</v>
      </c>
      <c r="K82" s="34">
        <v>152.41999999999999</v>
      </c>
      <c r="L82" s="34">
        <v>177.48</v>
      </c>
      <c r="M82" s="34">
        <v>116.42</v>
      </c>
      <c r="N82" s="34">
        <v>111.8</v>
      </c>
      <c r="O82" s="34">
        <v>89.04</v>
      </c>
    </row>
    <row r="83" spans="1:15" x14ac:dyDescent="0.3">
      <c r="A83" s="17" t="s">
        <v>199</v>
      </c>
      <c r="B83" s="18" t="s">
        <v>200</v>
      </c>
      <c r="C83" s="18" t="s">
        <v>124</v>
      </c>
      <c r="D83" s="18" t="s">
        <v>121</v>
      </c>
      <c r="E83" s="34">
        <v>24.98</v>
      </c>
      <c r="F83" s="34">
        <v>26.74</v>
      </c>
      <c r="G83" s="34">
        <v>28.95</v>
      </c>
      <c r="H83" s="34">
        <v>38.770000000000003</v>
      </c>
      <c r="I83" s="34">
        <v>37.08</v>
      </c>
      <c r="J83" s="34">
        <v>44.96</v>
      </c>
      <c r="K83" s="34">
        <v>55.98</v>
      </c>
      <c r="L83" s="34">
        <v>48.5</v>
      </c>
      <c r="M83" s="34">
        <v>22.02</v>
      </c>
      <c r="N83" s="34">
        <v>28.54</v>
      </c>
      <c r="O83" s="34">
        <v>29.32</v>
      </c>
    </row>
    <row r="84" spans="1:15" x14ac:dyDescent="0.3">
      <c r="A84" s="17" t="s">
        <v>201</v>
      </c>
      <c r="B84" s="18" t="s">
        <v>202</v>
      </c>
      <c r="C84" s="18" t="s">
        <v>124</v>
      </c>
      <c r="D84" s="18" t="s">
        <v>121</v>
      </c>
      <c r="E84" s="34">
        <v>25.5</v>
      </c>
      <c r="F84" s="34">
        <v>36.4</v>
      </c>
      <c r="G84" s="34">
        <v>36.29</v>
      </c>
      <c r="H84" s="34">
        <v>44.12</v>
      </c>
      <c r="I84" s="34">
        <v>22.44</v>
      </c>
      <c r="J84" s="34">
        <v>45.18</v>
      </c>
      <c r="K84" s="34">
        <v>91.06</v>
      </c>
      <c r="L84" s="34">
        <v>71.14</v>
      </c>
      <c r="M84" s="34">
        <v>33.11</v>
      </c>
      <c r="N84" s="34">
        <v>21.45</v>
      </c>
      <c r="O84" s="34">
        <v>32.39</v>
      </c>
    </row>
    <row r="85" spans="1:15" x14ac:dyDescent="0.3">
      <c r="A85" s="31" t="s">
        <v>203</v>
      </c>
      <c r="B85" s="32"/>
      <c r="C85" s="32"/>
      <c r="D85" s="32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spans="1:15" x14ac:dyDescent="0.3">
      <c r="A86" s="17" t="s">
        <v>204</v>
      </c>
      <c r="B86" s="18" t="s">
        <v>205</v>
      </c>
      <c r="C86" s="18" t="s">
        <v>206</v>
      </c>
      <c r="D86" s="18" t="s">
        <v>203</v>
      </c>
      <c r="E86" s="34">
        <v>131.15</v>
      </c>
      <c r="F86" s="34">
        <v>147.15</v>
      </c>
      <c r="G86" s="34">
        <v>181.4</v>
      </c>
      <c r="H86" s="34">
        <v>245.4</v>
      </c>
      <c r="I86" s="34">
        <v>252.75</v>
      </c>
      <c r="J86" s="34">
        <v>414.6</v>
      </c>
      <c r="K86" s="34">
        <v>513.1</v>
      </c>
      <c r="L86" s="34">
        <v>730</v>
      </c>
      <c r="M86" s="34">
        <v>679.9</v>
      </c>
      <c r="N86" s="34">
        <v>733.6</v>
      </c>
      <c r="O86" s="34">
        <v>629.29999999999995</v>
      </c>
    </row>
    <row r="87" spans="1:15" x14ac:dyDescent="0.3">
      <c r="A87" s="17" t="s">
        <v>207</v>
      </c>
      <c r="B87" s="18" t="s">
        <v>208</v>
      </c>
      <c r="C87" s="18" t="s">
        <v>206</v>
      </c>
      <c r="D87" s="18" t="s">
        <v>203</v>
      </c>
      <c r="E87" s="34">
        <v>59.65</v>
      </c>
      <c r="F87" s="34">
        <v>53.68</v>
      </c>
      <c r="G87" s="34">
        <v>66.11</v>
      </c>
      <c r="H87" s="34">
        <v>70.86</v>
      </c>
      <c r="I87" s="34">
        <v>59.32</v>
      </c>
      <c r="J87" s="34">
        <v>91.54</v>
      </c>
      <c r="K87" s="34">
        <v>120.85</v>
      </c>
      <c r="L87" s="34">
        <v>172.84</v>
      </c>
      <c r="M87" s="34">
        <v>130.72</v>
      </c>
      <c r="N87" s="34">
        <v>181.78</v>
      </c>
      <c r="O87" s="34">
        <v>239.4</v>
      </c>
    </row>
    <row r="88" spans="1:15" x14ac:dyDescent="0.3">
      <c r="A88" s="17" t="s">
        <v>209</v>
      </c>
      <c r="B88" s="18" t="s">
        <v>126</v>
      </c>
      <c r="C88" s="18" t="s">
        <v>206</v>
      </c>
      <c r="D88" s="18" t="s">
        <v>203</v>
      </c>
      <c r="E88" s="34">
        <v>40.94</v>
      </c>
      <c r="F88" s="34">
        <v>62.58</v>
      </c>
      <c r="G88" s="34">
        <v>62.84</v>
      </c>
      <c r="H88" s="34">
        <v>83</v>
      </c>
      <c r="I88" s="34">
        <v>83.76</v>
      </c>
      <c r="J88" s="34">
        <v>130</v>
      </c>
      <c r="K88" s="34">
        <v>91.25</v>
      </c>
      <c r="L88" s="34">
        <v>112.68</v>
      </c>
      <c r="M88" s="34">
        <v>111.02</v>
      </c>
      <c r="N88" s="34">
        <v>139.78</v>
      </c>
      <c r="O88" s="34">
        <v>154.38</v>
      </c>
    </row>
    <row r="89" spans="1:15" x14ac:dyDescent="0.3">
      <c r="A89" s="17" t="s">
        <v>210</v>
      </c>
      <c r="B89" s="18" t="s">
        <v>211</v>
      </c>
      <c r="C89" s="18" t="s">
        <v>206</v>
      </c>
      <c r="D89" s="18" t="s">
        <v>203</v>
      </c>
      <c r="E89" s="34">
        <v>42.54</v>
      </c>
      <c r="F89" s="34">
        <v>41.56</v>
      </c>
      <c r="G89" s="34">
        <v>48.72</v>
      </c>
      <c r="H89" s="34">
        <v>46.04</v>
      </c>
      <c r="I89" s="34">
        <v>46.08</v>
      </c>
      <c r="J89" s="34">
        <v>49.19</v>
      </c>
      <c r="K89" s="34">
        <v>35.590000000000003</v>
      </c>
      <c r="L89" s="34">
        <v>44.9</v>
      </c>
      <c r="M89" s="34">
        <v>58.65</v>
      </c>
      <c r="N89" s="34">
        <v>61.6</v>
      </c>
      <c r="O89" s="34">
        <v>52.6</v>
      </c>
    </row>
    <row r="90" spans="1:15" x14ac:dyDescent="0.3">
      <c r="A90" s="17" t="s">
        <v>212</v>
      </c>
      <c r="B90" s="18" t="s">
        <v>213</v>
      </c>
      <c r="C90" s="18" t="s">
        <v>206</v>
      </c>
      <c r="D90" s="18" t="s">
        <v>203</v>
      </c>
      <c r="E90" s="34">
        <v>75</v>
      </c>
      <c r="F90" s="34">
        <v>79.709999999999994</v>
      </c>
      <c r="G90" s="34">
        <v>76.900000000000006</v>
      </c>
      <c r="H90" s="34">
        <v>71.849999999999994</v>
      </c>
      <c r="I90" s="34">
        <v>75.22</v>
      </c>
      <c r="J90" s="34">
        <v>89.75</v>
      </c>
      <c r="K90" s="34">
        <v>78.86</v>
      </c>
      <c r="L90" s="34">
        <v>89.13</v>
      </c>
      <c r="M90" s="34">
        <v>89.84</v>
      </c>
      <c r="N90" s="34">
        <v>89.76</v>
      </c>
      <c r="O90" s="34">
        <v>93.14</v>
      </c>
    </row>
    <row r="91" spans="1:15" x14ac:dyDescent="0.3">
      <c r="A91" s="17" t="s">
        <v>214</v>
      </c>
      <c r="B91" s="18" t="s">
        <v>215</v>
      </c>
      <c r="C91" s="18" t="s">
        <v>206</v>
      </c>
      <c r="D91" s="18" t="s">
        <v>203</v>
      </c>
      <c r="E91" s="34">
        <v>50.42</v>
      </c>
      <c r="F91" s="34">
        <v>63.75</v>
      </c>
      <c r="G91" s="34">
        <v>68.42</v>
      </c>
      <c r="H91" s="34">
        <v>85.91</v>
      </c>
      <c r="I91" s="34">
        <v>103.1</v>
      </c>
      <c r="J91" s="34">
        <v>137.1</v>
      </c>
      <c r="K91" s="34">
        <v>119</v>
      </c>
      <c r="L91" s="34">
        <v>107.08</v>
      </c>
      <c r="M91" s="34">
        <v>116.92</v>
      </c>
      <c r="N91" s="34">
        <v>159.46</v>
      </c>
      <c r="O91" s="34">
        <v>210.4</v>
      </c>
    </row>
    <row r="92" spans="1:15" x14ac:dyDescent="0.3">
      <c r="A92" s="17" t="s">
        <v>216</v>
      </c>
      <c r="B92" s="18" t="s">
        <v>217</v>
      </c>
      <c r="C92" s="18" t="s">
        <v>206</v>
      </c>
      <c r="D92" s="18" t="s">
        <v>203</v>
      </c>
      <c r="E92" s="34">
        <v>67.510000000000005</v>
      </c>
      <c r="F92" s="34">
        <v>69.489999999999995</v>
      </c>
      <c r="G92" s="34">
        <v>71.790000000000006</v>
      </c>
      <c r="H92" s="34">
        <v>78.52</v>
      </c>
      <c r="I92" s="34">
        <v>79.41</v>
      </c>
      <c r="J92" s="34">
        <v>103.55</v>
      </c>
      <c r="K92" s="34">
        <v>111.24</v>
      </c>
      <c r="L92" s="34">
        <v>126.35</v>
      </c>
      <c r="M92" s="34">
        <v>120.05</v>
      </c>
      <c r="N92" s="34">
        <v>159.69</v>
      </c>
      <c r="O92" s="34">
        <v>154.62</v>
      </c>
    </row>
    <row r="93" spans="1:15" x14ac:dyDescent="0.3">
      <c r="A93" s="17" t="s">
        <v>218</v>
      </c>
      <c r="B93" s="18" t="s">
        <v>219</v>
      </c>
      <c r="C93" s="18" t="s">
        <v>206</v>
      </c>
      <c r="D93" s="18" t="s">
        <v>203</v>
      </c>
      <c r="E93" s="34">
        <v>138.15</v>
      </c>
      <c r="F93" s="34">
        <v>157.35</v>
      </c>
      <c r="G93" s="34">
        <v>173.4</v>
      </c>
      <c r="H93" s="34">
        <v>184.95</v>
      </c>
      <c r="I93" s="34">
        <v>198.1</v>
      </c>
      <c r="J93" s="34">
        <v>263.2</v>
      </c>
      <c r="K93" s="34">
        <v>313.2</v>
      </c>
      <c r="L93" s="34">
        <v>419.8</v>
      </c>
      <c r="M93" s="34">
        <v>333.6</v>
      </c>
      <c r="N93" s="34">
        <v>450.65</v>
      </c>
      <c r="O93" s="34">
        <v>337.4</v>
      </c>
    </row>
    <row r="94" spans="1:15" x14ac:dyDescent="0.3">
      <c r="A94" s="17" t="s">
        <v>220</v>
      </c>
      <c r="B94" s="18" t="s">
        <v>221</v>
      </c>
      <c r="C94" s="18" t="s">
        <v>206</v>
      </c>
      <c r="D94" s="18" t="s">
        <v>203</v>
      </c>
      <c r="E94" s="34">
        <v>90.75</v>
      </c>
      <c r="F94" s="34">
        <v>116.25</v>
      </c>
      <c r="G94" s="34">
        <v>107.35</v>
      </c>
      <c r="H94" s="34">
        <v>114.95</v>
      </c>
      <c r="I94" s="34">
        <v>109.75</v>
      </c>
      <c r="J94" s="34">
        <v>134.9</v>
      </c>
      <c r="K94" s="34">
        <v>128.85</v>
      </c>
      <c r="L94" s="34">
        <v>187.64</v>
      </c>
      <c r="M94" s="34">
        <v>169.2</v>
      </c>
      <c r="N94" s="34">
        <v>181.6</v>
      </c>
      <c r="O94" s="34">
        <v>232.3</v>
      </c>
    </row>
    <row r="95" spans="1:15" x14ac:dyDescent="0.3">
      <c r="A95" s="17" t="s">
        <v>222</v>
      </c>
      <c r="B95" s="18" t="s">
        <v>223</v>
      </c>
      <c r="C95" s="18" t="s">
        <v>206</v>
      </c>
      <c r="D95" s="18" t="s">
        <v>203</v>
      </c>
      <c r="E95" s="34">
        <v>48.83</v>
      </c>
      <c r="F95" s="34">
        <v>52.59</v>
      </c>
      <c r="G95" s="34">
        <v>60.55</v>
      </c>
      <c r="H95" s="34">
        <v>62.25</v>
      </c>
      <c r="I95" s="34">
        <v>39.380000000000003</v>
      </c>
      <c r="J95" s="34">
        <v>52.73</v>
      </c>
      <c r="K95" s="34">
        <v>43.31</v>
      </c>
      <c r="L95" s="34">
        <v>60.67</v>
      </c>
      <c r="M95" s="34">
        <v>53.25</v>
      </c>
      <c r="N95" s="34">
        <v>62.59</v>
      </c>
      <c r="O95" s="34">
        <v>58.73</v>
      </c>
    </row>
    <row r="96" spans="1:15" x14ac:dyDescent="0.3">
      <c r="A96" s="17" t="s">
        <v>224</v>
      </c>
      <c r="B96" s="18" t="s">
        <v>225</v>
      </c>
      <c r="C96" s="18" t="s">
        <v>206</v>
      </c>
      <c r="D96" s="18" t="s">
        <v>203</v>
      </c>
      <c r="E96" s="34">
        <v>19.13</v>
      </c>
      <c r="F96" s="34">
        <v>25.3</v>
      </c>
      <c r="G96" s="34">
        <v>23.99</v>
      </c>
      <c r="H96" s="34">
        <v>24.74</v>
      </c>
      <c r="I96" s="34">
        <v>18.78</v>
      </c>
      <c r="J96" s="34">
        <v>25.09</v>
      </c>
      <c r="K96" s="34">
        <v>19.68</v>
      </c>
      <c r="L96" s="34">
        <v>26.29</v>
      </c>
      <c r="M96" s="34">
        <v>26.06</v>
      </c>
      <c r="N96" s="34">
        <v>29.49</v>
      </c>
      <c r="O96" s="34">
        <v>34.119999999999997</v>
      </c>
    </row>
    <row r="97" spans="1:15" x14ac:dyDescent="0.3">
      <c r="A97" s="17" t="s">
        <v>226</v>
      </c>
      <c r="B97" s="18" t="s">
        <v>227</v>
      </c>
      <c r="C97" s="18" t="s">
        <v>206</v>
      </c>
      <c r="D97" s="18" t="s">
        <v>203</v>
      </c>
      <c r="E97" s="34">
        <v>293.35000000000002</v>
      </c>
      <c r="F97" s="34">
        <v>314.5</v>
      </c>
      <c r="G97" s="34">
        <v>390</v>
      </c>
      <c r="H97" s="34">
        <v>446.25</v>
      </c>
      <c r="I97" s="34">
        <v>476.8</v>
      </c>
      <c r="J97" s="34">
        <v>671.2</v>
      </c>
      <c r="K97" s="34">
        <v>884</v>
      </c>
      <c r="L97" s="34">
        <v>1537.5</v>
      </c>
      <c r="M97" s="34">
        <v>1445</v>
      </c>
      <c r="N97" s="34">
        <v>1918.8</v>
      </c>
      <c r="O97" s="34">
        <v>2305</v>
      </c>
    </row>
    <row r="98" spans="1:15" x14ac:dyDescent="0.3">
      <c r="A98" s="17" t="s">
        <v>228</v>
      </c>
      <c r="B98" s="18" t="s">
        <v>229</v>
      </c>
      <c r="C98" s="18" t="s">
        <v>206</v>
      </c>
      <c r="D98" s="18" t="s">
        <v>203</v>
      </c>
      <c r="E98" s="34">
        <v>45.26</v>
      </c>
      <c r="F98" s="34">
        <v>59.48</v>
      </c>
      <c r="G98" s="34">
        <v>64.7</v>
      </c>
      <c r="H98" s="34">
        <v>85.15</v>
      </c>
      <c r="I98" s="34">
        <v>71.959999999999994</v>
      </c>
      <c r="J98" s="34">
        <v>98.98</v>
      </c>
      <c r="K98" s="34">
        <v>83.02</v>
      </c>
      <c r="L98" s="34">
        <v>91.98</v>
      </c>
      <c r="M98" s="34">
        <v>93.29</v>
      </c>
      <c r="N98" s="34">
        <v>113.7</v>
      </c>
      <c r="O98" s="34">
        <v>98.72</v>
      </c>
    </row>
    <row r="99" spans="1:15" x14ac:dyDescent="0.3">
      <c r="A99" s="17" t="s">
        <v>230</v>
      </c>
      <c r="B99" s="18" t="s">
        <v>231</v>
      </c>
      <c r="C99" s="18" t="s">
        <v>206</v>
      </c>
      <c r="D99" s="18" t="s">
        <v>203</v>
      </c>
      <c r="E99" s="34">
        <v>54</v>
      </c>
      <c r="F99" s="34">
        <v>63.04</v>
      </c>
      <c r="G99" s="34">
        <v>60.2</v>
      </c>
      <c r="H99" s="34">
        <v>69.95</v>
      </c>
      <c r="I99" s="34">
        <v>60.67</v>
      </c>
      <c r="J99" s="34">
        <v>74</v>
      </c>
      <c r="K99" s="34">
        <v>54.24</v>
      </c>
      <c r="L99" s="34">
        <v>54.92</v>
      </c>
      <c r="M99" s="34">
        <v>49.23</v>
      </c>
      <c r="N99" s="34">
        <v>58.68</v>
      </c>
      <c r="O99" s="34">
        <v>64.5</v>
      </c>
    </row>
    <row r="100" spans="1:15" x14ac:dyDescent="0.3">
      <c r="A100" s="17" t="s">
        <v>232</v>
      </c>
      <c r="B100" s="18" t="s">
        <v>233</v>
      </c>
      <c r="C100" s="18" t="s">
        <v>206</v>
      </c>
      <c r="D100" s="18" t="s">
        <v>203</v>
      </c>
      <c r="E100" s="34">
        <v>34.81</v>
      </c>
      <c r="F100" s="34">
        <v>42.79</v>
      </c>
      <c r="G100" s="34">
        <v>46.74</v>
      </c>
      <c r="H100" s="34">
        <v>43.05</v>
      </c>
      <c r="I100" s="34">
        <v>27.8</v>
      </c>
      <c r="J100" s="34">
        <v>30.98</v>
      </c>
      <c r="K100" s="34">
        <v>16.98</v>
      </c>
      <c r="L100" s="34">
        <v>30.24</v>
      </c>
      <c r="M100" s="34">
        <v>23.48</v>
      </c>
      <c r="N100" s="34">
        <v>24.03</v>
      </c>
      <c r="O100" s="34">
        <v>26.88</v>
      </c>
    </row>
    <row r="101" spans="1:15" x14ac:dyDescent="0.3">
      <c r="A101" s="17" t="s">
        <v>234</v>
      </c>
      <c r="B101" s="18" t="s">
        <v>235</v>
      </c>
      <c r="C101" s="18" t="s">
        <v>206</v>
      </c>
      <c r="D101" s="18" t="s">
        <v>203</v>
      </c>
      <c r="E101" s="34">
        <v>19.39</v>
      </c>
      <c r="F101" s="34">
        <v>16.43</v>
      </c>
      <c r="G101" s="34">
        <v>12.12</v>
      </c>
      <c r="H101" s="34">
        <v>14.34</v>
      </c>
      <c r="I101" s="34">
        <v>12.28</v>
      </c>
      <c r="J101" s="34">
        <v>14.52</v>
      </c>
      <c r="K101" s="34">
        <v>12.7</v>
      </c>
      <c r="L101" s="34">
        <v>13.07</v>
      </c>
      <c r="M101" s="34">
        <v>13.39</v>
      </c>
      <c r="N101" s="34">
        <v>15.92</v>
      </c>
      <c r="O101" s="34">
        <v>15.24</v>
      </c>
    </row>
    <row r="102" spans="1:15" x14ac:dyDescent="0.3">
      <c r="A102" s="17" t="s">
        <v>236</v>
      </c>
      <c r="B102" s="18" t="s">
        <v>237</v>
      </c>
      <c r="C102" s="18" t="s">
        <v>206</v>
      </c>
      <c r="D102" s="18" t="s">
        <v>203</v>
      </c>
      <c r="E102" s="34">
        <v>34.97</v>
      </c>
      <c r="F102" s="34">
        <v>40.19</v>
      </c>
      <c r="G102" s="34">
        <v>44.26</v>
      </c>
      <c r="H102" s="34">
        <v>45.98</v>
      </c>
      <c r="I102" s="34">
        <v>29</v>
      </c>
      <c r="J102" s="34">
        <v>36.51</v>
      </c>
      <c r="K102" s="34">
        <v>38.03</v>
      </c>
      <c r="L102" s="34">
        <v>61.93</v>
      </c>
      <c r="M102" s="34">
        <v>45.65</v>
      </c>
      <c r="N102" s="34">
        <v>66.66</v>
      </c>
      <c r="O102" s="34">
        <v>85.56</v>
      </c>
    </row>
    <row r="103" spans="1:15" x14ac:dyDescent="0.3">
      <c r="A103" s="17" t="s">
        <v>238</v>
      </c>
      <c r="B103" s="18" t="s">
        <v>239</v>
      </c>
      <c r="C103" s="18" t="s">
        <v>206</v>
      </c>
      <c r="D103" s="18" t="s">
        <v>203</v>
      </c>
      <c r="E103" s="34">
        <v>43.16</v>
      </c>
      <c r="F103" s="34">
        <v>52.62</v>
      </c>
      <c r="G103" s="34">
        <v>53.95</v>
      </c>
      <c r="H103" s="34">
        <v>64.19</v>
      </c>
      <c r="I103" s="34">
        <v>49.28</v>
      </c>
      <c r="J103" s="34">
        <v>73.040000000000006</v>
      </c>
      <c r="K103" s="34">
        <v>73.739999999999995</v>
      </c>
      <c r="L103" s="34">
        <v>102.8</v>
      </c>
      <c r="M103" s="34">
        <v>74.819999999999993</v>
      </c>
      <c r="N103" s="34">
        <v>94.1</v>
      </c>
      <c r="O103" s="34">
        <v>93.26</v>
      </c>
    </row>
    <row r="104" spans="1:15" x14ac:dyDescent="0.3">
      <c r="A104" s="17" t="s">
        <v>240</v>
      </c>
      <c r="B104" s="18" t="s">
        <v>241</v>
      </c>
      <c r="C104" s="18" t="s">
        <v>206</v>
      </c>
      <c r="D104" s="18" t="s">
        <v>203</v>
      </c>
      <c r="E104" s="34">
        <v>14.13</v>
      </c>
      <c r="F104" s="34">
        <v>15.58</v>
      </c>
      <c r="G104" s="34">
        <v>14.44</v>
      </c>
      <c r="H104" s="34">
        <v>14.48</v>
      </c>
      <c r="I104" s="34">
        <v>14.08</v>
      </c>
      <c r="J104" s="34">
        <v>13.13</v>
      </c>
      <c r="K104" s="34">
        <v>9.8000000000000007</v>
      </c>
      <c r="L104" s="34">
        <v>9.43</v>
      </c>
      <c r="M104" s="34">
        <v>9.2799999999999994</v>
      </c>
      <c r="N104" s="34">
        <v>10.3</v>
      </c>
      <c r="O104" s="34">
        <v>9.6300000000000008</v>
      </c>
    </row>
    <row r="105" spans="1:15" x14ac:dyDescent="0.3">
      <c r="A105" s="17" t="s">
        <v>242</v>
      </c>
      <c r="B105" s="18" t="s">
        <v>243</v>
      </c>
      <c r="C105" s="18" t="s">
        <v>206</v>
      </c>
      <c r="D105" s="18" t="s">
        <v>203</v>
      </c>
      <c r="E105" s="34">
        <v>158.1</v>
      </c>
      <c r="F105" s="34">
        <v>160.44999999999999</v>
      </c>
      <c r="G105" s="34">
        <v>213.3</v>
      </c>
      <c r="H105" s="34">
        <v>393</v>
      </c>
      <c r="I105" s="34">
        <v>397.5</v>
      </c>
      <c r="J105" s="34">
        <v>586.29999999999995</v>
      </c>
      <c r="K105" s="34">
        <v>588</v>
      </c>
      <c r="L105" s="34">
        <v>707.8</v>
      </c>
      <c r="M105" s="34">
        <v>475.5</v>
      </c>
      <c r="N105" s="34">
        <v>399</v>
      </c>
      <c r="O105" s="34">
        <v>237.1</v>
      </c>
    </row>
    <row r="106" spans="1:15" x14ac:dyDescent="0.3">
      <c r="A106" s="17" t="s">
        <v>244</v>
      </c>
      <c r="B106" s="18" t="s">
        <v>245</v>
      </c>
      <c r="C106" s="18" t="s">
        <v>206</v>
      </c>
      <c r="D106" s="18" t="s">
        <v>203</v>
      </c>
      <c r="E106" s="34">
        <v>59.71</v>
      </c>
      <c r="F106" s="34">
        <v>61.81</v>
      </c>
      <c r="G106" s="34">
        <v>65.55</v>
      </c>
      <c r="H106" s="34">
        <v>56.65</v>
      </c>
      <c r="I106" s="34">
        <v>49.25</v>
      </c>
      <c r="J106" s="34">
        <v>40.700000000000003</v>
      </c>
      <c r="K106" s="34">
        <v>41.22</v>
      </c>
      <c r="L106" s="34">
        <v>59.94</v>
      </c>
      <c r="M106" s="34">
        <v>59.42</v>
      </c>
      <c r="N106" s="34">
        <v>84</v>
      </c>
      <c r="O106" s="34">
        <v>101.95</v>
      </c>
    </row>
    <row r="107" spans="1:15" x14ac:dyDescent="0.3">
      <c r="A107" s="17" t="s">
        <v>246</v>
      </c>
      <c r="B107" s="18" t="s">
        <v>247</v>
      </c>
      <c r="C107" s="18" t="s">
        <v>206</v>
      </c>
      <c r="D107" s="18" t="s">
        <v>203</v>
      </c>
      <c r="E107" s="34">
        <v>44.48</v>
      </c>
      <c r="F107" s="34">
        <v>69.290000000000006</v>
      </c>
      <c r="G107" s="34">
        <v>92.13</v>
      </c>
      <c r="H107" s="34">
        <v>89.88</v>
      </c>
      <c r="I107" s="34">
        <v>100.8</v>
      </c>
      <c r="J107" s="34">
        <v>92.72</v>
      </c>
      <c r="K107" s="34">
        <v>75.44</v>
      </c>
      <c r="L107" s="34">
        <v>75.3</v>
      </c>
      <c r="M107" s="34">
        <v>119.3</v>
      </c>
      <c r="N107" s="34">
        <v>133.94999999999999</v>
      </c>
      <c r="O107" s="34">
        <v>137.5</v>
      </c>
    </row>
    <row r="108" spans="1:15" x14ac:dyDescent="0.3">
      <c r="A108" s="17" t="s">
        <v>248</v>
      </c>
      <c r="B108" s="18" t="s">
        <v>249</v>
      </c>
      <c r="C108" s="18" t="s">
        <v>206</v>
      </c>
      <c r="D108" s="18" t="s">
        <v>203</v>
      </c>
      <c r="E108" s="34">
        <v>59.73</v>
      </c>
      <c r="F108" s="34">
        <v>86.01</v>
      </c>
      <c r="G108" s="34">
        <v>80.150000000000006</v>
      </c>
      <c r="H108" s="34">
        <v>98.89</v>
      </c>
      <c r="I108" s="34">
        <v>85.92</v>
      </c>
      <c r="J108" s="34">
        <v>110.3</v>
      </c>
      <c r="K108" s="34">
        <v>128.25</v>
      </c>
      <c r="L108" s="34">
        <v>215.7</v>
      </c>
      <c r="M108" s="34">
        <v>155.94999999999999</v>
      </c>
      <c r="N108" s="34">
        <v>188.75</v>
      </c>
      <c r="O108" s="34">
        <v>155.19999999999999</v>
      </c>
    </row>
    <row r="109" spans="1:15" x14ac:dyDescent="0.3">
      <c r="A109" s="17" t="s">
        <v>250</v>
      </c>
      <c r="B109" s="18" t="s">
        <v>251</v>
      </c>
      <c r="C109" s="18" t="s">
        <v>206</v>
      </c>
      <c r="D109" s="18" t="s">
        <v>203</v>
      </c>
      <c r="E109" s="34">
        <v>18.72</v>
      </c>
      <c r="F109" s="34">
        <v>22.12</v>
      </c>
      <c r="G109" s="34">
        <v>26.43</v>
      </c>
      <c r="H109" s="34">
        <v>29.89</v>
      </c>
      <c r="I109" s="34">
        <v>21.16</v>
      </c>
      <c r="J109" s="34">
        <v>27.01</v>
      </c>
      <c r="K109" s="34">
        <v>26.51</v>
      </c>
      <c r="L109" s="34">
        <v>36.17</v>
      </c>
      <c r="M109" s="34">
        <v>25.99</v>
      </c>
      <c r="N109" s="34">
        <v>32.46</v>
      </c>
      <c r="O109" s="34">
        <v>31.61</v>
      </c>
    </row>
    <row r="110" spans="1:15" x14ac:dyDescent="0.3">
      <c r="A110" s="17" t="s">
        <v>252</v>
      </c>
      <c r="B110" s="18" t="s">
        <v>253</v>
      </c>
      <c r="C110" s="18" t="s">
        <v>206</v>
      </c>
      <c r="D110" s="18" t="s">
        <v>203</v>
      </c>
      <c r="E110" s="34">
        <v>14.17</v>
      </c>
      <c r="F110" s="34">
        <v>21.27</v>
      </c>
      <c r="G110" s="34">
        <v>15.6</v>
      </c>
      <c r="H110" s="34">
        <v>20.51</v>
      </c>
      <c r="I110" s="34">
        <v>17.13</v>
      </c>
      <c r="J110" s="34">
        <v>23.12</v>
      </c>
      <c r="K110" s="34">
        <v>19.420000000000002</v>
      </c>
      <c r="L110" s="34">
        <v>32.08</v>
      </c>
      <c r="M110" s="34">
        <v>24</v>
      </c>
      <c r="N110" s="34">
        <v>28.56</v>
      </c>
      <c r="O110" s="34">
        <v>26.84</v>
      </c>
    </row>
    <row r="111" spans="1:15" x14ac:dyDescent="0.3">
      <c r="A111" s="17" t="s">
        <v>254</v>
      </c>
      <c r="B111" s="18" t="s">
        <v>110</v>
      </c>
      <c r="C111" s="18" t="s">
        <v>206</v>
      </c>
      <c r="D111" s="18" t="s">
        <v>203</v>
      </c>
      <c r="E111" s="34">
        <v>6.3</v>
      </c>
      <c r="F111" s="34">
        <v>8.48</v>
      </c>
      <c r="G111" s="34">
        <v>8.66</v>
      </c>
      <c r="H111" s="34">
        <v>14.91</v>
      </c>
      <c r="I111" s="34">
        <v>12.68</v>
      </c>
      <c r="J111" s="34">
        <v>13.19</v>
      </c>
      <c r="K111" s="34">
        <v>14.66</v>
      </c>
      <c r="L111" s="34">
        <v>16.68</v>
      </c>
      <c r="M111" s="34">
        <v>13.27</v>
      </c>
      <c r="N111" s="34">
        <v>21.15</v>
      </c>
      <c r="O111" s="34">
        <v>12.58</v>
      </c>
    </row>
    <row r="112" spans="1:15" x14ac:dyDescent="0.3">
      <c r="A112" s="17" t="s">
        <v>255</v>
      </c>
      <c r="B112" s="18" t="s">
        <v>256</v>
      </c>
      <c r="C112" s="18" t="s">
        <v>206</v>
      </c>
      <c r="D112" s="18" t="s">
        <v>203</v>
      </c>
      <c r="E112" s="34">
        <v>91.14</v>
      </c>
      <c r="F112" s="34">
        <v>106.05</v>
      </c>
      <c r="G112" s="34">
        <v>102.95</v>
      </c>
      <c r="H112" s="34">
        <v>131.94999999999999</v>
      </c>
      <c r="I112" s="34">
        <v>141.4</v>
      </c>
      <c r="J112" s="34">
        <v>161.30000000000001</v>
      </c>
      <c r="K112" s="34">
        <v>160.1</v>
      </c>
      <c r="L112" s="34">
        <v>212</v>
      </c>
      <c r="M112" s="34">
        <v>183.75</v>
      </c>
      <c r="N112" s="34">
        <v>159.75</v>
      </c>
      <c r="O112" s="34">
        <v>108.15</v>
      </c>
    </row>
    <row r="113" spans="1:15" x14ac:dyDescent="0.3">
      <c r="A113" s="17" t="s">
        <v>257</v>
      </c>
      <c r="B113" s="18" t="s">
        <v>258</v>
      </c>
      <c r="C113" s="18" t="s">
        <v>206</v>
      </c>
      <c r="D113" s="18" t="s">
        <v>203</v>
      </c>
      <c r="E113" s="34">
        <v>10.039999999999999</v>
      </c>
      <c r="F113" s="34">
        <v>14.8</v>
      </c>
      <c r="G113" s="34">
        <v>14.48</v>
      </c>
      <c r="H113" s="34">
        <v>17.72</v>
      </c>
      <c r="I113" s="34">
        <v>20.37</v>
      </c>
      <c r="J113" s="34">
        <v>29.54</v>
      </c>
      <c r="K113" s="34">
        <v>33.51</v>
      </c>
      <c r="L113" s="34">
        <v>52.7</v>
      </c>
      <c r="M113" s="34">
        <v>33.49</v>
      </c>
      <c r="N113" s="34">
        <v>44.24</v>
      </c>
      <c r="O113" s="34">
        <v>32.94</v>
      </c>
    </row>
    <row r="114" spans="1:15" x14ac:dyDescent="0.3">
      <c r="A114" s="17" t="s">
        <v>259</v>
      </c>
      <c r="B114" s="18" t="s">
        <v>260</v>
      </c>
      <c r="C114" s="18" t="s">
        <v>206</v>
      </c>
      <c r="D114" s="18" t="s">
        <v>203</v>
      </c>
      <c r="E114" s="34">
        <v>10.342217</v>
      </c>
      <c r="F114" s="34">
        <v>10.491476</v>
      </c>
      <c r="G114" s="34">
        <v>11.343698</v>
      </c>
      <c r="H114" s="34">
        <v>13.288881999999999</v>
      </c>
      <c r="I114" s="34">
        <v>9.4060000000000006</v>
      </c>
      <c r="J114" s="34">
        <v>12.935</v>
      </c>
      <c r="K114" s="34">
        <v>10.365</v>
      </c>
      <c r="L114" s="34">
        <v>12.603999999999999</v>
      </c>
      <c r="M114" s="34">
        <v>9.8309999999999995</v>
      </c>
      <c r="N114" s="34">
        <v>12.85</v>
      </c>
      <c r="O114" s="34">
        <v>13.31</v>
      </c>
    </row>
    <row r="115" spans="1:15" x14ac:dyDescent="0.3">
      <c r="A115" s="17" t="s">
        <v>261</v>
      </c>
      <c r="B115" s="18" t="s">
        <v>262</v>
      </c>
      <c r="C115" s="18" t="s">
        <v>206</v>
      </c>
      <c r="D115" s="18" t="s">
        <v>203</v>
      </c>
      <c r="E115" s="34">
        <v>211.3</v>
      </c>
      <c r="F115" s="34">
        <v>235.75</v>
      </c>
      <c r="G115" s="34">
        <v>226.75</v>
      </c>
      <c r="H115" s="34">
        <v>210</v>
      </c>
      <c r="I115" s="34">
        <v>133.26</v>
      </c>
      <c r="J115" s="34">
        <v>140.85</v>
      </c>
      <c r="K115" s="34">
        <v>65</v>
      </c>
      <c r="L115" s="34">
        <v>60.79</v>
      </c>
      <c r="M115" s="34">
        <v>48.63</v>
      </c>
      <c r="N115" s="34">
        <v>66.92</v>
      </c>
      <c r="O115" s="34">
        <v>72.319999999999993</v>
      </c>
    </row>
    <row r="116" spans="1:15" x14ac:dyDescent="0.3">
      <c r="A116" s="17" t="s">
        <v>263</v>
      </c>
      <c r="B116" s="18" t="s">
        <v>264</v>
      </c>
      <c r="C116" s="18" t="s">
        <v>206</v>
      </c>
      <c r="D116" s="18" t="s">
        <v>203</v>
      </c>
      <c r="E116" s="34">
        <v>56.51</v>
      </c>
      <c r="F116" s="34">
        <v>77.33</v>
      </c>
      <c r="G116" s="34">
        <v>95.3</v>
      </c>
      <c r="H116" s="34">
        <v>119.45</v>
      </c>
      <c r="I116" s="34">
        <v>138</v>
      </c>
      <c r="J116" s="34">
        <v>216.6</v>
      </c>
      <c r="K116" s="34">
        <v>273.7</v>
      </c>
      <c r="L116" s="34">
        <v>395.4</v>
      </c>
      <c r="M116" s="34">
        <v>222.7</v>
      </c>
      <c r="N116" s="34">
        <v>132.05000000000001</v>
      </c>
      <c r="O116" s="34">
        <v>81.72</v>
      </c>
    </row>
    <row r="117" spans="1:15" x14ac:dyDescent="0.3">
      <c r="A117" s="17" t="s">
        <v>265</v>
      </c>
      <c r="B117" s="18" t="s">
        <v>266</v>
      </c>
      <c r="C117" s="18" t="s">
        <v>206</v>
      </c>
      <c r="D117" s="18" t="s">
        <v>203</v>
      </c>
      <c r="E117" s="34">
        <v>75.400000000000006</v>
      </c>
      <c r="F117" s="34">
        <v>30.29</v>
      </c>
      <c r="G117" s="34">
        <v>56.74</v>
      </c>
      <c r="H117" s="34">
        <v>99.03</v>
      </c>
      <c r="I117" s="34">
        <v>56.85</v>
      </c>
      <c r="J117" s="34">
        <v>45.61</v>
      </c>
      <c r="K117" s="34">
        <v>41.86</v>
      </c>
      <c r="L117" s="34">
        <v>70.05</v>
      </c>
      <c r="M117" s="34">
        <v>83.85</v>
      </c>
      <c r="N117" s="34">
        <v>71.5</v>
      </c>
      <c r="O117" s="34">
        <v>53.3</v>
      </c>
    </row>
    <row r="118" spans="1:15" x14ac:dyDescent="0.3">
      <c r="A118" s="17" t="s">
        <v>267</v>
      </c>
      <c r="B118" s="18" t="s">
        <v>112</v>
      </c>
      <c r="C118" s="18" t="s">
        <v>206</v>
      </c>
      <c r="D118" s="18" t="s">
        <v>203</v>
      </c>
      <c r="E118" s="34">
        <v>6.1870000000000003</v>
      </c>
      <c r="F118" s="34">
        <v>6.2720000000000002</v>
      </c>
      <c r="G118" s="34">
        <v>10.775</v>
      </c>
      <c r="H118" s="34">
        <v>18.204999999999998</v>
      </c>
      <c r="I118" s="34">
        <v>12.234999999999999</v>
      </c>
      <c r="J118" s="34">
        <v>23.98</v>
      </c>
      <c r="K118" s="34">
        <v>30.530000999999999</v>
      </c>
      <c r="L118" s="34">
        <v>43.740001999999997</v>
      </c>
      <c r="M118" s="34">
        <v>32.994999</v>
      </c>
      <c r="N118" s="34">
        <v>0</v>
      </c>
      <c r="O118" s="34">
        <v>0</v>
      </c>
    </row>
    <row r="119" spans="1:15" x14ac:dyDescent="0.3">
      <c r="A119" s="17" t="s">
        <v>269</v>
      </c>
      <c r="B119" s="18" t="s">
        <v>270</v>
      </c>
      <c r="C119" s="18" t="s">
        <v>206</v>
      </c>
      <c r="D119" s="18" t="s">
        <v>203</v>
      </c>
      <c r="E119" s="34">
        <v>60.21</v>
      </c>
      <c r="F119" s="34">
        <v>94.33</v>
      </c>
      <c r="G119" s="34">
        <v>84.51</v>
      </c>
      <c r="H119" s="34">
        <v>83.91</v>
      </c>
      <c r="I119" s="34">
        <v>54.03</v>
      </c>
      <c r="J119" s="34">
        <v>42.6</v>
      </c>
      <c r="K119" s="34">
        <v>35.950000000000003</v>
      </c>
      <c r="L119" s="34">
        <v>30.1</v>
      </c>
      <c r="M119" s="34">
        <v>31.28</v>
      </c>
      <c r="N119" s="34">
        <v>36.9</v>
      </c>
      <c r="O119" s="34">
        <v>46.65</v>
      </c>
    </row>
    <row r="120" spans="1:15" x14ac:dyDescent="0.3">
      <c r="A120" s="17" t="s">
        <v>271</v>
      </c>
      <c r="B120" s="18" t="s">
        <v>272</v>
      </c>
      <c r="C120" s="18" t="s">
        <v>206</v>
      </c>
      <c r="D120" s="18" t="s">
        <v>203</v>
      </c>
      <c r="E120" s="34">
        <v>60.63</v>
      </c>
      <c r="F120" s="34">
        <v>68.73</v>
      </c>
      <c r="G120" s="34">
        <v>82.06</v>
      </c>
      <c r="H120" s="34">
        <v>84.2</v>
      </c>
      <c r="I120" s="34">
        <v>65.98</v>
      </c>
      <c r="J120" s="34">
        <v>79.31</v>
      </c>
      <c r="K120" s="34">
        <v>52.66</v>
      </c>
      <c r="L120" s="34">
        <v>58.21</v>
      </c>
      <c r="M120" s="34">
        <v>67.239999999999995</v>
      </c>
      <c r="N120" s="34">
        <v>74.86</v>
      </c>
      <c r="O120" s="34">
        <v>78.8</v>
      </c>
    </row>
    <row r="121" spans="1:15" x14ac:dyDescent="0.3">
      <c r="A121" s="17" t="s">
        <v>273</v>
      </c>
      <c r="B121" s="18" t="s">
        <v>274</v>
      </c>
      <c r="C121" s="18" t="s">
        <v>206</v>
      </c>
      <c r="D121" s="18" t="s">
        <v>203</v>
      </c>
      <c r="E121" s="34">
        <v>24.97</v>
      </c>
      <c r="F121" s="34">
        <v>27.12</v>
      </c>
      <c r="G121" s="34">
        <v>22.89</v>
      </c>
      <c r="H121" s="34">
        <v>18.04</v>
      </c>
      <c r="I121" s="34">
        <v>14.83</v>
      </c>
      <c r="J121" s="34">
        <v>15.13</v>
      </c>
      <c r="K121" s="34">
        <v>14.25</v>
      </c>
      <c r="L121" s="34">
        <v>16.010000000000002</v>
      </c>
      <c r="M121" s="34">
        <v>15.64</v>
      </c>
      <c r="N121" s="34">
        <v>16.57</v>
      </c>
      <c r="O121" s="34">
        <v>13.57</v>
      </c>
    </row>
    <row r="122" spans="1:15" x14ac:dyDescent="0.3">
      <c r="A122" s="17" t="s">
        <v>275</v>
      </c>
      <c r="B122" s="18" t="s">
        <v>276</v>
      </c>
      <c r="C122" s="18" t="s">
        <v>206</v>
      </c>
      <c r="D122" s="18" t="s">
        <v>203</v>
      </c>
      <c r="E122" s="34">
        <v>23.09</v>
      </c>
      <c r="F122" s="34">
        <v>17.510000000000002</v>
      </c>
      <c r="G122" s="34">
        <v>18.829999999999998</v>
      </c>
      <c r="H122" s="34">
        <v>24.18</v>
      </c>
      <c r="I122" s="34">
        <v>31.76</v>
      </c>
      <c r="J122" s="34">
        <v>46.2</v>
      </c>
      <c r="K122" s="34">
        <v>47.47</v>
      </c>
      <c r="L122" s="34">
        <v>40.46</v>
      </c>
      <c r="M122" s="34">
        <v>50.88</v>
      </c>
      <c r="N122" s="34">
        <v>54.14</v>
      </c>
      <c r="O122" s="34">
        <v>30.86</v>
      </c>
    </row>
    <row r="123" spans="1:15" x14ac:dyDescent="0.3">
      <c r="A123" s="17" t="s">
        <v>277</v>
      </c>
      <c r="B123" s="18" t="s">
        <v>278</v>
      </c>
      <c r="C123" s="18" t="s">
        <v>206</v>
      </c>
      <c r="D123" s="18" t="s">
        <v>203</v>
      </c>
      <c r="E123" s="34">
        <v>28.52</v>
      </c>
      <c r="F123" s="34">
        <v>36.75</v>
      </c>
      <c r="G123" s="34">
        <v>47.3</v>
      </c>
      <c r="H123" s="34">
        <v>74.69</v>
      </c>
      <c r="I123" s="34">
        <v>55.8</v>
      </c>
      <c r="J123" s="34">
        <v>79.849999999999994</v>
      </c>
      <c r="K123" s="34">
        <v>116.7</v>
      </c>
      <c r="L123" s="34">
        <v>125.65</v>
      </c>
      <c r="M123" s="34">
        <v>97.92</v>
      </c>
      <c r="N123" s="34">
        <v>100.6</v>
      </c>
      <c r="O123" s="34">
        <v>102.4</v>
      </c>
    </row>
    <row r="124" spans="1:15" x14ac:dyDescent="0.3">
      <c r="A124" s="31" t="s">
        <v>279</v>
      </c>
      <c r="B124" s="32"/>
      <c r="C124" s="32"/>
      <c r="D124" s="32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spans="1:15" x14ac:dyDescent="0.3">
      <c r="A125" s="17" t="s">
        <v>280</v>
      </c>
      <c r="B125" s="18" t="s">
        <v>281</v>
      </c>
      <c r="C125" s="18" t="s">
        <v>282</v>
      </c>
      <c r="D125" s="18" t="s">
        <v>279</v>
      </c>
      <c r="E125" s="34">
        <v>23.73</v>
      </c>
      <c r="F125" s="34">
        <v>32.01</v>
      </c>
      <c r="G125" s="34">
        <v>32.43</v>
      </c>
      <c r="H125" s="34">
        <v>29.05</v>
      </c>
      <c r="I125" s="34">
        <v>22.39</v>
      </c>
      <c r="J125" s="34">
        <v>31.75</v>
      </c>
      <c r="K125" s="34">
        <v>26.39</v>
      </c>
      <c r="L125" s="34">
        <v>28.53</v>
      </c>
      <c r="M125" s="34">
        <v>24.85</v>
      </c>
      <c r="N125" s="34">
        <v>39.43</v>
      </c>
      <c r="O125" s="34">
        <v>49.64</v>
      </c>
    </row>
    <row r="126" spans="1:15" x14ac:dyDescent="0.3">
      <c r="A126" s="17" t="s">
        <v>283</v>
      </c>
      <c r="B126" s="18" t="s">
        <v>284</v>
      </c>
      <c r="C126" s="18" t="s">
        <v>282</v>
      </c>
      <c r="D126" s="18" t="s">
        <v>279</v>
      </c>
      <c r="E126" s="34">
        <v>6.62</v>
      </c>
      <c r="F126" s="34">
        <v>4.3499999999999996</v>
      </c>
      <c r="G126" s="34">
        <v>4.67</v>
      </c>
      <c r="H126" s="34">
        <v>5.25</v>
      </c>
      <c r="I126" s="34">
        <v>3.78</v>
      </c>
      <c r="J126" s="34">
        <v>3.59</v>
      </c>
      <c r="K126" s="34">
        <v>2.58</v>
      </c>
      <c r="L126" s="34">
        <v>2.94</v>
      </c>
      <c r="M126" s="34">
        <v>2.8</v>
      </c>
      <c r="N126" s="34">
        <v>3.78</v>
      </c>
      <c r="O126" s="34">
        <v>4.4000000000000004</v>
      </c>
    </row>
    <row r="127" spans="1:15" x14ac:dyDescent="0.3">
      <c r="A127" s="17" t="s">
        <v>285</v>
      </c>
      <c r="B127" s="18" t="s">
        <v>286</v>
      </c>
      <c r="C127" s="18" t="s">
        <v>282</v>
      </c>
      <c r="D127" s="18" t="s">
        <v>279</v>
      </c>
      <c r="E127" s="34">
        <v>5.59</v>
      </c>
      <c r="F127" s="34">
        <v>6.58</v>
      </c>
      <c r="G127" s="34">
        <v>6.23</v>
      </c>
      <c r="H127" s="34">
        <v>6.46</v>
      </c>
      <c r="I127" s="34">
        <v>6.91</v>
      </c>
      <c r="J127" s="34">
        <v>9.2799999999999994</v>
      </c>
      <c r="K127" s="34">
        <v>11.74</v>
      </c>
      <c r="L127" s="34">
        <v>10.41</v>
      </c>
      <c r="M127" s="34">
        <v>10.93</v>
      </c>
      <c r="N127" s="34">
        <v>11.87</v>
      </c>
      <c r="O127" s="34">
        <v>13.22</v>
      </c>
    </row>
    <row r="128" spans="1:15" x14ac:dyDescent="0.3">
      <c r="A128" s="17" t="s">
        <v>287</v>
      </c>
      <c r="B128" s="18" t="s">
        <v>288</v>
      </c>
      <c r="C128" s="18" t="s">
        <v>282</v>
      </c>
      <c r="D128" s="18" t="s">
        <v>279</v>
      </c>
      <c r="E128" s="34">
        <v>7.86</v>
      </c>
      <c r="F128" s="34">
        <v>6.84</v>
      </c>
      <c r="G128" s="34">
        <v>6.41</v>
      </c>
      <c r="H128" s="34">
        <v>7.11</v>
      </c>
      <c r="I128" s="34">
        <v>4.6399999999999997</v>
      </c>
      <c r="J128" s="34">
        <v>5.01</v>
      </c>
      <c r="K128" s="34">
        <v>4.07</v>
      </c>
      <c r="L128" s="34">
        <v>5.25</v>
      </c>
      <c r="M128" s="34">
        <v>5.63</v>
      </c>
      <c r="N128" s="34">
        <v>8.23</v>
      </c>
      <c r="O128" s="34">
        <v>9.3699999999999992</v>
      </c>
    </row>
    <row r="129" spans="1:15" x14ac:dyDescent="0.3">
      <c r="A129" s="17" t="s">
        <v>289</v>
      </c>
      <c r="B129" s="18" t="s">
        <v>290</v>
      </c>
      <c r="C129" s="18" t="s">
        <v>282</v>
      </c>
      <c r="D129" s="18" t="s">
        <v>279</v>
      </c>
      <c r="E129" s="34">
        <v>11.74</v>
      </c>
      <c r="F129" s="34">
        <v>10.44</v>
      </c>
      <c r="G129" s="34">
        <v>8.82</v>
      </c>
      <c r="H129" s="34">
        <v>8.1300000000000008</v>
      </c>
      <c r="I129" s="34">
        <v>7.38</v>
      </c>
      <c r="J129" s="34">
        <v>6.32</v>
      </c>
      <c r="K129" s="34">
        <v>3.27</v>
      </c>
      <c r="L129" s="34">
        <v>3.85</v>
      </c>
      <c r="M129" s="34">
        <v>3.39</v>
      </c>
      <c r="N129" s="34">
        <v>3.53</v>
      </c>
      <c r="O129" s="34">
        <v>3.93</v>
      </c>
    </row>
    <row r="130" spans="1:15" x14ac:dyDescent="0.3">
      <c r="A130" s="17" t="s">
        <v>291</v>
      </c>
      <c r="B130" s="18" t="s">
        <v>292</v>
      </c>
      <c r="C130" s="18" t="s">
        <v>282</v>
      </c>
      <c r="D130" s="18" t="s">
        <v>279</v>
      </c>
      <c r="E130" s="34">
        <v>16.04</v>
      </c>
      <c r="F130" s="34">
        <v>20.94</v>
      </c>
      <c r="G130" s="34">
        <v>17</v>
      </c>
      <c r="H130" s="34">
        <v>18.920000000000002</v>
      </c>
      <c r="I130" s="34">
        <v>17.61</v>
      </c>
      <c r="J130" s="34">
        <v>26.74</v>
      </c>
      <c r="K130" s="34">
        <v>22.73</v>
      </c>
      <c r="L130" s="34">
        <v>27.56</v>
      </c>
      <c r="M130" s="34">
        <v>24.47</v>
      </c>
      <c r="N130" s="34">
        <v>33.020000000000003</v>
      </c>
      <c r="O130" s="34">
        <v>40.659999999999997</v>
      </c>
    </row>
    <row r="131" spans="1:15" x14ac:dyDescent="0.3">
      <c r="A131" s="17" t="s">
        <v>293</v>
      </c>
      <c r="B131" s="18" t="s">
        <v>294</v>
      </c>
      <c r="C131" s="18" t="s">
        <v>282</v>
      </c>
      <c r="D131" s="18" t="s">
        <v>279</v>
      </c>
      <c r="E131" s="34">
        <v>4.37</v>
      </c>
      <c r="F131" s="34">
        <v>3.24</v>
      </c>
      <c r="G131" s="34">
        <v>3.14</v>
      </c>
      <c r="H131" s="34">
        <v>3.89</v>
      </c>
      <c r="I131" s="34">
        <v>3.13</v>
      </c>
      <c r="J131" s="34">
        <v>2.8</v>
      </c>
      <c r="K131" s="34">
        <v>2.13</v>
      </c>
      <c r="L131" s="34">
        <v>2.41</v>
      </c>
      <c r="M131" s="34">
        <v>3.67</v>
      </c>
      <c r="N131" s="34">
        <v>3.73</v>
      </c>
      <c r="O131" s="34">
        <v>5.21</v>
      </c>
    </row>
    <row r="132" spans="1:15" x14ac:dyDescent="0.3">
      <c r="A132" s="17" t="s">
        <v>295</v>
      </c>
      <c r="B132" s="18" t="s">
        <v>296</v>
      </c>
      <c r="C132" s="18" t="s">
        <v>282</v>
      </c>
      <c r="D132" s="18" t="s">
        <v>279</v>
      </c>
      <c r="E132" s="34">
        <v>32.659999999999997</v>
      </c>
      <c r="F132" s="34">
        <v>40.97</v>
      </c>
      <c r="G132" s="34">
        <v>43.17</v>
      </c>
      <c r="H132" s="34">
        <v>60.11</v>
      </c>
      <c r="I132" s="34">
        <v>61.24</v>
      </c>
      <c r="J132" s="34">
        <v>72.92</v>
      </c>
      <c r="K132" s="34">
        <v>60.72</v>
      </c>
      <c r="L132" s="34">
        <v>59.64</v>
      </c>
      <c r="M132" s="34">
        <v>48.55</v>
      </c>
      <c r="N132" s="34">
        <v>64.88</v>
      </c>
      <c r="O132" s="34">
        <v>67.58</v>
      </c>
    </row>
    <row r="133" spans="1:15" x14ac:dyDescent="0.3">
      <c r="A133" s="17" t="s">
        <v>297</v>
      </c>
      <c r="B133" s="18" t="s">
        <v>298</v>
      </c>
      <c r="C133" s="18" t="s">
        <v>282</v>
      </c>
      <c r="D133" s="18" t="s">
        <v>279</v>
      </c>
      <c r="E133" s="34">
        <v>15.57</v>
      </c>
      <c r="F133" s="34">
        <v>10.3</v>
      </c>
      <c r="G133" s="34">
        <v>13.42</v>
      </c>
      <c r="H133" s="34">
        <v>14.75</v>
      </c>
      <c r="I133" s="34">
        <v>14.17</v>
      </c>
      <c r="J133" s="34">
        <v>14.13</v>
      </c>
      <c r="K133" s="34">
        <v>8.2899999999999991</v>
      </c>
      <c r="L133" s="34">
        <v>10.44</v>
      </c>
      <c r="M133" s="34">
        <v>14.85</v>
      </c>
      <c r="N133" s="34">
        <v>13.45</v>
      </c>
      <c r="O133" s="34">
        <v>11.49</v>
      </c>
    </row>
    <row r="134" spans="1:15" x14ac:dyDescent="0.3">
      <c r="A134" s="17" t="s">
        <v>299</v>
      </c>
      <c r="B134" s="18" t="s">
        <v>300</v>
      </c>
      <c r="C134" s="18" t="s">
        <v>282</v>
      </c>
      <c r="D134" s="18" t="s">
        <v>279</v>
      </c>
      <c r="E134" s="34">
        <v>0</v>
      </c>
      <c r="F134" s="34">
        <v>105.8</v>
      </c>
      <c r="G134" s="34">
        <v>129.65</v>
      </c>
      <c r="H134" s="34">
        <v>169</v>
      </c>
      <c r="I134" s="34">
        <v>136</v>
      </c>
      <c r="J134" s="34">
        <v>173.05</v>
      </c>
      <c r="K134" s="34">
        <v>143.80000000000001</v>
      </c>
      <c r="L134" s="34">
        <v>138.80000000000001</v>
      </c>
      <c r="M134" s="34">
        <v>117.3</v>
      </c>
      <c r="N134" s="34">
        <v>164.1</v>
      </c>
      <c r="O134" s="34">
        <v>199.1</v>
      </c>
    </row>
    <row r="135" spans="1:15" x14ac:dyDescent="0.3">
      <c r="A135" s="17" t="s">
        <v>301</v>
      </c>
      <c r="B135" s="18" t="s">
        <v>302</v>
      </c>
      <c r="C135" s="18" t="s">
        <v>282</v>
      </c>
      <c r="D135" s="18" t="s">
        <v>279</v>
      </c>
      <c r="E135" s="34">
        <v>26.04</v>
      </c>
      <c r="F135" s="34">
        <v>26.32</v>
      </c>
      <c r="G135" s="34">
        <v>24.13</v>
      </c>
      <c r="H135" s="34">
        <v>23.87</v>
      </c>
      <c r="I135" s="34">
        <v>23.38</v>
      </c>
      <c r="J135" s="34">
        <v>23.2</v>
      </c>
      <c r="K135" s="34">
        <v>18.29</v>
      </c>
      <c r="L135" s="34">
        <v>20.399999999999999</v>
      </c>
      <c r="M135" s="34">
        <v>15.53</v>
      </c>
      <c r="N135" s="34">
        <v>15.27</v>
      </c>
      <c r="O135" s="34">
        <v>11.67</v>
      </c>
    </row>
    <row r="136" spans="1:15" x14ac:dyDescent="0.3">
      <c r="A136" s="17" t="s">
        <v>303</v>
      </c>
      <c r="B136" s="18" t="s">
        <v>304</v>
      </c>
      <c r="C136" s="18" t="s">
        <v>282</v>
      </c>
      <c r="D136" s="18" t="s">
        <v>279</v>
      </c>
      <c r="E136" s="34">
        <v>18.53</v>
      </c>
      <c r="F136" s="34">
        <v>19.399999999999999</v>
      </c>
      <c r="G136" s="34">
        <v>17.920000000000002</v>
      </c>
      <c r="H136" s="34">
        <v>18.71</v>
      </c>
      <c r="I136" s="34">
        <v>19.36</v>
      </c>
      <c r="J136" s="34">
        <v>18.079999999999998</v>
      </c>
      <c r="K136" s="34">
        <v>16.899999999999999</v>
      </c>
      <c r="L136" s="34">
        <v>19.02</v>
      </c>
      <c r="M136" s="34">
        <v>16.260000000000002</v>
      </c>
      <c r="N136" s="34">
        <v>14.91</v>
      </c>
      <c r="O136" s="34">
        <v>16.420000000000002</v>
      </c>
    </row>
    <row r="137" spans="1:15" x14ac:dyDescent="0.3">
      <c r="A137" s="17" t="s">
        <v>305</v>
      </c>
      <c r="B137" s="18" t="s">
        <v>306</v>
      </c>
      <c r="C137" s="18" t="s">
        <v>282</v>
      </c>
      <c r="D137" s="18" t="s">
        <v>279</v>
      </c>
      <c r="E137" s="34">
        <v>2.83</v>
      </c>
      <c r="F137" s="34">
        <v>2.36</v>
      </c>
      <c r="G137" s="34">
        <v>2.9</v>
      </c>
      <c r="H137" s="34">
        <v>2.68</v>
      </c>
      <c r="I137" s="34">
        <v>2.35</v>
      </c>
      <c r="J137" s="34">
        <v>2.39</v>
      </c>
      <c r="K137" s="34">
        <v>1.61</v>
      </c>
      <c r="L137" s="34">
        <v>1.81</v>
      </c>
      <c r="M137" s="34">
        <v>1.81</v>
      </c>
      <c r="N137" s="34">
        <v>1.94</v>
      </c>
      <c r="O137" s="34">
        <v>2.44</v>
      </c>
    </row>
    <row r="138" spans="1:15" x14ac:dyDescent="0.3">
      <c r="A138" s="17" t="s">
        <v>307</v>
      </c>
      <c r="B138" s="18" t="s">
        <v>308</v>
      </c>
      <c r="C138" s="18" t="s">
        <v>282</v>
      </c>
      <c r="D138" s="18" t="s">
        <v>279</v>
      </c>
      <c r="E138" s="34">
        <v>56.03</v>
      </c>
      <c r="F138" s="34">
        <v>80.19</v>
      </c>
      <c r="G138" s="34">
        <v>69.930000000000007</v>
      </c>
      <c r="H138" s="34">
        <v>68.040000000000006</v>
      </c>
      <c r="I138" s="34">
        <v>72.2</v>
      </c>
      <c r="J138" s="34">
        <v>94.35</v>
      </c>
      <c r="K138" s="34">
        <v>117</v>
      </c>
      <c r="L138" s="34">
        <v>168.1</v>
      </c>
      <c r="M138" s="34">
        <v>171.9</v>
      </c>
      <c r="N138" s="34">
        <v>133.30000000000001</v>
      </c>
      <c r="O138" s="34">
        <v>107.7</v>
      </c>
    </row>
    <row r="139" spans="1:15" x14ac:dyDescent="0.3">
      <c r="A139" s="17" t="s">
        <v>309</v>
      </c>
      <c r="B139" s="18" t="s">
        <v>310</v>
      </c>
      <c r="C139" s="18" t="s">
        <v>282</v>
      </c>
      <c r="D139" s="18" t="s">
        <v>279</v>
      </c>
      <c r="E139" s="34">
        <v>28.91</v>
      </c>
      <c r="F139" s="34">
        <v>26.94</v>
      </c>
      <c r="G139" s="34">
        <v>30.02</v>
      </c>
      <c r="H139" s="34">
        <v>32.619999999999997</v>
      </c>
      <c r="I139" s="34">
        <v>32.85</v>
      </c>
      <c r="J139" s="34">
        <v>35.19</v>
      </c>
      <c r="K139" s="34">
        <v>27.42</v>
      </c>
      <c r="L139" s="34">
        <v>23.57</v>
      </c>
      <c r="M139" s="34">
        <v>26.77</v>
      </c>
      <c r="N139" s="34">
        <v>40.159999999999997</v>
      </c>
      <c r="O139" s="34">
        <v>47.92</v>
      </c>
    </row>
    <row r="140" spans="1:15" x14ac:dyDescent="0.3">
      <c r="A140" s="17" t="s">
        <v>311</v>
      </c>
      <c r="B140" s="18" t="s">
        <v>312</v>
      </c>
      <c r="C140" s="18" t="s">
        <v>282</v>
      </c>
      <c r="D140" s="18" t="s">
        <v>279</v>
      </c>
      <c r="E140" s="34">
        <v>16.655000999999999</v>
      </c>
      <c r="F140" s="34">
        <v>21.41</v>
      </c>
      <c r="G140" s="34">
        <v>18.879999000000002</v>
      </c>
      <c r="H140" s="34">
        <v>24.424999</v>
      </c>
      <c r="I140" s="34">
        <v>22.77</v>
      </c>
      <c r="J140" s="34">
        <v>31.700001</v>
      </c>
      <c r="K140" s="34">
        <v>24.01</v>
      </c>
      <c r="L140" s="34">
        <v>16.875</v>
      </c>
      <c r="M140" s="34">
        <v>10.77</v>
      </c>
      <c r="N140" s="34">
        <v>15.46</v>
      </c>
      <c r="O140" s="34">
        <v>9.18</v>
      </c>
    </row>
    <row r="141" spans="1:15" x14ac:dyDescent="0.3">
      <c r="A141" s="17" t="s">
        <v>313</v>
      </c>
      <c r="B141" s="18" t="s">
        <v>314</v>
      </c>
      <c r="C141" s="18" t="s">
        <v>282</v>
      </c>
      <c r="D141" s="18" t="s">
        <v>279</v>
      </c>
      <c r="E141" s="34">
        <v>0</v>
      </c>
      <c r="F141" s="34">
        <v>12.98</v>
      </c>
      <c r="G141" s="34">
        <v>10.43</v>
      </c>
      <c r="H141" s="34">
        <v>16.29</v>
      </c>
      <c r="I141" s="34">
        <v>16.73</v>
      </c>
      <c r="J141" s="34">
        <v>32.9</v>
      </c>
      <c r="K141" s="34">
        <v>46.29</v>
      </c>
      <c r="L141" s="34">
        <v>51.18</v>
      </c>
      <c r="M141" s="34">
        <v>30.92</v>
      </c>
      <c r="N141" s="34">
        <v>35.659999999999997</v>
      </c>
      <c r="O141" s="34">
        <v>30.45</v>
      </c>
    </row>
    <row r="142" spans="1:15" x14ac:dyDescent="0.3">
      <c r="A142" s="17" t="s">
        <v>315</v>
      </c>
      <c r="B142" s="18" t="s">
        <v>316</v>
      </c>
      <c r="C142" s="18" t="s">
        <v>282</v>
      </c>
      <c r="D142" s="18" t="s">
        <v>279</v>
      </c>
      <c r="E142" s="34">
        <v>4.07</v>
      </c>
      <c r="F142" s="34">
        <v>5.53</v>
      </c>
      <c r="G142" s="34">
        <v>3.4</v>
      </c>
      <c r="H142" s="34">
        <v>4.8</v>
      </c>
      <c r="I142" s="34">
        <v>4.54</v>
      </c>
      <c r="J142" s="34">
        <v>4.84</v>
      </c>
      <c r="K142" s="34">
        <v>1.85</v>
      </c>
      <c r="L142" s="34">
        <v>1.7</v>
      </c>
      <c r="M142" s="34">
        <v>1.39</v>
      </c>
      <c r="N142" s="34">
        <v>1.78</v>
      </c>
      <c r="O142" s="34">
        <v>3.66</v>
      </c>
    </row>
    <row r="143" spans="1:15" x14ac:dyDescent="0.3">
      <c r="A143" s="17" t="s">
        <v>317</v>
      </c>
      <c r="B143" s="18" t="s">
        <v>318</v>
      </c>
      <c r="C143" s="18" t="s">
        <v>282</v>
      </c>
      <c r="D143" s="18" t="s">
        <v>279</v>
      </c>
      <c r="E143" s="34">
        <v>7.85</v>
      </c>
      <c r="F143" s="34">
        <v>11.63</v>
      </c>
      <c r="G143" s="34">
        <v>10.33</v>
      </c>
      <c r="H143" s="34">
        <v>11.3</v>
      </c>
      <c r="I143" s="34">
        <v>10.62</v>
      </c>
      <c r="J143" s="34">
        <v>12.78</v>
      </c>
      <c r="K143" s="34">
        <v>7.75</v>
      </c>
      <c r="L143" s="34">
        <v>9.57</v>
      </c>
      <c r="M143" s="34">
        <v>8.7799999999999994</v>
      </c>
      <c r="N143" s="34">
        <v>10.06</v>
      </c>
      <c r="O143" s="34">
        <v>10.1</v>
      </c>
    </row>
    <row r="144" spans="1:15" x14ac:dyDescent="0.3">
      <c r="A144" s="17" t="s">
        <v>319</v>
      </c>
      <c r="B144" s="18" t="s">
        <v>268</v>
      </c>
      <c r="C144" s="18" t="s">
        <v>282</v>
      </c>
      <c r="D144" s="18" t="s">
        <v>279</v>
      </c>
      <c r="E144" s="34">
        <v>21.15</v>
      </c>
      <c r="F144" s="34">
        <v>9.23</v>
      </c>
      <c r="G144" s="34">
        <v>21.08</v>
      </c>
      <c r="H144" s="34">
        <v>27.09</v>
      </c>
      <c r="I144" s="34">
        <v>17.98</v>
      </c>
      <c r="J144" s="34">
        <v>15.69</v>
      </c>
      <c r="K144" s="34">
        <v>19.16</v>
      </c>
      <c r="L144" s="34">
        <v>28.38</v>
      </c>
      <c r="M144" s="34">
        <v>24.59</v>
      </c>
      <c r="N144" s="34">
        <v>25.67</v>
      </c>
      <c r="O144" s="34">
        <v>22.1</v>
      </c>
    </row>
    <row r="145" spans="1:15" x14ac:dyDescent="0.3">
      <c r="A145" s="17" t="s">
        <v>320</v>
      </c>
      <c r="B145" s="18" t="s">
        <v>321</v>
      </c>
      <c r="C145" s="18" t="s">
        <v>282</v>
      </c>
      <c r="D145" s="18" t="s">
        <v>279</v>
      </c>
      <c r="E145" s="34">
        <v>1.96</v>
      </c>
      <c r="F145" s="34">
        <v>1.6</v>
      </c>
      <c r="G145" s="34">
        <v>1.3</v>
      </c>
      <c r="H145" s="34">
        <v>1.63</v>
      </c>
      <c r="I145" s="34">
        <v>0.97763</v>
      </c>
      <c r="J145" s="34">
        <v>1.05</v>
      </c>
      <c r="K145" s="34">
        <v>0.36109999999999998</v>
      </c>
      <c r="L145" s="34">
        <v>0.59179999999999999</v>
      </c>
      <c r="M145" s="34">
        <v>0.88080000000000003</v>
      </c>
      <c r="N145" s="34">
        <v>1.1100000000000001</v>
      </c>
      <c r="O145" s="34">
        <v>1.87</v>
      </c>
    </row>
    <row r="146" spans="1:15" x14ac:dyDescent="0.3">
      <c r="A146" s="17" t="s">
        <v>322</v>
      </c>
      <c r="B146" s="18" t="s">
        <v>323</v>
      </c>
      <c r="C146" s="18" t="s">
        <v>282</v>
      </c>
      <c r="D146" s="18" t="s">
        <v>279</v>
      </c>
      <c r="E146" s="34">
        <v>20.9</v>
      </c>
      <c r="F146" s="34">
        <v>18.989999999999998</v>
      </c>
      <c r="G146" s="34">
        <v>17.91</v>
      </c>
      <c r="H146" s="34">
        <v>19.25</v>
      </c>
      <c r="I146" s="34">
        <v>22.01</v>
      </c>
      <c r="J146" s="34">
        <v>22.8</v>
      </c>
      <c r="K146" s="34">
        <v>19.05</v>
      </c>
      <c r="L146" s="34">
        <v>28.63</v>
      </c>
      <c r="M146" s="34">
        <v>24.31</v>
      </c>
      <c r="N146" s="34">
        <v>27</v>
      </c>
      <c r="O146" s="34">
        <v>23.36</v>
      </c>
    </row>
    <row r="147" spans="1:15" x14ac:dyDescent="0.3">
      <c r="A147" s="17" t="s">
        <v>324</v>
      </c>
      <c r="B147" s="18" t="s">
        <v>325</v>
      </c>
      <c r="C147" s="18" t="s">
        <v>282</v>
      </c>
      <c r="D147" s="18" t="s">
        <v>279</v>
      </c>
      <c r="E147" s="34">
        <v>5.47</v>
      </c>
      <c r="F147" s="34">
        <v>6.56</v>
      </c>
      <c r="G147" s="34">
        <v>6.58</v>
      </c>
      <c r="H147" s="34">
        <v>8.2799999999999994</v>
      </c>
      <c r="I147" s="34">
        <v>8.01</v>
      </c>
      <c r="J147" s="34">
        <v>11.37</v>
      </c>
      <c r="K147" s="34">
        <v>8.0399999999999991</v>
      </c>
      <c r="L147" s="34">
        <v>8.25</v>
      </c>
      <c r="M147" s="34">
        <v>6.01</v>
      </c>
      <c r="N147" s="34">
        <v>6.55</v>
      </c>
      <c r="O147" s="34">
        <v>5.17</v>
      </c>
    </row>
    <row r="148" spans="1:15" x14ac:dyDescent="0.3">
      <c r="A148" s="17" t="s">
        <v>326</v>
      </c>
      <c r="B148" s="18" t="s">
        <v>327</v>
      </c>
      <c r="C148" s="18" t="s">
        <v>282</v>
      </c>
      <c r="D148" s="18" t="s">
        <v>279</v>
      </c>
      <c r="E148" s="34">
        <v>17.04</v>
      </c>
      <c r="F148" s="34">
        <v>19.600000000000001</v>
      </c>
      <c r="G148" s="34">
        <v>22</v>
      </c>
      <c r="H148" s="34">
        <v>19.170000000000002</v>
      </c>
      <c r="I148" s="34">
        <v>21.86</v>
      </c>
      <c r="J148" s="34">
        <v>20.28</v>
      </c>
      <c r="K148" s="34">
        <v>16.14</v>
      </c>
      <c r="L148" s="34">
        <v>17.53</v>
      </c>
      <c r="M148" s="34">
        <v>23.6</v>
      </c>
      <c r="N148" s="34">
        <v>24.48</v>
      </c>
      <c r="O148" s="34">
        <v>29.24</v>
      </c>
    </row>
    <row r="149" spans="1:15" x14ac:dyDescent="0.3">
      <c r="A149" s="17" t="s">
        <v>328</v>
      </c>
      <c r="B149" s="18" t="s">
        <v>329</v>
      </c>
      <c r="C149" s="18" t="s">
        <v>282</v>
      </c>
      <c r="D149" s="18" t="s">
        <v>279</v>
      </c>
      <c r="E149" s="34">
        <v>2.78</v>
      </c>
      <c r="F149" s="34">
        <v>1.8</v>
      </c>
      <c r="G149" s="34">
        <v>2.15</v>
      </c>
      <c r="H149" s="34">
        <v>2.36</v>
      </c>
      <c r="I149" s="34">
        <v>1.73</v>
      </c>
      <c r="J149" s="34">
        <v>2.63</v>
      </c>
      <c r="K149" s="34">
        <v>2.06</v>
      </c>
      <c r="L149" s="34">
        <v>2.29</v>
      </c>
      <c r="M149" s="34">
        <v>2.6</v>
      </c>
      <c r="N149" s="34">
        <v>3.13</v>
      </c>
      <c r="O149" s="34">
        <v>3.14</v>
      </c>
    </row>
    <row r="150" spans="1:15" x14ac:dyDescent="0.3">
      <c r="A150" s="17" t="s">
        <v>330</v>
      </c>
      <c r="B150" s="18" t="s">
        <v>331</v>
      </c>
      <c r="C150" s="18" t="s">
        <v>282</v>
      </c>
      <c r="D150" s="18" t="s">
        <v>279</v>
      </c>
      <c r="E150" s="34">
        <v>0</v>
      </c>
      <c r="F150" s="34">
        <v>0</v>
      </c>
      <c r="G150" s="34">
        <v>0</v>
      </c>
      <c r="H150" s="34">
        <v>1.31</v>
      </c>
      <c r="I150" s="34">
        <v>1.1299999999999999</v>
      </c>
      <c r="J150" s="34">
        <v>0.95</v>
      </c>
      <c r="K150" s="34">
        <v>0.72299999999999998</v>
      </c>
      <c r="L150" s="34">
        <v>0.86899999999999999</v>
      </c>
      <c r="M150" s="34">
        <v>1.03</v>
      </c>
      <c r="N150" s="34">
        <v>0.89</v>
      </c>
      <c r="O150" s="34">
        <v>1.27</v>
      </c>
    </row>
    <row r="151" spans="1:15" x14ac:dyDescent="0.3">
      <c r="A151" s="17" t="s">
        <v>332</v>
      </c>
      <c r="B151" s="18" t="s">
        <v>333</v>
      </c>
      <c r="C151" s="18" t="s">
        <v>282</v>
      </c>
      <c r="D151" s="18" t="s">
        <v>279</v>
      </c>
      <c r="E151" s="34">
        <v>32.400126999999998</v>
      </c>
      <c r="F151" s="34">
        <v>30.96</v>
      </c>
      <c r="G151" s="34">
        <v>32.520000000000003</v>
      </c>
      <c r="H151" s="34">
        <v>29.76</v>
      </c>
      <c r="I151" s="34">
        <v>13.08</v>
      </c>
      <c r="J151" s="34">
        <v>43.2</v>
      </c>
      <c r="K151" s="34">
        <v>73</v>
      </c>
      <c r="L151" s="34">
        <v>57.02</v>
      </c>
      <c r="M151" s="34">
        <v>64.3</v>
      </c>
      <c r="N151" s="34">
        <v>41.08</v>
      </c>
      <c r="O151" s="34">
        <v>76.900000000000006</v>
      </c>
    </row>
    <row r="152" spans="1:15" x14ac:dyDescent="0.3">
      <c r="A152" s="17" t="s">
        <v>334</v>
      </c>
      <c r="B152" s="18" t="s">
        <v>335</v>
      </c>
      <c r="C152" s="18" t="s">
        <v>282</v>
      </c>
      <c r="D152" s="18" t="s">
        <v>279</v>
      </c>
      <c r="E152" s="34">
        <v>4.91</v>
      </c>
      <c r="F152" s="34">
        <v>4.8</v>
      </c>
      <c r="G152" s="34">
        <v>5.33</v>
      </c>
      <c r="H152" s="34">
        <v>5.72</v>
      </c>
      <c r="I152" s="34">
        <v>4.97</v>
      </c>
      <c r="J152" s="34">
        <v>4.7699999999999996</v>
      </c>
      <c r="K152" s="34">
        <v>3.2</v>
      </c>
      <c r="L152" s="34">
        <v>4.51</v>
      </c>
      <c r="M152" s="34">
        <v>6.27</v>
      </c>
      <c r="N152" s="34">
        <v>5.8</v>
      </c>
      <c r="O152" s="34">
        <v>7.61</v>
      </c>
    </row>
    <row r="153" spans="1:15" x14ac:dyDescent="0.3">
      <c r="A153" s="17" t="s">
        <v>336</v>
      </c>
      <c r="B153" s="18" t="s">
        <v>337</v>
      </c>
      <c r="C153" s="18" t="s">
        <v>282</v>
      </c>
      <c r="D153" s="18" t="s">
        <v>279</v>
      </c>
      <c r="E153" s="34">
        <v>12.55</v>
      </c>
      <c r="F153" s="34">
        <v>9.69</v>
      </c>
      <c r="G153" s="34">
        <v>12.61</v>
      </c>
      <c r="H153" s="34">
        <v>11.92</v>
      </c>
      <c r="I153" s="34">
        <v>8.44</v>
      </c>
      <c r="J153" s="34">
        <v>10.050000000000001</v>
      </c>
      <c r="K153" s="34">
        <v>9.19</v>
      </c>
      <c r="L153" s="34">
        <v>11.39</v>
      </c>
      <c r="M153" s="34">
        <v>9.24</v>
      </c>
      <c r="N153" s="34">
        <v>10.66</v>
      </c>
      <c r="O153" s="34">
        <v>9.3699999999999992</v>
      </c>
    </row>
    <row r="154" spans="1:15" x14ac:dyDescent="0.3">
      <c r="A154" s="17" t="s">
        <v>338</v>
      </c>
      <c r="B154" s="18" t="s">
        <v>339</v>
      </c>
      <c r="C154" s="18" t="s">
        <v>282</v>
      </c>
      <c r="D154" s="18" t="s">
        <v>279</v>
      </c>
      <c r="E154" s="34">
        <v>10</v>
      </c>
      <c r="F154" s="34">
        <v>14.34</v>
      </c>
      <c r="G154" s="34">
        <v>12.33</v>
      </c>
      <c r="H154" s="34">
        <v>15.65</v>
      </c>
      <c r="I154" s="34">
        <v>17.45</v>
      </c>
      <c r="J154" s="34">
        <v>24.2</v>
      </c>
      <c r="K154" s="34">
        <v>38.299999999999997</v>
      </c>
      <c r="L154" s="34">
        <v>73.8</v>
      </c>
      <c r="M154" s="34">
        <v>36.06</v>
      </c>
      <c r="N154" s="34">
        <v>60.2</v>
      </c>
      <c r="O154" s="34">
        <v>61.75</v>
      </c>
    </row>
    <row r="155" spans="1:15" x14ac:dyDescent="0.3">
      <c r="A155" s="17" t="s">
        <v>340</v>
      </c>
      <c r="B155" s="18" t="s">
        <v>341</v>
      </c>
      <c r="C155" s="18" t="s">
        <v>282</v>
      </c>
      <c r="D155" s="18" t="s">
        <v>279</v>
      </c>
      <c r="E155" s="34">
        <v>0.71</v>
      </c>
      <c r="F155" s="34">
        <v>0.71</v>
      </c>
      <c r="G155" s="34">
        <v>0.76500000000000001</v>
      </c>
      <c r="H155" s="34">
        <v>1.63</v>
      </c>
      <c r="I155" s="34">
        <v>4.0049999999999999</v>
      </c>
      <c r="J155" s="34">
        <v>6.835</v>
      </c>
      <c r="K155" s="34">
        <v>23.799999</v>
      </c>
      <c r="L155" s="34">
        <v>17.120000999999998</v>
      </c>
      <c r="M155" s="34">
        <v>17.120000999999998</v>
      </c>
      <c r="N155" s="34">
        <v>18.61</v>
      </c>
      <c r="O155" s="34">
        <v>7.81</v>
      </c>
    </row>
    <row r="156" spans="1:15" x14ac:dyDescent="0.3">
      <c r="A156" s="17" t="s">
        <v>342</v>
      </c>
      <c r="B156" s="18" t="s">
        <v>343</v>
      </c>
      <c r="C156" s="18" t="s">
        <v>282</v>
      </c>
      <c r="D156" s="18" t="s">
        <v>279</v>
      </c>
      <c r="E156" s="34">
        <v>16.489999999999998</v>
      </c>
      <c r="F156" s="34">
        <v>18.77</v>
      </c>
      <c r="G156" s="34">
        <v>20.13</v>
      </c>
      <c r="H156" s="34">
        <v>17.86</v>
      </c>
      <c r="I156" s="34">
        <v>19.920000000000002</v>
      </c>
      <c r="J156" s="34">
        <v>24.37</v>
      </c>
      <c r="K156" s="34">
        <v>22.59</v>
      </c>
      <c r="L156" s="34">
        <v>20.2</v>
      </c>
      <c r="M156" s="34">
        <v>17.64</v>
      </c>
      <c r="N156" s="34">
        <v>18.46</v>
      </c>
      <c r="O156" s="34">
        <v>20.64</v>
      </c>
    </row>
    <row r="157" spans="1:15" x14ac:dyDescent="0.3">
      <c r="A157" s="17" t="s">
        <v>344</v>
      </c>
      <c r="B157" s="18" t="s">
        <v>345</v>
      </c>
      <c r="C157" s="18" t="s">
        <v>282</v>
      </c>
      <c r="D157" s="18" t="s">
        <v>279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56"/>
  <sheetViews>
    <sheetView zoomScale="60" zoomScaleNormal="70" workbookViewId="0">
      <pane xSplit="4" ySplit="3" topLeftCell="E121" activePane="bottomRight" state="frozen"/>
      <selection pane="topRight"/>
      <selection pane="bottomLeft"/>
      <selection pane="bottomRight" activeCell="A110" sqref="A110:XFD110"/>
    </sheetView>
  </sheetViews>
  <sheetFormatPr defaultRowHeight="14.4" x14ac:dyDescent="0.3"/>
  <cols>
    <col min="1" max="1" width="14" customWidth="1"/>
    <col min="2" max="2" width="32" customWidth="1"/>
    <col min="3" max="4" width="12" customWidth="1"/>
    <col min="5" max="14" width="14" customWidth="1"/>
  </cols>
  <sheetData>
    <row r="1" spans="1:14" ht="30" customHeight="1" x14ac:dyDescent="0.3">
      <c r="A1" s="55" t="s">
        <v>347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9.95" customHeight="1" x14ac:dyDescent="0.3">
      <c r="A2" s="57" t="s">
        <v>28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22.05" customHeight="1" x14ac:dyDescent="0.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</row>
    <row r="4" spans="1:14" x14ac:dyDescent="0.3">
      <c r="A4" s="6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8" t="s">
        <v>44</v>
      </c>
      <c r="B5" s="8" t="s">
        <v>45</v>
      </c>
      <c r="C5" s="8" t="s">
        <v>46</v>
      </c>
      <c r="D5" s="8" t="s">
        <v>43</v>
      </c>
      <c r="E5" s="10">
        <f>('Stock Prices'!F6-'Stock Prices'!E6)/'Stock Prices'!E6</f>
        <v>0.4925373134328358</v>
      </c>
      <c r="F5" s="10">
        <f>('Stock Prices'!G6-'Stock Prices'!F6)/'Stock Prices'!F6</f>
        <v>-1.6000000000000014E-2</v>
      </c>
      <c r="G5" s="10">
        <f>('Stock Prices'!H6-'Stock Prices'!G6)/'Stock Prices'!G6</f>
        <v>0.25203252032520329</v>
      </c>
      <c r="H5" s="10">
        <f>('Stock Prices'!I6-'Stock Prices'!H6)/'Stock Prices'!H6</f>
        <v>1.9480519480519497E-2</v>
      </c>
      <c r="I5" s="10">
        <f>('Stock Prices'!J6-'Stock Prices'!I6)/'Stock Prices'!I6</f>
        <v>6.3694267515923483E-2</v>
      </c>
      <c r="J5" s="10">
        <f>('Stock Prices'!K6-'Stock Prices'!J6)/'Stock Prices'!J6</f>
        <v>-0.22155688622754485</v>
      </c>
      <c r="K5" s="10">
        <f>('Stock Prices'!L6-'Stock Prices'!K6)/'Stock Prices'!K6</f>
        <v>0.32307692307692298</v>
      </c>
      <c r="L5" s="10">
        <f>('Stock Prices'!M6-'Stock Prices'!L6)/'Stock Prices'!L6</f>
        <v>-0.27325581395348836</v>
      </c>
      <c r="M5" s="10">
        <f>('Stock Prices'!N6-'Stock Prices'!M6)/'Stock Prices'!M6</f>
        <v>0.4880000000000001</v>
      </c>
      <c r="N5" s="10">
        <f>('Stock Prices'!O6-'Stock Prices'!N6)/'Stock Prices'!N6</f>
        <v>0.15591397849462355</v>
      </c>
    </row>
    <row r="6" spans="1:14" x14ac:dyDescent="0.3">
      <c r="A6" s="8" t="s">
        <v>47</v>
      </c>
      <c r="B6" s="8" t="s">
        <v>48</v>
      </c>
      <c r="C6" s="8" t="s">
        <v>46</v>
      </c>
      <c r="D6" s="8" t="s">
        <v>43</v>
      </c>
      <c r="E6" s="10">
        <f>('Stock Prices'!F7-'Stock Prices'!E7)/'Stock Prices'!E7</f>
        <v>0.63265306122448972</v>
      </c>
      <c r="F6" s="10">
        <f>('Stock Prices'!G7-'Stock Prices'!F7)/'Stock Prices'!F7</f>
        <v>0.13125000000000009</v>
      </c>
      <c r="G6" s="10">
        <f>('Stock Prices'!H7-'Stock Prices'!G7)/'Stock Prices'!G7</f>
        <v>0.41878453038674018</v>
      </c>
      <c r="H6" s="10">
        <f>('Stock Prices'!I7-'Stock Prices'!H7)/'Stock Prices'!H7</f>
        <v>9.4236760124610658E-2</v>
      </c>
      <c r="I6" s="10">
        <f>('Stock Prices'!J7-'Stock Prices'!I7)/'Stock Prices'!I7</f>
        <v>0.82491103202846972</v>
      </c>
      <c r="J6" s="10">
        <f>('Stock Prices'!K7-'Stock Prices'!J7)/'Stock Prices'!J7</f>
        <v>0.32761310452418091</v>
      </c>
      <c r="K6" s="10">
        <f>('Stock Prices'!L7-'Stock Prices'!K7)/'Stock Prices'!K7</f>
        <v>0.39394829612220927</v>
      </c>
      <c r="L6" s="10">
        <f>('Stock Prices'!M7-'Stock Prices'!L7)/'Stock Prices'!L7</f>
        <v>-0.41369863013698632</v>
      </c>
      <c r="M6" s="10">
        <f>('Stock Prices'!N7-'Stock Prices'!M7)/'Stock Prices'!M7</f>
        <v>0.12652767792954708</v>
      </c>
      <c r="N6" s="10">
        <f>('Stock Prices'!O7-'Stock Prices'!N7)/'Stock Prices'!N7</f>
        <v>-0.20708359923420544</v>
      </c>
    </row>
    <row r="7" spans="1:14" x14ac:dyDescent="0.3">
      <c r="A7" s="8" t="s">
        <v>49</v>
      </c>
      <c r="B7" s="8" t="s">
        <v>50</v>
      </c>
      <c r="C7" s="8" t="s">
        <v>46</v>
      </c>
      <c r="D7" s="8" t="s">
        <v>43</v>
      </c>
      <c r="E7" s="10">
        <f>('Stock Prices'!F8-'Stock Prices'!E8)/'Stock Prices'!E8</f>
        <v>-4.7058823529410763E-3</v>
      </c>
      <c r="F7" s="10">
        <f>('Stock Prices'!G8-'Stock Prices'!F8)/'Stock Prices'!F8</f>
        <v>-0.16548463356974008</v>
      </c>
      <c r="G7" s="10">
        <f>('Stock Prices'!H8-'Stock Prices'!G8)/'Stock Prices'!G8</f>
        <v>7.6487252124645896E-2</v>
      </c>
      <c r="H7" s="10">
        <f>('Stock Prices'!I8-'Stock Prices'!H8)/'Stock Prices'!H8</f>
        <v>-3.9473684210526293E-2</v>
      </c>
      <c r="I7" s="10">
        <f>('Stock Prices'!J8-'Stock Prices'!I8)/'Stock Prices'!I8</f>
        <v>0.26027397260273966</v>
      </c>
      <c r="J7" s="10">
        <f>('Stock Prices'!K8-'Stock Prices'!J8)/'Stock Prices'!J8</f>
        <v>-0.22499999999999995</v>
      </c>
      <c r="K7" s="10">
        <f>('Stock Prices'!L8-'Stock Prices'!K8)/'Stock Prices'!K8</f>
        <v>0.30645161290322576</v>
      </c>
      <c r="L7" s="10">
        <f>('Stock Prices'!M8-'Stock Prices'!L8)/'Stock Prices'!L8</f>
        <v>-0.10842726784755768</v>
      </c>
      <c r="M7" s="10">
        <f>('Stock Prices'!N8-'Stock Prices'!M8)/'Stock Prices'!M8</f>
        <v>0.15051173991571343</v>
      </c>
      <c r="N7" s="10">
        <f>('Stock Prices'!O8-'Stock Prices'!N8)/'Stock Prices'!N8</f>
        <v>0.42700156985871274</v>
      </c>
    </row>
    <row r="8" spans="1:14" x14ac:dyDescent="0.3">
      <c r="A8" s="8" t="s">
        <v>51</v>
      </c>
      <c r="B8" s="8" t="s">
        <v>52</v>
      </c>
      <c r="C8" s="8" t="s">
        <v>46</v>
      </c>
      <c r="D8" s="8" t="s">
        <v>43</v>
      </c>
      <c r="E8" s="10">
        <f>('Stock Prices'!F9-'Stock Prices'!E9)/'Stock Prices'!E9</f>
        <v>0.27915407854984897</v>
      </c>
      <c r="F8" s="10">
        <f>('Stock Prices'!G9-'Stock Prices'!F9)/'Stock Prices'!F9</f>
        <v>-0.31223429381199813</v>
      </c>
      <c r="G8" s="10">
        <f>('Stock Prices'!H9-'Stock Prices'!G9)/'Stock Prices'!G9</f>
        <v>6.8681318681318437E-3</v>
      </c>
      <c r="H8" s="10">
        <f>('Stock Prices'!I9-'Stock Prices'!H9)/'Stock Prices'!H9</f>
        <v>-0.37039563437926326</v>
      </c>
      <c r="I8" s="10">
        <f>('Stock Prices'!J9-'Stock Prices'!I9)/'Stock Prices'!I9</f>
        <v>1.2730227518959913</v>
      </c>
      <c r="J8" s="10">
        <f>('Stock Prices'!K9-'Stock Prices'!J9)/'Stock Prices'!J9</f>
        <v>-0.16491897044804579</v>
      </c>
      <c r="K8" s="10">
        <f>('Stock Prices'!L9-'Stock Prices'!K9)/'Stock Prices'!K9</f>
        <v>0.38869863013698625</v>
      </c>
      <c r="L8" s="10">
        <f>('Stock Prices'!M9-'Stock Prices'!L9)/'Stock Prices'!L9</f>
        <v>-0.1520756267981915</v>
      </c>
      <c r="M8" s="10">
        <f>('Stock Prices'!N9-'Stock Prices'!M9)/'Stock Prices'!M9</f>
        <v>0.12942317014057206</v>
      </c>
      <c r="N8" s="10">
        <f>('Stock Prices'!O9-'Stock Prices'!N9)/'Stock Prices'!N9</f>
        <v>2.9613733905579302E-2</v>
      </c>
    </row>
    <row r="9" spans="1:14" x14ac:dyDescent="0.3">
      <c r="A9" s="8" t="s">
        <v>53</v>
      </c>
      <c r="B9" s="8" t="s">
        <v>54</v>
      </c>
      <c r="C9" s="8" t="s">
        <v>46</v>
      </c>
      <c r="D9" s="8" t="s">
        <v>43</v>
      </c>
      <c r="E9" s="10">
        <f>('Stock Prices'!F10-'Stock Prices'!E10)/'Stock Prices'!E10</f>
        <v>0.26594360086767893</v>
      </c>
      <c r="F9" s="10">
        <f>('Stock Prices'!G10-'Stock Prices'!F10)/'Stock Prices'!F10</f>
        <v>-0.22344071281699793</v>
      </c>
      <c r="G9" s="10">
        <f>('Stock Prices'!H10-'Stock Prices'!G10)/'Stock Prices'!G10</f>
        <v>0.2241835834068843</v>
      </c>
      <c r="H9" s="10">
        <f>('Stock Prices'!I10-'Stock Prices'!H10)/'Stock Prices'!H10</f>
        <v>-0.34643114635904831</v>
      </c>
      <c r="I9" s="10">
        <f>('Stock Prices'!J10-'Stock Prices'!I10)/'Stock Prices'!I10</f>
        <v>0.59735245449531182</v>
      </c>
      <c r="J9" s="10">
        <f>('Stock Prices'!K10-'Stock Prices'!J10)/'Stock Prices'!J10</f>
        <v>-5.939226519337025E-2</v>
      </c>
      <c r="K9" s="10">
        <f>('Stock Prices'!L10-'Stock Prices'!K10)/'Stock Prices'!K10</f>
        <v>0.42254038179148318</v>
      </c>
      <c r="L9" s="10">
        <f>('Stock Prices'!M10-'Stock Prices'!L10)/'Stock Prices'!L10</f>
        <v>-0.17264516129032254</v>
      </c>
      <c r="M9" s="10">
        <f>('Stock Prices'!N10-'Stock Prices'!M10)/'Stock Prices'!M10</f>
        <v>4.9282595134123461E-2</v>
      </c>
      <c r="N9" s="10">
        <f>('Stock Prices'!O10-'Stock Prices'!N10)/'Stock Prices'!N10</f>
        <v>0.33353151010701543</v>
      </c>
    </row>
    <row r="10" spans="1:14" x14ac:dyDescent="0.3">
      <c r="A10" s="8" t="s">
        <v>55</v>
      </c>
      <c r="B10" s="8" t="s">
        <v>56</v>
      </c>
      <c r="C10" s="8" t="s">
        <v>46</v>
      </c>
      <c r="D10" s="8" t="s">
        <v>43</v>
      </c>
      <c r="E10" s="10">
        <f>('Stock Prices'!F11-'Stock Prices'!E11)/'Stock Prices'!E11</f>
        <v>0.38185255198487705</v>
      </c>
      <c r="F10" s="10">
        <f>('Stock Prices'!G11-'Stock Prices'!F11)/'Stock Prices'!F11</f>
        <v>-6.5663474692202406E-2</v>
      </c>
      <c r="G10" s="10">
        <f>('Stock Prices'!H11-'Stock Prices'!G11)/'Stock Prices'!G11</f>
        <v>5.710102489019029E-2</v>
      </c>
      <c r="H10" s="10">
        <f>('Stock Prices'!I11-'Stock Prices'!H11)/'Stock Prices'!H11</f>
        <v>-0.29501385041551248</v>
      </c>
      <c r="I10" s="10">
        <f>('Stock Prices'!J11-'Stock Prices'!I11)/'Stock Prices'!I11</f>
        <v>0.74066797642436144</v>
      </c>
      <c r="J10" s="10">
        <f>('Stock Prices'!K11-'Stock Prices'!J11)/'Stock Prices'!J11</f>
        <v>-0.19864559819413091</v>
      </c>
      <c r="K10" s="10">
        <f>('Stock Prices'!L11-'Stock Prices'!K11)/'Stock Prices'!K11</f>
        <v>0.22253521126760564</v>
      </c>
      <c r="L10" s="10">
        <f>('Stock Prices'!M11-'Stock Prices'!L11)/'Stock Prices'!L11</f>
        <v>-0.10138248847926266</v>
      </c>
      <c r="M10" s="10">
        <f>('Stock Prices'!N11-'Stock Prices'!M11)/'Stock Prices'!M11</f>
        <v>9.3589743589743535E-2</v>
      </c>
      <c r="N10" s="10">
        <f>('Stock Prices'!O11-'Stock Prices'!N11)/'Stock Prices'!N11</f>
        <v>0.34701055099648315</v>
      </c>
    </row>
    <row r="11" spans="1:14" x14ac:dyDescent="0.3">
      <c r="A11" s="8" t="s">
        <v>57</v>
      </c>
      <c r="B11" s="8" t="s">
        <v>58</v>
      </c>
      <c r="C11" s="8" t="s">
        <v>46</v>
      </c>
      <c r="D11" s="8" t="s">
        <v>43</v>
      </c>
      <c r="E11" s="10">
        <f>('Stock Prices'!F12-'Stock Prices'!E12)/'Stock Prices'!E12</f>
        <v>0.27345844504021449</v>
      </c>
      <c r="F11" s="41">
        <f>('Stock Prices'!G12-'Stock Prices'!F12)/'Stock Prices'!F12</f>
        <v>-0.75894736842105259</v>
      </c>
      <c r="G11" s="10">
        <f>('Stock Prices'!H12-'Stock Prices'!G12)/'Stock Prices'!G12</f>
        <v>0.14410480349344981</v>
      </c>
      <c r="H11" s="10">
        <f>('Stock Prices'!I12-'Stock Prices'!H12)/'Stock Prices'!H12</f>
        <v>-0.24809160305343517</v>
      </c>
      <c r="I11" s="10">
        <f>('Stock Prices'!J12-'Stock Prices'!I12)/'Stock Prices'!I12</f>
        <v>3.0456852791878087E-2</v>
      </c>
      <c r="J11" s="10">
        <f>('Stock Prices'!K12-'Stock Prices'!J12)/'Stock Prices'!J12</f>
        <v>-0.10837438423645308</v>
      </c>
      <c r="K11" s="10">
        <f>('Stock Prices'!L12-'Stock Prices'!K12)/'Stock Prices'!K12</f>
        <v>0.45856353591160226</v>
      </c>
      <c r="L11" s="10">
        <f>('Stock Prices'!M12-'Stock Prices'!L12)/'Stock Prices'!L12</f>
        <v>0.26136363636363635</v>
      </c>
      <c r="M11" s="10">
        <f>('Stock Prices'!N12-'Stock Prices'!M12)/'Stock Prices'!M12</f>
        <v>0.4354354354354355</v>
      </c>
      <c r="N11" s="10">
        <f>('Stock Prices'!O12-'Stock Prices'!N12)/'Stock Prices'!N12</f>
        <v>0.63389121338912113</v>
      </c>
    </row>
    <row r="12" spans="1:14" x14ac:dyDescent="0.3">
      <c r="A12" s="8" t="s">
        <v>59</v>
      </c>
      <c r="B12" s="8" t="s">
        <v>60</v>
      </c>
      <c r="C12" s="8" t="s">
        <v>46</v>
      </c>
      <c r="D12" s="8" t="s">
        <v>43</v>
      </c>
      <c r="E12" s="10">
        <f>('Stock Prices'!F13-'Stock Prices'!E13)/'Stock Prices'!E13</f>
        <v>0.28918918918918901</v>
      </c>
      <c r="F12" s="10">
        <f>('Stock Prices'!G13-'Stock Prices'!F13)/'Stock Prices'!F13</f>
        <v>-0.28092243186582799</v>
      </c>
      <c r="G12" s="10">
        <f>('Stock Prices'!H13-'Stock Prices'!G13)/'Stock Prices'!G13</f>
        <v>-0.16909620991253646</v>
      </c>
      <c r="H12" s="10">
        <f>('Stock Prices'!I13-'Stock Prices'!H13)/'Stock Prices'!H13</f>
        <v>-0.20000000000000009</v>
      </c>
      <c r="I12" s="10">
        <f>('Stock Prices'!J13-'Stock Prices'!I13)/'Stock Prices'!I13</f>
        <v>0.32894736842105265</v>
      </c>
      <c r="J12" s="10">
        <f>('Stock Prices'!K13-'Stock Prices'!J13)/'Stock Prices'!J13</f>
        <v>-0.50825082508250818</v>
      </c>
      <c r="K12" s="10">
        <f>('Stock Prices'!L13-'Stock Prices'!K13)/'Stock Prices'!K13</f>
        <v>0.22147651006711414</v>
      </c>
      <c r="L12" s="10">
        <f>('Stock Prices'!M13-'Stock Prices'!L13)/'Stock Prices'!L13</f>
        <v>5.4945054945054868E-2</v>
      </c>
      <c r="M12" s="10">
        <f>('Stock Prices'!N13-'Stock Prices'!M13)/'Stock Prices'!M13</f>
        <v>0.578125</v>
      </c>
      <c r="N12" s="10">
        <f>('Stock Prices'!O13-'Stock Prices'!N13)/'Stock Prices'!N13</f>
        <v>1.0231023102310233</v>
      </c>
    </row>
    <row r="13" spans="1:14" x14ac:dyDescent="0.3">
      <c r="A13" s="8" t="s">
        <v>61</v>
      </c>
      <c r="B13" s="8" t="s">
        <v>62</v>
      </c>
      <c r="C13" s="8" t="s">
        <v>46</v>
      </c>
      <c r="D13" s="8" t="s">
        <v>43</v>
      </c>
      <c r="E13" s="10">
        <f>('Stock Prices'!F14-'Stock Prices'!E14)/'Stock Prices'!E14</f>
        <v>0.5794481446241676</v>
      </c>
      <c r="F13" s="10">
        <f>('Stock Prices'!G14-'Stock Prices'!F14)/'Stock Prices'!F14</f>
        <v>0.35602409638554217</v>
      </c>
      <c r="G13" s="10">
        <f>('Stock Prices'!H14-'Stock Prices'!G14)/'Stock Prices'!G14</f>
        <v>-4.4424700133281043E-4</v>
      </c>
      <c r="H13" s="10">
        <f>('Stock Prices'!I14-'Stock Prices'!H14)/'Stock Prices'!H14</f>
        <v>-0.3322222222222222</v>
      </c>
      <c r="I13" s="10">
        <f>('Stock Prices'!J14-'Stock Prices'!I14)/'Stock Prices'!I14</f>
        <v>0.49417643926788685</v>
      </c>
      <c r="J13" s="10">
        <f>('Stock Prices'!K14-'Stock Prices'!J14)/'Stock Prices'!J14</f>
        <v>-0.13140315673037165</v>
      </c>
      <c r="K13" s="10">
        <f>('Stock Prices'!L14-'Stock Prices'!K14)/'Stock Prices'!K14</f>
        <v>-2.6923076923076852E-2</v>
      </c>
      <c r="L13" s="10">
        <f>('Stock Prices'!M14-'Stock Prices'!L14)/'Stock Prices'!L14</f>
        <v>-5.1383399209486237E-2</v>
      </c>
      <c r="M13" s="10">
        <f>('Stock Prices'!N14-'Stock Prices'!M14)/'Stock Prices'!M14</f>
        <v>0.52999999999999992</v>
      </c>
      <c r="N13" s="10">
        <f>('Stock Prices'!O14-'Stock Prices'!N14)/'Stock Prices'!N14</f>
        <v>0.29193899782135074</v>
      </c>
    </row>
    <row r="14" spans="1:14" x14ac:dyDescent="0.3">
      <c r="A14" s="8" t="s">
        <v>63</v>
      </c>
      <c r="B14" s="8" t="s">
        <v>64</v>
      </c>
      <c r="C14" s="8" t="s">
        <v>46</v>
      </c>
      <c r="D14" s="8" t="s">
        <v>43</v>
      </c>
      <c r="E14" s="10">
        <f>('Stock Prices'!F15-'Stock Prices'!E15)/'Stock Prices'!E15</f>
        <v>0.55038759689922478</v>
      </c>
      <c r="F14" s="10">
        <f>('Stock Prices'!G15-'Stock Prices'!F15)/'Stock Prices'!F15</f>
        <v>0.15999999999999992</v>
      </c>
      <c r="G14" s="10">
        <f>('Stock Prices'!H15-'Stock Prices'!G15)/'Stock Prices'!G15</f>
        <v>0.39008620689655188</v>
      </c>
      <c r="H14" s="10">
        <f>('Stock Prices'!I15-'Stock Prices'!H15)/'Stock Prices'!H15</f>
        <v>0.14573643410852705</v>
      </c>
      <c r="I14" s="10">
        <f>('Stock Prices'!J15-'Stock Prices'!I15)/'Stock Prices'!I15</f>
        <v>0.10148849797023017</v>
      </c>
      <c r="J14" s="10">
        <f>('Stock Prices'!K15-'Stock Prices'!J15)/'Stock Prices'!J15</f>
        <v>0.14742014742014733</v>
      </c>
      <c r="K14" s="10">
        <f>('Stock Prices'!L15-'Stock Prices'!K15)/'Stock Prices'!K15</f>
        <v>0.3768736616702355</v>
      </c>
      <c r="L14" s="10">
        <f>('Stock Prices'!M15-'Stock Prices'!L15)/'Stock Prices'!L15</f>
        <v>-0.26283048211508547</v>
      </c>
      <c r="M14" s="10">
        <f>('Stock Prices'!N15-'Stock Prices'!M15)/'Stock Prices'!M15</f>
        <v>7.8059071729957824E-2</v>
      </c>
      <c r="N14" s="10">
        <f>('Stock Prices'!O15-'Stock Prices'!N15)/'Stock Prices'!N15</f>
        <v>-0.41095890410958913</v>
      </c>
    </row>
    <row r="15" spans="1:14" x14ac:dyDescent="0.3">
      <c r="A15" s="8" t="s">
        <v>65</v>
      </c>
      <c r="B15" s="8" t="s">
        <v>66</v>
      </c>
      <c r="C15" s="8" t="s">
        <v>46</v>
      </c>
      <c r="D15" s="8" t="s">
        <v>43</v>
      </c>
      <c r="E15" s="10">
        <f>('Stock Prices'!F16-'Stock Prices'!E16)/'Stock Prices'!E16</f>
        <v>-5.3731343283582138E-2</v>
      </c>
      <c r="F15" s="10">
        <f>('Stock Prices'!G16-'Stock Prices'!F16)/'Stock Prices'!F16</f>
        <v>0.3044164037854889</v>
      </c>
      <c r="G15" s="10">
        <f>('Stock Prices'!H16-'Stock Prices'!G16)/'Stock Prices'!G16</f>
        <v>0.35066505441354301</v>
      </c>
      <c r="H15" s="10">
        <f>('Stock Prices'!I16-'Stock Prices'!H16)/'Stock Prices'!H16</f>
        <v>-0.29722470904207704</v>
      </c>
      <c r="I15" s="10">
        <f>('Stock Prices'!J16-'Stock Prices'!I16)/'Stock Prices'!I16</f>
        <v>0.24713375796178338</v>
      </c>
      <c r="J15" s="10">
        <f>('Stock Prices'!K16-'Stock Prices'!J16)/'Stock Prices'!J16</f>
        <v>5.5158324821246267E-2</v>
      </c>
      <c r="K15" s="10">
        <f>('Stock Prices'!L16-'Stock Prices'!K16)/'Stock Prices'!K16</f>
        <v>0.4346563407550823</v>
      </c>
      <c r="L15" s="10">
        <f>('Stock Prices'!M16-'Stock Prices'!L16)/'Stock Prices'!L16</f>
        <v>1.0121457489878567E-2</v>
      </c>
      <c r="M15" s="10">
        <f>('Stock Prices'!N16-'Stock Prices'!M16)/'Stock Prices'!M16</f>
        <v>-0.25985303941215765</v>
      </c>
      <c r="N15" s="10"/>
    </row>
    <row r="16" spans="1:14" x14ac:dyDescent="0.3">
      <c r="A16" s="8" t="s">
        <v>67</v>
      </c>
      <c r="B16" s="8" t="s">
        <v>68</v>
      </c>
      <c r="C16" s="8" t="s">
        <v>46</v>
      </c>
      <c r="D16" s="8" t="s">
        <v>43</v>
      </c>
      <c r="E16" s="10">
        <f>('Stock Prices'!F17-'Stock Prices'!E17)/'Stock Prices'!E17</f>
        <v>0.45364536453645382</v>
      </c>
      <c r="F16" s="10">
        <f>('Stock Prices'!G17-'Stock Prices'!F17)/'Stock Prices'!F17</f>
        <v>0.16099071207430335</v>
      </c>
      <c r="G16" s="10">
        <f>('Stock Prices'!H17-'Stock Prices'!G17)/'Stock Prices'!G17</f>
        <v>0.31555555555555553</v>
      </c>
      <c r="H16" s="10">
        <f>('Stock Prices'!I17-'Stock Prices'!H17)/'Stock Prices'!H17</f>
        <v>-4.4594594594594555E-2</v>
      </c>
      <c r="I16" s="10">
        <f>('Stock Prices'!J17-'Stock Prices'!I17)/'Stock Prices'!I17</f>
        <v>0.63224893917963232</v>
      </c>
      <c r="J16" s="10">
        <f>('Stock Prices'!K17-'Stock Prices'!J17)/'Stock Prices'!J17</f>
        <v>0.47400346620450595</v>
      </c>
      <c r="K16" s="10">
        <f>('Stock Prices'!L17-'Stock Prices'!K17)/'Stock Prices'!K17</f>
        <v>-1.5579071134626725E-2</v>
      </c>
      <c r="L16" s="10">
        <f>('Stock Prices'!M17-'Stock Prices'!L17)/'Stock Prices'!L17</f>
        <v>-0.22126007763511488</v>
      </c>
      <c r="M16" s="10">
        <f>('Stock Prices'!N17-'Stock Prices'!M17)/'Stock Prices'!M17</f>
        <v>-0.28496932515337431</v>
      </c>
      <c r="N16" s="10">
        <f>('Stock Prices'!O17-'Stock Prices'!N17)/'Stock Prices'!N17</f>
        <v>6.778206778206787E-2</v>
      </c>
    </row>
    <row r="17" spans="1:14" x14ac:dyDescent="0.3">
      <c r="A17" s="8" t="s">
        <v>69</v>
      </c>
      <c r="B17" s="8" t="s">
        <v>70</v>
      </c>
      <c r="C17" s="8" t="s">
        <v>46</v>
      </c>
      <c r="D17" s="8" t="s">
        <v>43</v>
      </c>
      <c r="E17" s="10">
        <f>('Stock Prices'!F18-'Stock Prices'!E18)/'Stock Prices'!E18</f>
        <v>5.1351351351351333E-2</v>
      </c>
      <c r="F17" s="10">
        <f>('Stock Prices'!G18-'Stock Prices'!F18)/'Stock Prices'!F18</f>
        <v>7.7120822622108037E-2</v>
      </c>
      <c r="G17" s="10">
        <f>('Stock Prices'!H18-'Stock Prices'!G18)/'Stock Prices'!G18</f>
        <v>0.22434367541766095</v>
      </c>
      <c r="H17" s="10">
        <f>('Stock Prices'!I18-'Stock Prices'!H18)/'Stock Prices'!H18</f>
        <v>-1.7543859649122778E-2</v>
      </c>
      <c r="I17" s="10">
        <f>('Stock Prices'!J18-'Stock Prices'!I18)/'Stock Prices'!I18</f>
        <v>0.40277777777777785</v>
      </c>
      <c r="J17" s="10">
        <f>('Stock Prices'!K18-'Stock Prices'!J18)/'Stock Prices'!J18</f>
        <v>0.171145685997171</v>
      </c>
      <c r="K17" s="10">
        <f>('Stock Prices'!L18-'Stock Prices'!K18)/'Stock Prices'!K18</f>
        <v>-0.14855072463768113</v>
      </c>
      <c r="L17" s="10">
        <f>('Stock Prices'!M18-'Stock Prices'!L18)/'Stock Prices'!L18</f>
        <v>-0.28652482269503543</v>
      </c>
      <c r="M17" s="10">
        <f>('Stock Prices'!N18-'Stock Prices'!M18)/'Stock Prices'!M18</f>
        <v>0.33797216699801197</v>
      </c>
      <c r="N17" s="10">
        <f>('Stock Prices'!O18-'Stock Prices'!N18)/'Stock Prices'!N18</f>
        <v>2.377414561664179E-2</v>
      </c>
    </row>
    <row r="18" spans="1:14" x14ac:dyDescent="0.3">
      <c r="A18" s="8" t="s">
        <v>71</v>
      </c>
      <c r="B18" s="8" t="s">
        <v>72</v>
      </c>
      <c r="C18" s="8" t="s">
        <v>46</v>
      </c>
      <c r="D18" s="8" t="s">
        <v>43</v>
      </c>
      <c r="E18" s="10">
        <f>('Stock Prices'!F19-'Stock Prices'!E19)/'Stock Prices'!E19</f>
        <v>-4.893177119228112E-2</v>
      </c>
      <c r="F18" s="10">
        <f>('Stock Prices'!G19-'Stock Prices'!F19)/'Stock Prices'!F19</f>
        <v>0.12101449275362318</v>
      </c>
      <c r="G18" s="10">
        <f>('Stock Prices'!H19-'Stock Prices'!G19)/'Stock Prices'!G19</f>
        <v>-0.107950872656755</v>
      </c>
      <c r="H18" s="10">
        <f>('Stock Prices'!I19-'Stock Prices'!H19)/'Stock Prices'!H19</f>
        <v>-3.6231884057971527E-3</v>
      </c>
      <c r="I18" s="10">
        <f>('Stock Prices'!J19-'Stock Prices'!I19)/'Stock Prices'!I19</f>
        <v>7.2727272727272467E-3</v>
      </c>
      <c r="J18" s="10">
        <f>('Stock Prices'!K19-'Stock Prices'!J19)/'Stock Prices'!J19</f>
        <v>-0.38267148014440427</v>
      </c>
      <c r="K18" s="10">
        <f>('Stock Prices'!L19-'Stock Prices'!K19)/'Stock Prices'!K19</f>
        <v>0.42923976608187131</v>
      </c>
      <c r="L18" s="10">
        <f>('Stock Prices'!M19-'Stock Prices'!L19)/'Stock Prices'!L19</f>
        <v>8.7561374795417216E-2</v>
      </c>
      <c r="M18" s="10">
        <f>('Stock Prices'!N19-'Stock Prices'!M19)/'Stock Prices'!M19</f>
        <v>0.15500376222723858</v>
      </c>
      <c r="N18" s="10">
        <f>('Stock Prices'!O19-'Stock Prices'!N19)/'Stock Prices'!N19</f>
        <v>-0.14723127035830619</v>
      </c>
    </row>
    <row r="19" spans="1:14" x14ac:dyDescent="0.3">
      <c r="A19" s="8" t="s">
        <v>73</v>
      </c>
      <c r="B19" s="8" t="s">
        <v>74</v>
      </c>
      <c r="C19" s="8" t="s">
        <v>46</v>
      </c>
      <c r="D19" s="8" t="s">
        <v>43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8" t="s">
        <v>75</v>
      </c>
      <c r="B20" s="8" t="s">
        <v>76</v>
      </c>
      <c r="C20" s="8" t="s">
        <v>46</v>
      </c>
      <c r="D20" s="8" t="s">
        <v>43</v>
      </c>
      <c r="E20" s="10"/>
      <c r="F20" s="10"/>
      <c r="G20" s="10">
        <f>('Stock Prices'!H21-'Stock Prices'!G21)/'Stock Prices'!G21</f>
        <v>0.58137432188065108</v>
      </c>
      <c r="H20" s="10">
        <f>('Stock Prices'!I21-'Stock Prices'!H21)/'Stock Prices'!H21</f>
        <v>-7.6615208690680578E-3</v>
      </c>
      <c r="I20" s="10">
        <f>('Stock Prices'!J21-'Stock Prices'!I21)/'Stock Prices'!I21</f>
        <v>0.70430974879004382</v>
      </c>
      <c r="J20" s="10">
        <f>('Stock Prices'!K21-'Stock Prices'!J21)/'Stock Prices'!J21</f>
        <v>0.27552400270453009</v>
      </c>
      <c r="K20" s="10">
        <f>('Stock Prices'!L21-'Stock Prices'!K21)/'Stock Prices'!K21</f>
        <v>0.20593692022263446</v>
      </c>
      <c r="L20" s="10">
        <f>('Stock Prices'!M21-'Stock Prices'!L21)/'Stock Prices'!L21</f>
        <v>-0.12000000000000005</v>
      </c>
      <c r="M20" s="10">
        <f>('Stock Prices'!N21-'Stock Prices'!M21)/'Stock Prices'!M21</f>
        <v>0.52447552447552448</v>
      </c>
      <c r="N20" s="10">
        <f>('Stock Prices'!O21-'Stock Prices'!N21)/'Stock Prices'!N21</f>
        <v>0.35124508519003927</v>
      </c>
    </row>
    <row r="21" spans="1:14" x14ac:dyDescent="0.3">
      <c r="A21" s="8" t="s">
        <v>77</v>
      </c>
      <c r="B21" s="8" t="s">
        <v>78</v>
      </c>
      <c r="C21" s="8" t="s">
        <v>46</v>
      </c>
      <c r="D21" s="8" t="s">
        <v>43</v>
      </c>
      <c r="E21" s="10">
        <f>('Stock Prices'!F22-'Stock Prices'!E22)/'Stock Prices'!E22</f>
        <v>0.63383297644539616</v>
      </c>
      <c r="F21" s="10">
        <f>('Stock Prices'!G22-'Stock Prices'!F22)/'Stock Prices'!F22</f>
        <v>-0.30144167758846657</v>
      </c>
      <c r="G21" s="10">
        <f>('Stock Prices'!H22-'Stock Prices'!G22)/'Stock Prices'!G22</f>
        <v>0.60225140712945568</v>
      </c>
      <c r="H21" s="10">
        <f>('Stock Prices'!I22-'Stock Prices'!H22)/'Stock Prices'!H22</f>
        <v>2.8103044496487147E-2</v>
      </c>
      <c r="I21" s="10">
        <f>('Stock Prices'!J22-'Stock Prices'!I22)/'Stock Prices'!I22</f>
        <v>0.21753986332574035</v>
      </c>
      <c r="J21" s="10">
        <f>('Stock Prices'!K22-'Stock Prices'!J22)/'Stock Prices'!J22</f>
        <v>0.25350795135640797</v>
      </c>
      <c r="K21" s="10">
        <f>('Stock Prices'!L22-'Stock Prices'!K22)/'Stock Prices'!K22</f>
        <v>0.15223880597014919</v>
      </c>
      <c r="L21" s="10">
        <f>('Stock Prices'!M22-'Stock Prices'!L22)/'Stock Prices'!L22</f>
        <v>5.1813471502590719E-3</v>
      </c>
      <c r="M21" s="10">
        <f>('Stock Prices'!N22-'Stock Prices'!M22)/'Stock Prices'!M22</f>
        <v>-0.12435567010309277</v>
      </c>
      <c r="N21" s="10">
        <f>('Stock Prices'!O22-'Stock Prices'!N22)/'Stock Prices'!N22</f>
        <v>0.23546725533480495</v>
      </c>
    </row>
    <row r="22" spans="1:14" x14ac:dyDescent="0.3">
      <c r="A22" s="8" t="s">
        <v>79</v>
      </c>
      <c r="B22" s="8" t="s">
        <v>80</v>
      </c>
      <c r="C22" s="8" t="s">
        <v>46</v>
      </c>
      <c r="D22" s="8" t="s">
        <v>43</v>
      </c>
      <c r="E22" s="10">
        <f>('Stock Prices'!F23-'Stock Prices'!E23)/'Stock Prices'!E23</f>
        <v>0.25641025641025655</v>
      </c>
      <c r="F22" s="10">
        <f>('Stock Prices'!G23-'Stock Prices'!F23)/'Stock Prices'!F23</f>
        <v>-0.10612244897959193</v>
      </c>
      <c r="G22" s="10">
        <f>('Stock Prices'!H23-'Stock Prices'!G23)/'Stock Prices'!G23</f>
        <v>0.32876712328767133</v>
      </c>
      <c r="H22" s="10">
        <f>('Stock Prices'!I23-'Stock Prices'!H23)/'Stock Prices'!H23</f>
        <v>-8.5910652920962199E-2</v>
      </c>
      <c r="I22" s="10">
        <f>('Stock Prices'!J23-'Stock Prices'!I23)/'Stock Prices'!I23</f>
        <v>0.46616541353383445</v>
      </c>
      <c r="J22" s="10">
        <f>('Stock Prices'!K23-'Stock Prices'!J23)/'Stock Prices'!J23</f>
        <v>-0.23589743589743589</v>
      </c>
      <c r="K22" s="10">
        <f>('Stock Prices'!L23-'Stock Prices'!K23)/'Stock Prices'!K23</f>
        <v>0.22818791946308731</v>
      </c>
      <c r="L22" s="10">
        <f>('Stock Prices'!M23-'Stock Prices'!L23)/'Stock Prices'!L23</f>
        <v>-0.31147540983606559</v>
      </c>
      <c r="M22" s="10">
        <f>('Stock Prices'!N23-'Stock Prices'!M23)/'Stock Prices'!M23</f>
        <v>0.17857142857142863</v>
      </c>
      <c r="N22" s="10">
        <f>('Stock Prices'!O23-'Stock Prices'!N23)/'Stock Prices'!N23</f>
        <v>0.15488215488215487</v>
      </c>
    </row>
    <row r="23" spans="1:14" x14ac:dyDescent="0.3">
      <c r="A23" s="8" t="s">
        <v>81</v>
      </c>
      <c r="B23" s="8" t="s">
        <v>82</v>
      </c>
      <c r="C23" s="8" t="s">
        <v>46</v>
      </c>
      <c r="D23" s="8" t="s">
        <v>43</v>
      </c>
      <c r="E23" s="10"/>
      <c r="F23" s="10">
        <f>('Stock Prices'!G24-'Stock Prices'!F24)/'Stock Prices'!F24</f>
        <v>-0.12698412698412692</v>
      </c>
      <c r="G23" s="10">
        <f>('Stock Prices'!H24-'Stock Prices'!G24)/'Stock Prices'!G24</f>
        <v>0.40909090909090901</v>
      </c>
      <c r="H23" s="10">
        <f>('Stock Prices'!I24-'Stock Prices'!H24)/'Stock Prices'!H24</f>
        <v>-3.7096774193548454E-2</v>
      </c>
      <c r="I23" s="10">
        <f>('Stock Prices'!J24-'Stock Prices'!I24)/'Stock Prices'!I24</f>
        <v>0.46231155778894484</v>
      </c>
      <c r="J23" s="10">
        <f>('Stock Prices'!K24-'Stock Prices'!J24)/'Stock Prices'!J24</f>
        <v>0.13745704467353942</v>
      </c>
      <c r="K23" s="10">
        <f>('Stock Prices'!L24-'Stock Prices'!K24)/'Stock Prices'!K24</f>
        <v>7.5528700906344406E-2</v>
      </c>
      <c r="L23" s="10">
        <f>('Stock Prices'!M24-'Stock Prices'!L24)/'Stock Prices'!L24</f>
        <v>-0.11891385767790258</v>
      </c>
      <c r="M23" s="10">
        <f>('Stock Prices'!N24-'Stock Prices'!M24)/'Stock Prices'!M24</f>
        <v>0.21679064824654615</v>
      </c>
      <c r="N23" s="10">
        <f>('Stock Prices'!O24-'Stock Prices'!N24)/'Stock Prices'!N24</f>
        <v>-0.14235807860262001</v>
      </c>
    </row>
    <row r="24" spans="1:14" x14ac:dyDescent="0.3">
      <c r="A24" s="8" t="s">
        <v>83</v>
      </c>
      <c r="B24" s="8" t="s">
        <v>84</v>
      </c>
      <c r="C24" s="8" t="s">
        <v>46</v>
      </c>
      <c r="D24" s="8" t="s">
        <v>43</v>
      </c>
      <c r="E24" s="10">
        <f>('Stock Prices'!F25-'Stock Prices'!E25)/'Stock Prices'!E25</f>
        <v>0.22918454935622315</v>
      </c>
      <c r="F24" s="10">
        <f>('Stock Prices'!G25-'Stock Prices'!F25)/'Stock Prices'!F25</f>
        <v>8.5893854748603379E-2</v>
      </c>
      <c r="G24" s="10">
        <f>('Stock Prices'!H25-'Stock Prices'!G25)/'Stock Prices'!G25</f>
        <v>0.68617356913183281</v>
      </c>
      <c r="H24" s="10">
        <f>('Stock Prices'!I25-'Stock Prices'!H25)/'Stock Prices'!H25</f>
        <v>-8.3905037524982882E-3</v>
      </c>
      <c r="I24" s="10">
        <f>('Stock Prices'!J25-'Stock Prices'!I25)/'Stock Prices'!I25</f>
        <v>8.6153846153846095E-2</v>
      </c>
      <c r="J24" s="10">
        <f>('Stock Prices'!K25-'Stock Prices'!J25)/'Stock Prices'!J25</f>
        <v>0.42847025495750729</v>
      </c>
      <c r="K24" s="10">
        <f>('Stock Prices'!L25-'Stock Prices'!K25)/'Stock Prices'!K25</f>
        <v>0.59766973227565667</v>
      </c>
      <c r="L24" s="10">
        <f>('Stock Prices'!M25-'Stock Prices'!L25)/'Stock Prices'!L25</f>
        <v>-0.34584946528391619</v>
      </c>
      <c r="M24" s="10">
        <f>('Stock Prices'!N25-'Stock Prices'!M25)/'Stock Prices'!M25</f>
        <v>0.1117172675521822</v>
      </c>
      <c r="N24" s="10">
        <f>('Stock Prices'!O25-'Stock Prices'!N25)/'Stock Prices'!N25</f>
        <v>-8.9822914444207411E-2</v>
      </c>
    </row>
    <row r="25" spans="1:14" x14ac:dyDescent="0.3">
      <c r="A25" s="8" t="s">
        <v>85</v>
      </c>
      <c r="B25" s="8" t="s">
        <v>86</v>
      </c>
      <c r="C25" s="8" t="s">
        <v>46</v>
      </c>
      <c r="D25" s="8" t="s">
        <v>43</v>
      </c>
      <c r="E25" s="10">
        <f>('Stock Prices'!F26-'Stock Prices'!E26)/'Stock Prices'!E26</f>
        <v>0.27685950413223137</v>
      </c>
      <c r="F25" s="10">
        <f>('Stock Prices'!G26-'Stock Prices'!F26)/'Stock Prices'!F26</f>
        <v>-0.21359223300970864</v>
      </c>
      <c r="G25" s="10">
        <f>('Stock Prices'!H26-'Stock Prices'!G26)/'Stock Prices'!G26</f>
        <v>0.13991769547325097</v>
      </c>
      <c r="H25" s="10">
        <f>('Stock Prices'!I26-'Stock Prices'!H26)/'Stock Prices'!H26</f>
        <v>-0.29963898916967513</v>
      </c>
      <c r="I25" s="10">
        <f>('Stock Prices'!J26-'Stock Prices'!I26)/'Stock Prices'!I26</f>
        <v>0.21134020618556709</v>
      </c>
      <c r="J25" s="10">
        <f>('Stock Prices'!K26-'Stock Prices'!J26)/'Stock Prices'!J26</f>
        <v>-0.18723404255319157</v>
      </c>
      <c r="K25" s="10">
        <f>('Stock Prices'!L26-'Stock Prices'!K26)/'Stock Prices'!K26</f>
        <v>0.18848167539267022</v>
      </c>
      <c r="L25" s="10">
        <f>('Stock Prices'!M26-'Stock Prices'!L26)/'Stock Prices'!L26</f>
        <v>-8.3700440528634332E-2</v>
      </c>
      <c r="M25" s="10">
        <f>('Stock Prices'!N26-'Stock Prices'!M26)/'Stock Prices'!M26</f>
        <v>0.26923076923076927</v>
      </c>
      <c r="N25" s="10">
        <f>('Stock Prices'!O26-'Stock Prices'!N26)/'Stock Prices'!N26</f>
        <v>0.46212121212121199</v>
      </c>
    </row>
    <row r="26" spans="1:14" x14ac:dyDescent="0.3">
      <c r="A26" s="8" t="s">
        <v>87</v>
      </c>
      <c r="B26" s="8" t="s">
        <v>88</v>
      </c>
      <c r="C26" s="8" t="s">
        <v>46</v>
      </c>
      <c r="D26" s="8" t="s">
        <v>43</v>
      </c>
      <c r="E26" s="10"/>
      <c r="F26" s="10"/>
      <c r="G26" s="10">
        <f>('Stock Prices'!H27-'Stock Prices'!G27)/'Stock Prices'!G27</f>
        <v>0.36096256684491967</v>
      </c>
      <c r="H26" s="10">
        <f>('Stock Prices'!I27-'Stock Prices'!H27)/'Stock Prices'!H27</f>
        <v>-1.7681728880157142E-2</v>
      </c>
      <c r="I26" s="10">
        <f>('Stock Prices'!J27-'Stock Prices'!I27)/'Stock Prices'!I27</f>
        <v>8.8000000000000078E-2</v>
      </c>
      <c r="J26" s="10">
        <f>('Stock Prices'!K27-'Stock Prices'!J27)/'Stock Prices'!J27</f>
        <v>-4.4117647058823567E-2</v>
      </c>
      <c r="K26" s="10">
        <f>('Stock Prices'!L27-'Stock Prices'!K27)/'Stock Prices'!K27</f>
        <v>0.16346153846153838</v>
      </c>
      <c r="L26" s="10">
        <f>('Stock Prices'!M27-'Stock Prices'!L27)/'Stock Prices'!L27</f>
        <v>-0.14214876033057841</v>
      </c>
      <c r="M26" s="10">
        <f>('Stock Prices'!N27-'Stock Prices'!M27)/'Stock Prices'!M27</f>
        <v>-1.9267822736032127E-3</v>
      </c>
      <c r="N26" s="10">
        <f>('Stock Prices'!O27-'Stock Prices'!N27)/'Stock Prices'!N27</f>
        <v>4.4401544401544486E-2</v>
      </c>
    </row>
    <row r="27" spans="1:14" x14ac:dyDescent="0.3">
      <c r="A27" s="8" t="s">
        <v>89</v>
      </c>
      <c r="B27" s="8" t="s">
        <v>90</v>
      </c>
      <c r="C27" s="8" t="s">
        <v>46</v>
      </c>
      <c r="D27" s="8" t="s">
        <v>43</v>
      </c>
      <c r="E27" s="10"/>
      <c r="F27" s="10"/>
      <c r="G27" s="10"/>
      <c r="H27" s="10"/>
      <c r="I27" s="10"/>
      <c r="J27" s="10"/>
      <c r="K27" s="10"/>
      <c r="L27" s="10"/>
      <c r="M27" s="10">
        <f>('Stock Prices'!N28-'Stock Prices'!M28)/'Stock Prices'!M28</f>
        <v>0.46582733812949656</v>
      </c>
      <c r="N27" s="10">
        <f>('Stock Prices'!O28-'Stock Prices'!N28)/'Stock Prices'!N28</f>
        <v>0.14601226993865024</v>
      </c>
    </row>
    <row r="28" spans="1:14" x14ac:dyDescent="0.3">
      <c r="A28" s="8" t="s">
        <v>91</v>
      </c>
      <c r="B28" s="8" t="s">
        <v>92</v>
      </c>
      <c r="C28" s="8" t="s">
        <v>46</v>
      </c>
      <c r="D28" s="8" t="s">
        <v>43</v>
      </c>
      <c r="E28" s="10">
        <f>('Stock Prices'!F29-'Stock Prices'!E29)/'Stock Prices'!E29</f>
        <v>0.66666666666666663</v>
      </c>
      <c r="F28" s="10">
        <f>('Stock Prices'!G29-'Stock Prices'!F29)/'Stock Prices'!F29</f>
        <v>3.4108527131782904E-2</v>
      </c>
      <c r="G28" s="10">
        <f>('Stock Prices'!H29-'Stock Prices'!G29)/'Stock Prices'!G29</f>
        <v>-0.25637181409295351</v>
      </c>
      <c r="H28" s="10">
        <f>('Stock Prices'!I29-'Stock Prices'!H29)/'Stock Prices'!H29</f>
        <v>-0.22580645161290325</v>
      </c>
      <c r="I28" s="10">
        <f>('Stock Prices'!J29-'Stock Prices'!I29)/'Stock Prices'!I29</f>
        <v>0.36067708333333331</v>
      </c>
      <c r="J28" s="10">
        <f>('Stock Prices'!K29-'Stock Prices'!J29)/'Stock Prices'!J29</f>
        <v>-0.4344497607655502</v>
      </c>
      <c r="K28" s="10">
        <f>('Stock Prices'!L29-'Stock Prices'!K29)/'Stock Prices'!K29</f>
        <v>6.5989847715735989E-2</v>
      </c>
      <c r="L28" s="10">
        <f>('Stock Prices'!M29-'Stock Prices'!L29)/'Stock Prices'!L29</f>
        <v>0.27936507936507948</v>
      </c>
      <c r="M28" s="10">
        <f>('Stock Prices'!N29-'Stock Prices'!M29)/'Stock Prices'!M29</f>
        <v>0.85359801488833731</v>
      </c>
      <c r="N28" s="10">
        <f>('Stock Prices'!O29-'Stock Prices'!N29)/'Stock Prices'!N29</f>
        <v>0.73560910307898264</v>
      </c>
    </row>
    <row r="29" spans="1:14" x14ac:dyDescent="0.3">
      <c r="A29" s="8" t="s">
        <v>93</v>
      </c>
      <c r="B29" s="8" t="s">
        <v>94</v>
      </c>
      <c r="C29" s="8" t="s">
        <v>46</v>
      </c>
      <c r="D29" s="8" t="s">
        <v>43</v>
      </c>
      <c r="E29" s="10">
        <f>('Stock Prices'!F30-'Stock Prices'!E30)/'Stock Prices'!E30</f>
        <v>0.3131462333825703</v>
      </c>
      <c r="F29" s="10">
        <f>('Stock Prices'!G30-'Stock Prices'!F30)/'Stock Prices'!F30</f>
        <v>-0.12710911136107994</v>
      </c>
      <c r="G29" s="10">
        <f>('Stock Prices'!H30-'Stock Prices'!G30)/'Stock Prices'!G30</f>
        <v>0.21907216494845375</v>
      </c>
      <c r="H29" s="10">
        <f>('Stock Prices'!I30-'Stock Prices'!H30)/'Stock Prices'!H30</f>
        <v>-0.21987315010570832</v>
      </c>
      <c r="I29" s="10">
        <f>('Stock Prices'!J30-'Stock Prices'!I30)/'Stock Prices'!I30</f>
        <v>0.3292682926829269</v>
      </c>
      <c r="J29" s="10">
        <f>('Stock Prices'!K30-'Stock Prices'!J30)/'Stock Prices'!J30</f>
        <v>-0.23139653414882777</v>
      </c>
      <c r="K29" s="10">
        <f>('Stock Prices'!L30-'Stock Prices'!K30)/'Stock Prices'!K30</f>
        <v>0.34084880636604764</v>
      </c>
      <c r="L29" s="10">
        <f>('Stock Prices'!M30-'Stock Prices'!L30)/'Stock Prices'!L30</f>
        <v>-0.11177052423343216</v>
      </c>
      <c r="M29" s="10">
        <f>('Stock Prices'!N30-'Stock Prices'!M30)/'Stock Prices'!M30</f>
        <v>0.24832962138084635</v>
      </c>
      <c r="N29" s="10">
        <f>('Stock Prices'!O30-'Stock Prices'!N30)/'Stock Prices'!N30</f>
        <v>0.2560214094558429</v>
      </c>
    </row>
    <row r="30" spans="1:14" x14ac:dyDescent="0.3">
      <c r="A30" s="8" t="s">
        <v>95</v>
      </c>
      <c r="B30" s="8" t="s">
        <v>96</v>
      </c>
      <c r="C30" s="8" t="s">
        <v>46</v>
      </c>
      <c r="D30" s="8" t="s">
        <v>43</v>
      </c>
      <c r="E30" s="10">
        <f>('Stock Prices'!F31-'Stock Prices'!E31)/'Stock Prices'!E31</f>
        <v>0.16187050359712238</v>
      </c>
      <c r="F30" s="10">
        <f>('Stock Prices'!G31-'Stock Prices'!F31)/'Stock Prices'!F31</f>
        <v>0.27941176470588247</v>
      </c>
      <c r="G30" s="10">
        <f>('Stock Prices'!H31-'Stock Prices'!G31)/'Stock Prices'!G31</f>
        <v>0.57773744706594055</v>
      </c>
      <c r="H30" s="10">
        <f>('Stock Prices'!I31-'Stock Prices'!H31)/'Stock Prices'!H31</f>
        <v>0.10927914110429454</v>
      </c>
      <c r="I30" s="10">
        <f>('Stock Prices'!J31-'Stock Prices'!I31)/'Stock Prices'!I31</f>
        <v>0.38506740407881096</v>
      </c>
      <c r="J30" s="10">
        <f>('Stock Prices'!K31-'Stock Prices'!J31)/'Stock Prices'!J31</f>
        <v>0.25131020713750934</v>
      </c>
      <c r="K30" s="10">
        <f>('Stock Prices'!L31-'Stock Prices'!K31)/'Stock Prices'!K31</f>
        <v>0.27682489030713991</v>
      </c>
      <c r="L30" s="10">
        <f>('Stock Prices'!M31-'Stock Prices'!L31)/'Stock Prices'!L31</f>
        <v>-0.22680412371134015</v>
      </c>
      <c r="M30" s="10">
        <f>('Stock Prices'!N31-'Stock Prices'!M31)/'Stock Prices'!M31</f>
        <v>0.12525252525252531</v>
      </c>
      <c r="N30" s="10">
        <f>('Stock Prices'!O31-'Stock Prices'!N31)/'Stock Prices'!N31</f>
        <v>-8.4739676840215536E-2</v>
      </c>
    </row>
    <row r="31" spans="1:14" x14ac:dyDescent="0.3">
      <c r="A31" s="8" t="s">
        <v>97</v>
      </c>
      <c r="B31" s="8" t="s">
        <v>98</v>
      </c>
      <c r="C31" s="8" t="s">
        <v>46</v>
      </c>
      <c r="D31" s="8" t="s">
        <v>43</v>
      </c>
      <c r="E31" s="10"/>
      <c r="F31" s="10"/>
      <c r="G31" s="10"/>
      <c r="H31" s="10"/>
      <c r="I31" s="10"/>
      <c r="J31" s="10">
        <f>('Stock Prices'!K32-'Stock Prices'!J32)/'Stock Prices'!J32</f>
        <v>0.31987075928917602</v>
      </c>
      <c r="K31" s="10">
        <f>('Stock Prices'!L32-'Stock Prices'!K32)/'Stock Prices'!K32</f>
        <v>-0.14381884944920439</v>
      </c>
      <c r="L31" s="10">
        <f>('Stock Prices'!M32-'Stock Prices'!L32)/'Stock Prices'!L32</f>
        <v>-0.47348105789849898</v>
      </c>
      <c r="M31" s="10">
        <f>('Stock Prices'!N32-'Stock Prices'!M32)/'Stock Prices'!M32</f>
        <v>5.9733912571274077E-3</v>
      </c>
      <c r="N31" s="10">
        <f>('Stock Prices'!O32-'Stock Prices'!N32)/'Stock Prices'!N32</f>
        <v>-0.27665317139001344</v>
      </c>
    </row>
    <row r="32" spans="1:14" x14ac:dyDescent="0.3">
      <c r="A32" s="8" t="s">
        <v>99</v>
      </c>
      <c r="B32" s="8" t="s">
        <v>100</v>
      </c>
      <c r="C32" s="8" t="s">
        <v>46</v>
      </c>
      <c r="D32" s="8" t="s">
        <v>43</v>
      </c>
      <c r="E32" s="10"/>
      <c r="F32" s="10"/>
      <c r="G32" s="10"/>
      <c r="H32" s="10">
        <f>('Stock Prices'!I33-'Stock Prices'!H33)/'Stock Prices'!H33</f>
        <v>-0.2262068965517241</v>
      </c>
      <c r="I32" s="10">
        <f>('Stock Prices'!J33-'Stock Prices'!I33)/'Stock Prices'!I33</f>
        <v>-8.3778966131907412E-2</v>
      </c>
      <c r="J32" s="10">
        <f>('Stock Prices'!K33-'Stock Prices'!J33)/'Stock Prices'!J33</f>
        <v>-0.13813229571984437</v>
      </c>
      <c r="K32" s="10">
        <f>('Stock Prices'!L33-'Stock Prices'!K33)/'Stock Prices'!K33</f>
        <v>0.37923250564334104</v>
      </c>
      <c r="L32" s="10">
        <f>('Stock Prices'!M33-'Stock Prices'!L33)/'Stock Prices'!L33</f>
        <v>-0.34533551554828151</v>
      </c>
      <c r="M32" s="10">
        <f>('Stock Prices'!N33-'Stock Prices'!M33)/'Stock Prices'!M33</f>
        <v>0.23249999999999993</v>
      </c>
      <c r="N32" s="10">
        <f>('Stock Prices'!O33-'Stock Prices'!N33)/'Stock Prices'!N33</f>
        <v>0.10953346855983774</v>
      </c>
    </row>
    <row r="33" spans="1:14" x14ac:dyDescent="0.3">
      <c r="A33" s="8" t="s">
        <v>101</v>
      </c>
      <c r="B33" s="8" t="s">
        <v>102</v>
      </c>
      <c r="C33" s="8" t="s">
        <v>46</v>
      </c>
      <c r="D33" s="8" t="s">
        <v>43</v>
      </c>
      <c r="E33" s="10"/>
      <c r="F33" s="10">
        <f>('Stock Prices'!G34-'Stock Prices'!F34)/'Stock Prices'!F34</f>
        <v>-0.11126760563380282</v>
      </c>
      <c r="G33" s="10">
        <f>('Stock Prices'!H34-'Stock Prices'!G34)/'Stock Prices'!G34</f>
        <v>-4.7543581616480762E-3</v>
      </c>
      <c r="H33" s="10">
        <f>('Stock Prices'!I34-'Stock Prices'!H34)/'Stock Prices'!H34</f>
        <v>0.11146496815286627</v>
      </c>
      <c r="I33" s="10">
        <f>('Stock Prices'!J34-'Stock Prices'!I34)/'Stock Prices'!I34</f>
        <v>0.44985673352435512</v>
      </c>
      <c r="J33" s="10">
        <f>('Stock Prices'!K34-'Stock Prices'!J34)/'Stock Prices'!J34</f>
        <v>-0.17786561264822126</v>
      </c>
      <c r="K33" s="10">
        <f>('Stock Prices'!L34-'Stock Prices'!K34)/'Stock Prices'!K34</f>
        <v>0.38701923076923062</v>
      </c>
      <c r="L33" s="10">
        <f>('Stock Prices'!M34-'Stock Prices'!L34)/'Stock Prices'!L34</f>
        <v>-0.20883882149046781</v>
      </c>
      <c r="M33" s="10">
        <f>('Stock Prices'!N34-'Stock Prices'!M34)/'Stock Prices'!M34</f>
        <v>0.125958378970427</v>
      </c>
      <c r="N33" s="10">
        <f>('Stock Prices'!O34-'Stock Prices'!N34)/'Stock Prices'!N34</f>
        <v>0.32490272373540857</v>
      </c>
    </row>
    <row r="34" spans="1:14" x14ac:dyDescent="0.3">
      <c r="A34" s="8" t="s">
        <v>103</v>
      </c>
      <c r="B34" s="8" t="s">
        <v>104</v>
      </c>
      <c r="C34" s="8" t="s">
        <v>46</v>
      </c>
      <c r="D34" s="8" t="s">
        <v>43</v>
      </c>
      <c r="E34" s="10">
        <f>('Stock Prices'!F35-'Stock Prices'!E35)/'Stock Prices'!E35</f>
        <v>0.33720136518771326</v>
      </c>
      <c r="F34" s="10">
        <f>('Stock Prices'!G35-'Stock Prices'!F35)/'Stock Prices'!F35</f>
        <v>0.20418580908626852</v>
      </c>
      <c r="G34" s="10">
        <f>('Stock Prices'!H35-'Stock Prices'!G35)/'Stock Prices'!G35</f>
        <v>0.1144552776600254</v>
      </c>
      <c r="H34" s="10">
        <f>('Stock Prices'!I35-'Stock Prices'!H35)/'Stock Prices'!H35</f>
        <v>-0.35831114492202354</v>
      </c>
      <c r="I34" s="10">
        <f>('Stock Prices'!J35-'Stock Prices'!I35)/'Stock Prices'!I35</f>
        <v>0.27385892116182559</v>
      </c>
      <c r="J34" s="10">
        <f>('Stock Prices'!K35-'Stock Prices'!J35)/'Stock Prices'!J35</f>
        <v>0.35318752908329459</v>
      </c>
      <c r="K34" s="10">
        <f>('Stock Prices'!L35-'Stock Prices'!K35)/'Stock Prices'!K35</f>
        <v>0.13858321870701518</v>
      </c>
      <c r="L34" s="10">
        <f>('Stock Prices'!M35-'Stock Prices'!L35)/'Stock Prices'!L35</f>
        <v>4.6813651464814171E-2</v>
      </c>
      <c r="M34" s="10">
        <f>('Stock Prices'!N35-'Stock Prices'!M35)/'Stock Prices'!M35</f>
        <v>0.18782458165031754</v>
      </c>
      <c r="N34" s="10">
        <f>('Stock Prices'!O35-'Stock Prices'!N35)/'Stock Prices'!N35</f>
        <v>0.49769249453485531</v>
      </c>
    </row>
    <row r="35" spans="1:14" x14ac:dyDescent="0.3">
      <c r="A35" s="8" t="s">
        <v>105</v>
      </c>
      <c r="B35" s="8" t="s">
        <v>106</v>
      </c>
      <c r="C35" s="8" t="s">
        <v>46</v>
      </c>
      <c r="D35" s="8" t="s">
        <v>43</v>
      </c>
      <c r="E35" s="10">
        <f>('Stock Prices'!F36-'Stock Prices'!E36)/'Stock Prices'!E36</f>
        <v>-0.14548736462093856</v>
      </c>
      <c r="F35" s="10">
        <f>('Stock Prices'!G36-'Stock Prices'!F36)/'Stock Prices'!F36</f>
        <v>-0.4326151246303338</v>
      </c>
      <c r="G35" s="10">
        <f>('Stock Prices'!H36-'Stock Prices'!G36)/'Stock Prices'!G36</f>
        <v>-0.28890543559195825</v>
      </c>
      <c r="H35" s="10">
        <f>('Stock Prices'!I36-'Stock Prices'!H36)/'Stock Prices'!H36</f>
        <v>-0.14136125654450277</v>
      </c>
      <c r="I35" s="10">
        <f>('Stock Prices'!J36-'Stock Prices'!I36)/'Stock Prices'!I36</f>
        <v>0.33292682926829276</v>
      </c>
      <c r="J35" s="10">
        <f>('Stock Prices'!K36-'Stock Prices'!J36)/'Stock Prices'!J36</f>
        <v>-0.49405306495882889</v>
      </c>
      <c r="K35" s="10">
        <f>('Stock Prices'!L36-'Stock Prices'!K36)/'Stock Prices'!K36</f>
        <v>-0.16274864376130205</v>
      </c>
      <c r="L35" s="41">
        <f>('Stock Prices'!M36-'Stock Prices'!L36)/'Stock Prices'!L36</f>
        <v>-0.75593952483801297</v>
      </c>
      <c r="M35" s="10">
        <f>('Stock Prices'!N36-'Stock Prices'!M36)/'Stock Prices'!M36</f>
        <v>0.30088495575221247</v>
      </c>
      <c r="N35" s="10">
        <f>('Stock Prices'!O36-'Stock Prices'!N36)/'Stock Prices'!N36</f>
        <v>0.70748299319727881</v>
      </c>
    </row>
    <row r="36" spans="1:14" x14ac:dyDescent="0.3">
      <c r="A36" s="8" t="s">
        <v>107</v>
      </c>
      <c r="B36" s="8" t="s">
        <v>108</v>
      </c>
      <c r="C36" s="8" t="s">
        <v>46</v>
      </c>
      <c r="D36" s="8" t="s">
        <v>43</v>
      </c>
      <c r="E36" s="10">
        <f>('Stock Prices'!F37-'Stock Prices'!E37)/'Stock Prices'!E37</f>
        <v>0.17732558139534879</v>
      </c>
      <c r="F36" s="10">
        <f>('Stock Prices'!G37-'Stock Prices'!F37)/'Stock Prices'!F37</f>
        <v>-3.4567901234567822E-2</v>
      </c>
      <c r="G36" s="10">
        <f>('Stock Prices'!H37-'Stock Prices'!G37)/'Stock Prices'!G37</f>
        <v>4.3478260869565195E-2</v>
      </c>
      <c r="H36" s="10">
        <f>('Stock Prices'!I37-'Stock Prices'!H37)/'Stock Prices'!H37</f>
        <v>-6.3725490196078483E-2</v>
      </c>
      <c r="I36" s="10">
        <f>('Stock Prices'!J37-'Stock Prices'!I37)/'Stock Prices'!I37</f>
        <v>0.2277486910994766</v>
      </c>
      <c r="J36" s="10">
        <f>('Stock Prices'!K37-'Stock Prices'!J37)/'Stock Prices'!J37</f>
        <v>-1.9189765458422332E-2</v>
      </c>
      <c r="K36" s="10">
        <f>('Stock Prices'!L37-'Stock Prices'!K37)/'Stock Prices'!K37</f>
        <v>0.1521739130434783</v>
      </c>
      <c r="L36" s="10">
        <f>('Stock Prices'!M37-'Stock Prices'!L37)/'Stock Prices'!L37</f>
        <v>-0.14528301886792444</v>
      </c>
      <c r="M36" s="10">
        <f>('Stock Prices'!N37-'Stock Prices'!M37)/'Stock Prices'!M37</f>
        <v>2.8697571743929336E-2</v>
      </c>
      <c r="N36" s="10">
        <f>('Stock Prices'!O37-'Stock Prices'!N37)/'Stock Prices'!N37</f>
        <v>-8.1545064377682372E-2</v>
      </c>
    </row>
    <row r="37" spans="1:14" x14ac:dyDescent="0.3">
      <c r="A37" s="8" t="s">
        <v>109</v>
      </c>
      <c r="B37" s="8" t="s">
        <v>110</v>
      </c>
      <c r="C37" s="8" t="s">
        <v>46</v>
      </c>
      <c r="D37" s="8" t="s">
        <v>43</v>
      </c>
      <c r="E37" s="10">
        <f>('Stock Prices'!F38-'Stock Prices'!E38)/'Stock Prices'!E38</f>
        <v>0.34603174603174613</v>
      </c>
      <c r="F37" s="10">
        <f>('Stock Prices'!G38-'Stock Prices'!F38)/'Stock Prices'!F38</f>
        <v>2.1226415094339587E-2</v>
      </c>
      <c r="G37" s="10">
        <f>('Stock Prices'!H38-'Stock Prices'!G38)/'Stock Prices'!G38</f>
        <v>0.72170900692840645</v>
      </c>
      <c r="H37" s="10">
        <f>('Stock Prices'!I38-'Stock Prices'!H38)/'Stock Prices'!H38</f>
        <v>-0.14956405097250169</v>
      </c>
      <c r="I37" s="10">
        <f>('Stock Prices'!J38-'Stock Prices'!I38)/'Stock Prices'!I38</f>
        <v>4.0220820189274434E-2</v>
      </c>
      <c r="J37" s="10">
        <f>('Stock Prices'!K38-'Stock Prices'!J38)/'Stock Prices'!J38</f>
        <v>0.11144806671721005</v>
      </c>
      <c r="K37" s="10">
        <f>('Stock Prices'!L38-'Stock Prices'!K38)/'Stock Prices'!K38</f>
        <v>0.13847203274215561</v>
      </c>
      <c r="L37" s="10">
        <f>('Stock Prices'!M38-'Stock Prices'!L38)/'Stock Prices'!L38</f>
        <v>-0.20551228280407438</v>
      </c>
      <c r="M37" s="10">
        <f>('Stock Prices'!N38-'Stock Prices'!M38)/'Stock Prices'!M38</f>
        <v>0.59502262443438902</v>
      </c>
      <c r="N37" s="10">
        <f>('Stock Prices'!O38-'Stock Prices'!N38)/'Stock Prices'!N38</f>
        <v>-0.40472813238770683</v>
      </c>
    </row>
    <row r="38" spans="1:14" x14ac:dyDescent="0.3">
      <c r="A38" s="8" t="s">
        <v>111</v>
      </c>
      <c r="B38" s="8" t="s">
        <v>112</v>
      </c>
      <c r="C38" s="8" t="s">
        <v>46</v>
      </c>
      <c r="D38" s="8" t="s">
        <v>43</v>
      </c>
      <c r="E38" s="10">
        <f>('Stock Prices'!F39-'Stock Prices'!E39)/'Stock Prices'!E39</f>
        <v>1.1290322580645063E-2</v>
      </c>
      <c r="F38" s="10">
        <f>('Stock Prices'!G39-'Stock Prices'!F39)/'Stock Prices'!F39</f>
        <v>0.72248803827751218</v>
      </c>
      <c r="G38" s="10">
        <f>('Stock Prices'!H39-'Stock Prices'!G39)/'Stock Prices'!G39</f>
        <v>0.68518518518518501</v>
      </c>
      <c r="H38" s="10">
        <f>('Stock Prices'!I39-'Stock Prices'!H39)/'Stock Prices'!H39</f>
        <v>-0.32802197802197797</v>
      </c>
      <c r="I38" s="10">
        <f>('Stock Prices'!J39-'Stock Prices'!I39)/'Stock Prices'!I39</f>
        <v>0.95993458708094836</v>
      </c>
      <c r="J38" s="10">
        <f>('Stock Prices'!K39-'Stock Prices'!J39)/'Stock Prices'!J39</f>
        <v>0.27450980392156871</v>
      </c>
      <c r="K38" s="10">
        <f>('Stock Prices'!L39-'Stock Prices'!K39)/'Stock Prices'!K39</f>
        <v>0.43240589198035995</v>
      </c>
      <c r="L38" s="10">
        <f>('Stock Prices'!M39-'Stock Prices'!L39)/'Stock Prices'!L39</f>
        <v>-0.2456581352833638</v>
      </c>
      <c r="M38" s="10">
        <f>('Stock Prices'!N39-'Stock Prices'!M39)/'Stock Prices'!M39</f>
        <v>0.36958497425022729</v>
      </c>
      <c r="N38" s="10">
        <f>('Stock Prices'!O39-'Stock Prices'!N39)/'Stock Prices'!N39</f>
        <v>-0.46892280468922803</v>
      </c>
    </row>
    <row r="39" spans="1:14" x14ac:dyDescent="0.3">
      <c r="A39" s="8" t="s">
        <v>113</v>
      </c>
      <c r="B39" s="8" t="s">
        <v>114</v>
      </c>
      <c r="C39" s="8" t="s">
        <v>46</v>
      </c>
      <c r="D39" s="8" t="s">
        <v>43</v>
      </c>
      <c r="E39" s="10">
        <f>('Stock Prices'!F40-'Stock Prices'!E40)/'Stock Prices'!E40</f>
        <v>-0.12199036918138052</v>
      </c>
      <c r="F39" s="10">
        <f>('Stock Prices'!G40-'Stock Prices'!F40)/'Stock Prices'!F40</f>
        <v>0.55118829981718465</v>
      </c>
      <c r="G39" s="10">
        <f>('Stock Prices'!H40-'Stock Prices'!G40)/'Stock Prices'!G40</f>
        <v>-0.22451384796700052</v>
      </c>
      <c r="H39" s="10">
        <f>('Stock Prices'!I40-'Stock Prices'!H40)/'Stock Prices'!H40</f>
        <v>-0.28267477203647423</v>
      </c>
      <c r="I39" s="10">
        <f>('Stock Prices'!J40-'Stock Prices'!I40)/'Stock Prices'!I40</f>
        <v>6.4618644067796743E-2</v>
      </c>
      <c r="J39" s="10">
        <f>('Stock Prices'!K40-'Stock Prices'!J40)/'Stock Prices'!J40</f>
        <v>-0.3412935323383085</v>
      </c>
      <c r="K39" s="10">
        <f>('Stock Prices'!L40-'Stock Prices'!K40)/'Stock Prices'!K40</f>
        <v>0.39123867069486418</v>
      </c>
      <c r="L39" s="10">
        <f>('Stock Prices'!M40-'Stock Prices'!L40)/'Stock Prices'!L40</f>
        <v>0.76872964169381086</v>
      </c>
      <c r="M39" s="10">
        <f>('Stock Prices'!N40-'Stock Prices'!M40)/'Stock Prices'!M40</f>
        <v>-3.3149171270718182E-2</v>
      </c>
      <c r="N39" s="10">
        <f>('Stock Prices'!O40-'Stock Prices'!N40)/'Stock Prices'!N40</f>
        <v>0.14730158730158732</v>
      </c>
    </row>
    <row r="40" spans="1:14" x14ac:dyDescent="0.3">
      <c r="A40" s="8" t="s">
        <v>115</v>
      </c>
      <c r="B40" s="8" t="s">
        <v>116</v>
      </c>
      <c r="C40" s="8" t="s">
        <v>46</v>
      </c>
      <c r="D40" s="8" t="s">
        <v>43</v>
      </c>
      <c r="E40" s="10">
        <f>('Stock Prices'!F41-'Stock Prices'!E41)/'Stock Prices'!E41</f>
        <v>0.26595744680851063</v>
      </c>
      <c r="F40" s="10">
        <f>('Stock Prices'!G41-'Stock Prices'!F41)/'Stock Prices'!F41</f>
        <v>-8.6134453781512632E-2</v>
      </c>
      <c r="G40" s="10">
        <f>('Stock Prices'!H41-'Stock Prices'!G41)/'Stock Prices'!G41</f>
        <v>0.11264367816091959</v>
      </c>
      <c r="H40" s="10">
        <f>('Stock Prices'!I41-'Stock Prices'!H41)/'Stock Prices'!H41</f>
        <v>2.2727272727272794E-2</v>
      </c>
      <c r="I40" s="10">
        <f>('Stock Prices'!J41-'Stock Prices'!I41)/'Stock Prices'!I41</f>
        <v>0.20202020202020202</v>
      </c>
      <c r="J40" s="10">
        <f>('Stock Prices'!K41-'Stock Prices'!J41)/'Stock Prices'!J41</f>
        <v>5.0420168067226857E-2</v>
      </c>
      <c r="K40" s="10">
        <f>('Stock Prices'!L41-'Stock Prices'!K41)/'Stock Prices'!K41</f>
        <v>0.13760000000000006</v>
      </c>
      <c r="L40" s="10">
        <f>('Stock Prices'!M41-'Stock Prices'!L41)/'Stock Prices'!L41</f>
        <v>-2.9535864978902947E-2</v>
      </c>
      <c r="M40" s="10">
        <f>('Stock Prices'!N41-'Stock Prices'!M41)/'Stock Prices'!M41</f>
        <v>9.4202898550724556E-2</v>
      </c>
      <c r="N40" s="10">
        <f>('Stock Prices'!O41-'Stock Prices'!N41)/'Stock Prices'!N41</f>
        <v>9.2715231788079843E-3</v>
      </c>
    </row>
    <row r="41" spans="1:14" x14ac:dyDescent="0.3">
      <c r="A41" s="8" t="s">
        <v>117</v>
      </c>
      <c r="B41" s="8" t="s">
        <v>118</v>
      </c>
      <c r="C41" s="8" t="s">
        <v>46</v>
      </c>
      <c r="D41" s="8" t="s">
        <v>43</v>
      </c>
      <c r="E41" s="10">
        <f>('Stock Prices'!F42-'Stock Prices'!E42)/'Stock Prices'!E42</f>
        <v>-3.741114852225963E-2</v>
      </c>
      <c r="F41" s="10">
        <f>('Stock Prices'!G42-'Stock Prices'!F42)/'Stock Prices'!F42</f>
        <v>-0.46754760979401483</v>
      </c>
      <c r="G41" s="10">
        <f>('Stock Prices'!H42-'Stock Prices'!G42)/'Stock Prices'!G42</f>
        <v>0.13722627737226284</v>
      </c>
      <c r="H41" s="10">
        <f>('Stock Prices'!I42-'Stock Prices'!H42)/'Stock Prices'!H42</f>
        <v>-0.36521181001283692</v>
      </c>
      <c r="I41" s="10">
        <f>('Stock Prices'!J42-'Stock Prices'!I42)/'Stock Prices'!I42</f>
        <v>0.31648129423660248</v>
      </c>
      <c r="J41" s="10">
        <f>('Stock Prices'!K42-'Stock Prices'!J42)/'Stock Prices'!J42</f>
        <v>-0.41244239631336399</v>
      </c>
      <c r="K41" s="10">
        <f>('Stock Prices'!L42-'Stock Prices'!K42)/'Stock Prices'!K42</f>
        <v>0.76993464052287564</v>
      </c>
      <c r="L41" s="10">
        <f>('Stock Prices'!M42-'Stock Prices'!L42)/'Stock Prices'!L42</f>
        <v>-1.9940915805022125E-2</v>
      </c>
      <c r="M41" s="10">
        <f>('Stock Prices'!N42-'Stock Prices'!M42)/'Stock Prices'!M42</f>
        <v>0.85154483798040703</v>
      </c>
      <c r="N41" s="10">
        <f>('Stock Prices'!O42-'Stock Prices'!N42)/'Stock Prices'!N42</f>
        <v>0.56817256817256823</v>
      </c>
    </row>
    <row r="42" spans="1:14" x14ac:dyDescent="0.3">
      <c r="A42" s="8" t="s">
        <v>119</v>
      </c>
      <c r="B42" s="8" t="s">
        <v>120</v>
      </c>
      <c r="C42" s="8" t="s">
        <v>46</v>
      </c>
      <c r="D42" s="8" t="s">
        <v>43</v>
      </c>
      <c r="E42" s="10">
        <f>('Stock Prices'!F43-'Stock Prices'!E43)/'Stock Prices'!E43</f>
        <v>0.15631067961165052</v>
      </c>
      <c r="F42" s="10">
        <f>('Stock Prices'!G43-'Stock Prices'!F43)/'Stock Prices'!F43</f>
        <v>-0.28127623845507982</v>
      </c>
      <c r="G42" s="10">
        <f>('Stock Prices'!H43-'Stock Prices'!G43)/'Stock Prices'!G43</f>
        <v>0.14193925233644866</v>
      </c>
      <c r="H42" s="10">
        <f>('Stock Prices'!I43-'Stock Prices'!H43)/'Stock Prices'!H43</f>
        <v>-0.10025575447570341</v>
      </c>
      <c r="I42" s="10">
        <f>('Stock Prices'!J43-'Stock Prices'!I43)/'Stock Prices'!I43</f>
        <v>0.45309835133598647</v>
      </c>
      <c r="J42" s="10">
        <f>('Stock Prices'!K43-'Stock Prices'!J43)/'Stock Prices'!J43</f>
        <v>-0.23513302034428793</v>
      </c>
      <c r="K42" s="10">
        <f>('Stock Prices'!L43-'Stock Prices'!K43)/'Stock Prices'!K43</f>
        <v>0.22225063938618919</v>
      </c>
      <c r="L42" s="10">
        <f>('Stock Prices'!M43-'Stock Prices'!L43)/'Stock Prices'!L43</f>
        <v>-4.6243984097091462E-2</v>
      </c>
      <c r="M42" s="10">
        <f>('Stock Prices'!N43-'Stock Prices'!M43)/'Stock Prices'!M43</f>
        <v>0.13207547169811329</v>
      </c>
      <c r="N42" s="10">
        <f>('Stock Prices'!O43-'Stock Prices'!N43)/'Stock Prices'!N43</f>
        <v>1.3313953488372092</v>
      </c>
    </row>
    <row r="43" spans="1:14" x14ac:dyDescent="0.3">
      <c r="A43" s="6" t="s">
        <v>121</v>
      </c>
      <c r="B43" s="7"/>
      <c r="C43" s="7"/>
      <c r="D43" s="7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3">
      <c r="A44" s="8" t="s">
        <v>122</v>
      </c>
      <c r="B44" s="8" t="s">
        <v>123</v>
      </c>
      <c r="C44" s="8" t="s">
        <v>124</v>
      </c>
      <c r="D44" s="8" t="s">
        <v>121</v>
      </c>
      <c r="E44" s="10">
        <f>('Stock Prices'!F45-'Stock Prices'!E45)/'Stock Prices'!E45</f>
        <v>0.56039569593891014</v>
      </c>
      <c r="F44" s="10">
        <f>('Stock Prices'!G45-'Stock Prices'!F45)/'Stock Prices'!F45</f>
        <v>0.67000333667000345</v>
      </c>
      <c r="G44" s="10">
        <f>('Stock Prices'!H45-'Stock Prices'!G45)/'Stock Prices'!G45</f>
        <v>0.11322011322011322</v>
      </c>
      <c r="H44" s="10">
        <f>('Stock Prices'!I45-'Stock Prices'!H45)/'Stock Prices'!H45</f>
        <v>9.12354172898594E-2</v>
      </c>
      <c r="I44" s="10">
        <f>('Stock Prices'!J45-'Stock Prices'!I45)/'Stock Prices'!I45</f>
        <v>0.58881578947368418</v>
      </c>
      <c r="J44" s="10">
        <f>('Stock Prices'!K45-'Stock Prices'!J45)/'Stock Prices'!J45</f>
        <v>2.7950310559006094E-2</v>
      </c>
      <c r="K44" s="10">
        <f>('Stock Prices'!L45-'Stock Prices'!K45)/'Stock Prices'!K45</f>
        <v>-0.15005035246727086</v>
      </c>
      <c r="L44" s="10">
        <f>('Stock Prices'!M45-'Stock Prices'!L45)/'Stock Prices'!L45</f>
        <v>-0.49660347551342815</v>
      </c>
      <c r="M44" s="10">
        <f>('Stock Prices'!N45-'Stock Prices'!M45)/'Stock Prices'!M45</f>
        <v>0.4448454417072023</v>
      </c>
      <c r="N44" s="10">
        <f>('Stock Prices'!O45-'Stock Prices'!N45)/'Stock Prices'!N45</f>
        <v>0.28583840139009564</v>
      </c>
    </row>
    <row r="45" spans="1:14" x14ac:dyDescent="0.3">
      <c r="A45" s="8" t="s">
        <v>125</v>
      </c>
      <c r="B45" s="8" t="s">
        <v>126</v>
      </c>
      <c r="C45" s="8" t="s">
        <v>124</v>
      </c>
      <c r="D45" s="8" t="s">
        <v>121</v>
      </c>
      <c r="E45" s="10">
        <f>('Stock Prices'!F46-'Stock Prices'!E46)/'Stock Prices'!E46</f>
        <v>0.52676399026763987</v>
      </c>
      <c r="F45" s="10">
        <f>('Stock Prices'!G46-'Stock Prices'!F46)/'Stock Prices'!F46</f>
        <v>-6.3745019920317361E-4</v>
      </c>
      <c r="G45" s="10">
        <f>('Stock Prices'!H46-'Stock Prices'!G46)/'Stock Prices'!G46</f>
        <v>0.33423696380162654</v>
      </c>
      <c r="H45" s="10">
        <f>('Stock Prices'!I46-'Stock Prices'!H46)/'Stock Prices'!H46</f>
        <v>-1.912274411377992E-3</v>
      </c>
      <c r="I45" s="10">
        <f>('Stock Prices'!J46-'Stock Prices'!I46)/'Stock Prices'!I46</f>
        <v>0.58232547000359214</v>
      </c>
      <c r="J45" s="10">
        <f>('Stock Prices'!K46-'Stock Prices'!J46)/'Stock Prices'!J46</f>
        <v>-0.30891478734675343</v>
      </c>
      <c r="K45" s="10">
        <f>('Stock Prices'!L46-'Stock Prices'!K46)/'Stock Prices'!K46</f>
        <v>0.2233902759526939</v>
      </c>
      <c r="L45" s="10">
        <f>('Stock Prices'!M46-'Stock Prices'!L46)/'Stock Prices'!L46</f>
        <v>-3.0433225921948034E-3</v>
      </c>
      <c r="M45" s="10">
        <f>('Stock Prices'!N46-'Stock Prices'!M46)/'Stock Prices'!M46</f>
        <v>0.25767642305620414</v>
      </c>
      <c r="N45" s="10">
        <f>('Stock Prices'!O46-'Stock Prices'!N46)/'Stock Prices'!N46</f>
        <v>0.10265562535693885</v>
      </c>
    </row>
    <row r="46" spans="1:14" x14ac:dyDescent="0.3">
      <c r="A46" s="8" t="s">
        <v>127</v>
      </c>
      <c r="B46" s="8" t="s">
        <v>128</v>
      </c>
      <c r="C46" s="8" t="s">
        <v>124</v>
      </c>
      <c r="D46" s="8" t="s">
        <v>121</v>
      </c>
      <c r="E46" s="10">
        <f>('Stock Prices'!F47-'Stock Prices'!E47)/'Stock Prices'!E47</f>
        <v>0.19075354932653818</v>
      </c>
      <c r="F46" s="10">
        <f>('Stock Prices'!G47-'Stock Prices'!F47)/'Stock Prices'!F47</f>
        <v>-4.004891470498325E-2</v>
      </c>
      <c r="G46" s="10">
        <f>('Stock Prices'!H47-'Stock Prices'!G47)/'Stock Prices'!G47</f>
        <v>0.21974522292993631</v>
      </c>
      <c r="H46" s="10">
        <f>('Stock Prices'!I47-'Stock Prices'!H47)/'Stock Prices'!H47</f>
        <v>-8.5430809399477878E-2</v>
      </c>
      <c r="I46" s="10">
        <f>('Stock Prices'!J47-'Stock Prices'!I47)/'Stock Prices'!I47</f>
        <v>0.2470023980815349</v>
      </c>
      <c r="J46" s="10">
        <f>('Stock Prices'!K47-'Stock Prices'!J47)/'Stock Prices'!J47</f>
        <v>-8.1043956043956117E-2</v>
      </c>
      <c r="K46" s="10">
        <f>('Stock Prices'!L47-'Stock Prices'!K47)/'Stock Prices'!K47</f>
        <v>3.4628799202790321E-2</v>
      </c>
      <c r="L46" s="10">
        <f>('Stock Prices'!M47-'Stock Prices'!L47)/'Stock Prices'!L47</f>
        <v>-3.2506621719239105E-2</v>
      </c>
      <c r="M46" s="10">
        <f>('Stock Prices'!N47-'Stock Prices'!M47)/'Stock Prices'!M47</f>
        <v>0.20433051269288194</v>
      </c>
      <c r="N46" s="10">
        <f>('Stock Prices'!O47-'Stock Prices'!N47)/'Stock Prices'!N47</f>
        <v>0.22297995453606112</v>
      </c>
    </row>
    <row r="47" spans="1:14" x14ac:dyDescent="0.3">
      <c r="A47" s="8" t="s">
        <v>129</v>
      </c>
      <c r="B47" s="8" t="s">
        <v>130</v>
      </c>
      <c r="C47" s="8" t="s">
        <v>124</v>
      </c>
      <c r="D47" s="8" t="s">
        <v>121</v>
      </c>
      <c r="E47" s="10">
        <f>('Stock Prices'!F48-'Stock Prices'!E48)/'Stock Prices'!E48</f>
        <v>1.2020606754436227E-2</v>
      </c>
      <c r="F47" s="10">
        <f>('Stock Prices'!G48-'Stock Prices'!F48)/'Stock Prices'!F48</f>
        <v>0.24872737556561092</v>
      </c>
      <c r="G47" s="10">
        <f>('Stock Prices'!H48-'Stock Prices'!G48)/'Stock Prices'!G48</f>
        <v>3.8840448420337362E-2</v>
      </c>
      <c r="H47" s="10">
        <f>('Stock Prices'!I48-'Stock Prices'!H48)/'Stock Prices'!H48</f>
        <v>-0.34161761499890997</v>
      </c>
      <c r="I47" s="10">
        <f>('Stock Prices'!J48-'Stock Prices'!I48)/'Stock Prices'!I48</f>
        <v>0.11506622516556285</v>
      </c>
      <c r="J47" s="10">
        <f>('Stock Prices'!K48-'Stock Prices'!J48)/'Stock Prices'!J48</f>
        <v>-3.9049740163325845E-2</v>
      </c>
      <c r="K47" s="10">
        <f>('Stock Prices'!L48-'Stock Prices'!K48)/'Stock Prices'!K48</f>
        <v>-4.5426452410383157E-2</v>
      </c>
      <c r="L47" s="10">
        <f>('Stock Prices'!M48-'Stock Prices'!L48)/'Stock Prices'!L48</f>
        <v>-0.24910974425380383</v>
      </c>
      <c r="M47" s="10">
        <f>('Stock Prices'!N48-'Stock Prices'!M48)/'Stock Prices'!M48</f>
        <v>5.1519724078465196E-2</v>
      </c>
      <c r="N47" s="10">
        <f>('Stock Prices'!O48-'Stock Prices'!N48)/'Stock Prices'!N48</f>
        <v>-0.12956129561295612</v>
      </c>
    </row>
    <row r="48" spans="1:14" x14ac:dyDescent="0.3">
      <c r="A48" s="8" t="s">
        <v>131</v>
      </c>
      <c r="B48" s="8" t="s">
        <v>132</v>
      </c>
      <c r="C48" s="8" t="s">
        <v>124</v>
      </c>
      <c r="D48" s="8" t="s">
        <v>121</v>
      </c>
      <c r="E48" s="10">
        <f>('Stock Prices'!F49-'Stock Prices'!E49)/'Stock Prices'!E49</f>
        <v>8.7557090341985069E-2</v>
      </c>
      <c r="F48" s="10">
        <f>('Stock Prices'!G49-'Stock Prices'!F49)/'Stock Prices'!F49</f>
        <v>-9.0955648878418477E-2</v>
      </c>
      <c r="G48" s="10">
        <f>('Stock Prices'!H49-'Stock Prices'!G49)/'Stock Prices'!G49</f>
        <v>-2.1633802816901429E-2</v>
      </c>
      <c r="H48" s="10">
        <f>('Stock Prices'!I49-'Stock Prices'!H49)/'Stock Prices'!H49</f>
        <v>-0.18576528849475982</v>
      </c>
      <c r="I48" s="10">
        <f>('Stock Prices'!J49-'Stock Prices'!I49)/'Stock Prices'!I49</f>
        <v>3.4512022630834478E-2</v>
      </c>
      <c r="J48" s="10">
        <f>('Stock Prices'!K49-'Stock Prices'!J49)/'Stock Prices'!J49</f>
        <v>-1.2441892261416414E-2</v>
      </c>
      <c r="K48" s="10">
        <f>('Stock Prices'!L49-'Stock Prices'!K49)/'Stock Prices'!K49</f>
        <v>0.22511421846878016</v>
      </c>
      <c r="L48" s="10">
        <f>('Stock Prices'!M49-'Stock Prices'!L49)/'Stock Prices'!L49</f>
        <v>-5.77466380381964E-2</v>
      </c>
      <c r="M48" s="10">
        <f>('Stock Prices'!N49-'Stock Prices'!M49)/'Stock Prices'!M49</f>
        <v>0.20868313744303199</v>
      </c>
      <c r="N48" s="10">
        <f>('Stock Prices'!O49-'Stock Prices'!N49)/'Stock Prices'!N49</f>
        <v>-0.21631276046834685</v>
      </c>
    </row>
    <row r="49" spans="1:14" x14ac:dyDescent="0.3">
      <c r="A49" s="8" t="s">
        <v>133</v>
      </c>
      <c r="B49" s="8" t="s">
        <v>134</v>
      </c>
      <c r="C49" s="8" t="s">
        <v>124</v>
      </c>
      <c r="D49" s="8" t="s">
        <v>121</v>
      </c>
      <c r="E49" s="10">
        <f>('Stock Prices'!F50-'Stock Prices'!E50)/'Stock Prices'!E50</f>
        <v>2.4820143884892003E-2</v>
      </c>
      <c r="F49" s="10">
        <f>('Stock Prices'!G50-'Stock Prices'!F50)/'Stock Prices'!F50</f>
        <v>-0.14399789399789398</v>
      </c>
      <c r="G49" s="10">
        <f>('Stock Prices'!H50-'Stock Prices'!G50)/'Stock Prices'!G50</f>
        <v>4.9205535622757535E-2</v>
      </c>
      <c r="H49" s="10">
        <f>('Stock Prices'!I50-'Stock Prices'!H50)/'Stock Prices'!H50</f>
        <v>-0.40830483634587195</v>
      </c>
      <c r="I49" s="10">
        <f>('Stock Prices'!J50-'Stock Prices'!I50)/'Stock Prices'!I50</f>
        <v>0.20227873183619549</v>
      </c>
      <c r="J49" s="10">
        <f>('Stock Prices'!K50-'Stock Prices'!J50)/'Stock Prices'!J50</f>
        <v>-0.338689740420272</v>
      </c>
      <c r="K49" s="10">
        <f>('Stock Prices'!L50-'Stock Prices'!K50)/'Stock Prices'!K50</f>
        <v>-2.3883696780893013E-2</v>
      </c>
      <c r="L49" s="10">
        <f>('Stock Prices'!M50-'Stock Prices'!L50)/'Stock Prices'!L50</f>
        <v>2.8297872340425495E-2</v>
      </c>
      <c r="M49" s="10">
        <f>('Stock Prices'!N50-'Stock Prices'!M50)/'Stock Prices'!M50</f>
        <v>-0.30415890751086272</v>
      </c>
      <c r="N49" s="10">
        <f>('Stock Prices'!O50-'Stock Prices'!N50)/'Stock Prices'!N50</f>
        <v>-0.42581028843294688</v>
      </c>
    </row>
    <row r="50" spans="1:14" x14ac:dyDescent="0.3">
      <c r="A50" s="8" t="s">
        <v>135</v>
      </c>
      <c r="B50" s="8" t="s">
        <v>136</v>
      </c>
      <c r="C50" s="8" t="s">
        <v>124</v>
      </c>
      <c r="D50" s="8" t="s">
        <v>121</v>
      </c>
      <c r="E50" s="10">
        <f>('Stock Prices'!F51-'Stock Prices'!E51)/'Stock Prices'!E51</f>
        <v>0.24829427469593585</v>
      </c>
      <c r="F50" s="10">
        <f>('Stock Prices'!G51-'Stock Prices'!F51)/'Stock Prices'!F51</f>
        <v>-4.2300380228136911E-2</v>
      </c>
      <c r="G50" s="10">
        <f>('Stock Prices'!H51-'Stock Prices'!G51)/'Stock Prices'!G51</f>
        <v>0.21464019851116642</v>
      </c>
      <c r="H50" s="10">
        <f>('Stock Prices'!I51-'Stock Prices'!H51)/'Stock Prices'!H51</f>
        <v>-6.884576098059253E-2</v>
      </c>
      <c r="I50" s="10">
        <f>('Stock Prices'!J51-'Stock Prices'!I51)/'Stock Prices'!I51</f>
        <v>0.16992101799034676</v>
      </c>
      <c r="J50" s="10">
        <f>('Stock Prices'!K51-'Stock Prices'!J51)/'Stock Prices'!J51</f>
        <v>-0.11448663853727152</v>
      </c>
      <c r="K50" s="10">
        <f>('Stock Prices'!L51-'Stock Prices'!K51)/'Stock Prices'!K51</f>
        <v>-4.2990258365099558E-2</v>
      </c>
      <c r="L50" s="10">
        <f>('Stock Prices'!M51-'Stock Prices'!L51)/'Stock Prices'!L51</f>
        <v>0.18610312015932737</v>
      </c>
      <c r="M50" s="10">
        <f>('Stock Prices'!N51-'Stock Prices'!M51)/'Stock Prices'!M51</f>
        <v>0.26585820895522372</v>
      </c>
      <c r="N50" s="10">
        <f>('Stock Prices'!O51-'Stock Prices'!N51)/'Stock Prices'!N51</f>
        <v>-8.621960206337502E-2</v>
      </c>
    </row>
    <row r="51" spans="1:14" x14ac:dyDescent="0.3">
      <c r="A51" s="8" t="s">
        <v>137</v>
      </c>
      <c r="B51" s="8" t="s">
        <v>138</v>
      </c>
      <c r="C51" s="8" t="s">
        <v>124</v>
      </c>
      <c r="D51" s="8" t="s">
        <v>121</v>
      </c>
      <c r="E51" s="10">
        <f>('Stock Prices'!F52-'Stock Prices'!E52)/'Stock Prices'!E52</f>
        <v>3.8056331971619076E-2</v>
      </c>
      <c r="F51" s="10">
        <f>('Stock Prices'!G52-'Stock Prices'!F52)/'Stock Prices'!F52</f>
        <v>9.362054681027332E-2</v>
      </c>
      <c r="G51" s="10">
        <f>('Stock Prices'!H52-'Stock Prices'!G52)/'Stock Prices'!G52</f>
        <v>-5.6818181818170518E-4</v>
      </c>
      <c r="H51" s="10">
        <f>('Stock Prices'!I52-'Stock Prices'!H52)/'Stock Prices'!H52</f>
        <v>-0.28557892742088309</v>
      </c>
      <c r="I51" s="10">
        <f>('Stock Prices'!J52-'Stock Prices'!I52)/'Stock Prices'!I52</f>
        <v>0.28594164456233406</v>
      </c>
      <c r="J51" s="10">
        <f>('Stock Prices'!K52-'Stock Prices'!J52)/'Stock Prices'!J52</f>
        <v>0.30651815181518166</v>
      </c>
      <c r="K51" s="10">
        <f>('Stock Prices'!L52-'Stock Prices'!K52)/'Stock Prices'!K52</f>
        <v>0.25639406378275964</v>
      </c>
      <c r="L51" s="10">
        <f>('Stock Prices'!M52-'Stock Prices'!L52)/'Stock Prices'!L52</f>
        <v>-0.24956019100276453</v>
      </c>
      <c r="M51" s="10">
        <f>('Stock Prices'!N52-'Stock Prices'!M52)/'Stock Prices'!M52</f>
        <v>0.39350301406563964</v>
      </c>
      <c r="N51" s="10">
        <f>('Stock Prices'!O52-'Stock Prices'!N52)/'Stock Prices'!N52</f>
        <v>-0.30449411199230952</v>
      </c>
    </row>
    <row r="52" spans="1:14" x14ac:dyDescent="0.3">
      <c r="A52" s="8" t="s">
        <v>139</v>
      </c>
      <c r="B52" s="8" t="s">
        <v>140</v>
      </c>
      <c r="C52" s="8" t="s">
        <v>124</v>
      </c>
      <c r="D52" s="8" t="s">
        <v>121</v>
      </c>
      <c r="E52" s="10">
        <f>('Stock Prices'!F53-'Stock Prices'!E53)/'Stock Prices'!E53</f>
        <v>-0.12841530054644809</v>
      </c>
      <c r="F52" s="10">
        <f>('Stock Prices'!G53-'Stock Prices'!F53)/'Stock Prices'!F53</f>
        <v>-0.24242424242424246</v>
      </c>
      <c r="G52" s="10">
        <f>('Stock Prices'!H53-'Stock Prices'!G53)/'Stock Prices'!G53</f>
        <v>0.72551724137931028</v>
      </c>
      <c r="H52" s="10">
        <f>('Stock Prices'!I53-'Stock Prices'!H53)/'Stock Prices'!H53</f>
        <v>-0.5379696243005595</v>
      </c>
      <c r="I52" s="10">
        <f>('Stock Prices'!J53-'Stock Prices'!I53)/'Stock Prices'!I53</f>
        <v>-4.498269896193783E-2</v>
      </c>
      <c r="J52" s="10">
        <f>('Stock Prices'!K53-'Stock Prices'!J53)/'Stock Prices'!J53</f>
        <v>-4.5289855072463775E-2</v>
      </c>
      <c r="K52" s="10">
        <f>('Stock Prices'!L53-'Stock Prices'!K53)/'Stock Prices'!K53</f>
        <v>0.26944971537001916</v>
      </c>
      <c r="L52" s="10">
        <f>('Stock Prices'!M53-'Stock Prices'!L53)/'Stock Prices'!L53</f>
        <v>0.32137518684603877</v>
      </c>
      <c r="M52" s="10">
        <f>('Stock Prices'!N53-'Stock Prices'!M53)/'Stock Prices'!M53</f>
        <v>0.21719457013574661</v>
      </c>
      <c r="N52" s="10">
        <f>('Stock Prices'!O53-'Stock Prices'!N53)/'Stock Prices'!N53</f>
        <v>0.46189591078066922</v>
      </c>
    </row>
    <row r="53" spans="1:14" x14ac:dyDescent="0.3">
      <c r="A53" s="8" t="s">
        <v>141</v>
      </c>
      <c r="B53" s="8" t="s">
        <v>142</v>
      </c>
      <c r="C53" s="8" t="s">
        <v>124</v>
      </c>
      <c r="D53" s="8" t="s">
        <v>121</v>
      </c>
      <c r="E53" s="10">
        <f>('Stock Prices'!F54-'Stock Prices'!E54)/'Stock Prices'!E54</f>
        <v>0.27916212926782386</v>
      </c>
      <c r="F53" s="10">
        <f>('Stock Prices'!G54-'Stock Prices'!F54)/'Stock Prices'!F54</f>
        <v>-0.18193199459161694</v>
      </c>
      <c r="G53" s="10">
        <f>('Stock Prices'!H54-'Stock Prices'!G54)/'Stock Prices'!G54</f>
        <v>0.22508570029382946</v>
      </c>
      <c r="H53" s="10">
        <f>('Stock Prices'!I54-'Stock Prices'!H54)/'Stock Prices'!H54</f>
        <v>-0.46344875830710042</v>
      </c>
      <c r="I53" s="10">
        <f>('Stock Prices'!J54-'Stock Prices'!I54)/'Stock Prices'!I54</f>
        <v>-4.5446079344384389E-2</v>
      </c>
      <c r="J53" s="10">
        <f>('Stock Prices'!K54-'Stock Prices'!J54)/'Stock Prices'!J54</f>
        <v>5.1902439024390179E-2</v>
      </c>
      <c r="K53" s="10">
        <f>('Stock Prices'!L54-'Stock Prices'!K54)/'Stock Prices'!K54</f>
        <v>-0.13643108885178998</v>
      </c>
      <c r="L53" s="10">
        <f>('Stock Prices'!M54-'Stock Prices'!L54)/'Stock Prices'!L54</f>
        <v>-0.39877564171410163</v>
      </c>
      <c r="M53" s="10">
        <f>('Stock Prices'!N54-'Stock Prices'!M54)/'Stock Prices'!M54</f>
        <v>0.37406216505894974</v>
      </c>
      <c r="N53" s="10">
        <f>('Stock Prices'!O54-'Stock Prices'!N54)/'Stock Prices'!N54</f>
        <v>-0.15730629225169018</v>
      </c>
    </row>
    <row r="54" spans="1:14" x14ac:dyDescent="0.3">
      <c r="A54" s="8" t="s">
        <v>143</v>
      </c>
      <c r="B54" s="8" t="s">
        <v>144</v>
      </c>
      <c r="C54" s="8" t="s">
        <v>124</v>
      </c>
      <c r="D54" s="8" t="s">
        <v>121</v>
      </c>
      <c r="E54" s="10"/>
      <c r="F54" s="10">
        <f>('Stock Prices'!G55-'Stock Prices'!F55)/'Stock Prices'!F55</f>
        <v>0.9381504608980078</v>
      </c>
      <c r="G54" s="10">
        <f>('Stock Prices'!H55-'Stock Prices'!G55)/'Stock Prices'!G55</f>
        <v>0.31988339981589431</v>
      </c>
      <c r="H54" s="10">
        <f>('Stock Prices'!I55-'Stock Prices'!H55)/'Stock Prices'!H55</f>
        <v>-0.49808206439614089</v>
      </c>
      <c r="I54" s="10">
        <f>('Stock Prices'!J55-'Stock Prices'!I55)/'Stock Prices'!I55</f>
        <v>-4.0064844835571954E-2</v>
      </c>
      <c r="J54" s="10">
        <f>('Stock Prices'!K55-'Stock Prices'!J55)/'Stock Prices'!J55</f>
        <v>0.21785283474065123</v>
      </c>
      <c r="K54" s="10">
        <f>('Stock Prices'!L55-'Stock Prices'!K55)/'Stock Prices'!K55</f>
        <v>7.3692551505546877E-2</v>
      </c>
      <c r="L54" s="10">
        <f>('Stock Prices'!M55-'Stock Prices'!L55)/'Stock Prices'!L55</f>
        <v>-0.32564575645756466</v>
      </c>
      <c r="M54" s="10">
        <f>('Stock Prices'!N55-'Stock Prices'!M55)/'Stock Prices'!M55</f>
        <v>0.44131326949384414</v>
      </c>
      <c r="N54" s="10">
        <f>('Stock Prices'!O55-'Stock Prices'!N55)/'Stock Prices'!N55</f>
        <v>6.6059225512528422E-2</v>
      </c>
    </row>
    <row r="55" spans="1:14" x14ac:dyDescent="0.3">
      <c r="A55" s="8" t="s">
        <v>145</v>
      </c>
      <c r="B55" s="8" t="s">
        <v>146</v>
      </c>
      <c r="C55" s="8" t="s">
        <v>124</v>
      </c>
      <c r="D55" s="8" t="s">
        <v>121</v>
      </c>
      <c r="E55" s="10"/>
      <c r="F55" s="10"/>
      <c r="G55" s="10"/>
      <c r="H55" s="10"/>
      <c r="I55" s="10"/>
      <c r="J55" s="10"/>
      <c r="K55" s="10"/>
      <c r="L55" s="10">
        <f>('Stock Prices'!M56-'Stock Prices'!L56)/'Stock Prices'!L56</f>
        <v>-0.1034375967791886</v>
      </c>
      <c r="M55" s="10">
        <f>('Stock Prices'!N56-'Stock Prices'!M56)/'Stock Prices'!M56</f>
        <v>0.17512953367875661</v>
      </c>
      <c r="N55" s="10">
        <f>('Stock Prices'!O56-'Stock Prices'!N56)/'Stock Prices'!N56</f>
        <v>8.3186360964138686E-2</v>
      </c>
    </row>
    <row r="56" spans="1:14" x14ac:dyDescent="0.3">
      <c r="A56" s="8" t="s">
        <v>147</v>
      </c>
      <c r="B56" s="8" t="s">
        <v>148</v>
      </c>
      <c r="C56" s="8" t="s">
        <v>124</v>
      </c>
      <c r="D56" s="8" t="s">
        <v>121</v>
      </c>
      <c r="E56" s="10">
        <f>('Stock Prices'!F57-'Stock Prices'!E57)/'Stock Prices'!E57</f>
        <v>-9.8162259076647149E-2</v>
      </c>
      <c r="F56" s="10">
        <f>('Stock Prices'!G57-'Stock Prices'!F57)/'Stock Prices'!F57</f>
        <v>-0.23409542743538769</v>
      </c>
      <c r="G56" s="10">
        <f>('Stock Prices'!H57-'Stock Prices'!G57)/'Stock Prices'!G57</f>
        <v>3.0499675535366685E-2</v>
      </c>
      <c r="H56" s="10">
        <f>('Stock Prices'!I57-'Stock Prices'!H57)/'Stock Prices'!H57</f>
        <v>-0.56108312342569266</v>
      </c>
      <c r="I56" s="10">
        <f>('Stock Prices'!J57-'Stock Prices'!I57)/'Stock Prices'!I57</f>
        <v>-7.1736011477761584E-3</v>
      </c>
      <c r="J56" s="10">
        <f>('Stock Prices'!K57-'Stock Prices'!J57)/'Stock Prices'!J57</f>
        <v>0.29335260115606926</v>
      </c>
      <c r="K56" s="10">
        <f>('Stock Prices'!L57-'Stock Prices'!K57)/'Stock Prices'!K57</f>
        <v>0.23128491620111738</v>
      </c>
      <c r="L56" s="10">
        <f>('Stock Prices'!M57-'Stock Prices'!L57)/'Stock Prices'!L57</f>
        <v>-3.9019963702359321E-2</v>
      </c>
      <c r="M56" s="10">
        <f>('Stock Prices'!N57-'Stock Prices'!M57)/'Stock Prices'!M57</f>
        <v>0.16713881019830024</v>
      </c>
      <c r="N56" s="10">
        <f>('Stock Prices'!O57-'Stock Prices'!N57)/'Stock Prices'!N57</f>
        <v>0.34627831715210367</v>
      </c>
    </row>
    <row r="57" spans="1:14" x14ac:dyDescent="0.3">
      <c r="A57" s="8" t="s">
        <v>149</v>
      </c>
      <c r="B57" s="8" t="s">
        <v>150</v>
      </c>
      <c r="C57" s="8" t="s">
        <v>124</v>
      </c>
      <c r="D57" s="8" t="s">
        <v>121</v>
      </c>
      <c r="E57" s="10">
        <f>('Stock Prices'!F58-'Stock Prices'!E58)/'Stock Prices'!E58</f>
        <v>0.37436676798378932</v>
      </c>
      <c r="F57" s="10">
        <f>('Stock Prices'!G58-'Stock Prices'!F58)/'Stock Prices'!F58</f>
        <v>-6.106401277798254E-2</v>
      </c>
      <c r="G57" s="10">
        <f>('Stock Prices'!H58-'Stock Prices'!G58)/'Stock Prices'!G58</f>
        <v>0.26668411410625487</v>
      </c>
      <c r="H57" s="10">
        <f>('Stock Prices'!I58-'Stock Prices'!H58)/'Stock Prices'!H58</f>
        <v>8.4194214876033124E-2</v>
      </c>
      <c r="I57" s="10">
        <f>('Stock Prices'!J58-'Stock Prices'!I58)/'Stock Prices'!I58</f>
        <v>0.33539780848022871</v>
      </c>
      <c r="J57" s="10">
        <f>('Stock Prices'!K58-'Stock Prices'!J58)/'Stock Prices'!J58</f>
        <v>-6.4216910453086381E-3</v>
      </c>
      <c r="K57" s="10">
        <f>('Stock Prices'!L58-'Stock Prices'!K58)/'Stock Prices'!K58</f>
        <v>5.6373429084380568E-2</v>
      </c>
      <c r="L57" s="10">
        <f>('Stock Prices'!M58-'Stock Prices'!L58)/'Stock Prices'!L58</f>
        <v>9.721278042148207E-2</v>
      </c>
      <c r="M57" s="10">
        <f>('Stock Prices'!N58-'Stock Prices'!M58)/'Stock Prices'!M58</f>
        <v>0.1555142503097893</v>
      </c>
      <c r="N57" s="10">
        <f>('Stock Prices'!O58-'Stock Prices'!N58)/'Stock Prices'!N58</f>
        <v>0.19249329758713141</v>
      </c>
    </row>
    <row r="58" spans="1:14" x14ac:dyDescent="0.3">
      <c r="A58" s="8" t="s">
        <v>151</v>
      </c>
      <c r="B58" s="8" t="s">
        <v>152</v>
      </c>
      <c r="C58" s="8" t="s">
        <v>124</v>
      </c>
      <c r="D58" s="8" t="s">
        <v>121</v>
      </c>
      <c r="E58" s="10">
        <f>('Stock Prices'!F59-'Stock Prices'!E59)/'Stock Prices'!E59</f>
        <v>-4.0295748613678364E-2</v>
      </c>
      <c r="F58" s="10">
        <f>('Stock Prices'!G59-'Stock Prices'!F59)/'Stock Prices'!F59</f>
        <v>0.20338983050847448</v>
      </c>
      <c r="G58" s="10">
        <f>('Stock Prices'!H59-'Stock Prices'!G59)/'Stock Prices'!G59</f>
        <v>0.27240717029449429</v>
      </c>
      <c r="H58" s="10">
        <f>('Stock Prices'!I59-'Stock Prices'!H59)/'Stock Prices'!H59</f>
        <v>-0.39849056603773586</v>
      </c>
      <c r="I58" s="10">
        <f>('Stock Prices'!J59-'Stock Prices'!I59)/'Stock Prices'!I59</f>
        <v>0.42241739857800076</v>
      </c>
      <c r="J58" s="10">
        <f>('Stock Prices'!K59-'Stock Prices'!J59)/'Stock Prices'!J59</f>
        <v>0.19082622758012358</v>
      </c>
      <c r="K58" s="10">
        <f>('Stock Prices'!L59-'Stock Prices'!K59)/'Stock Prices'!K59</f>
        <v>0.39604938271604934</v>
      </c>
      <c r="L58" s="10">
        <f>('Stock Prices'!M59-'Stock Prices'!L59)/'Stock Prices'!L59</f>
        <v>-0.37778563848602759</v>
      </c>
      <c r="M58" s="10">
        <f>('Stock Prices'!N59-'Stock Prices'!M59)/'Stock Prices'!M59</f>
        <v>0.27515633882888002</v>
      </c>
      <c r="N58" s="10">
        <f>('Stock Prices'!O59-'Stock Prices'!N59)/'Stock Prices'!N59</f>
        <v>-0.24253232278198847</v>
      </c>
    </row>
    <row r="59" spans="1:14" x14ac:dyDescent="0.3">
      <c r="A59" s="8" t="s">
        <v>153</v>
      </c>
      <c r="B59" s="8" t="s">
        <v>154</v>
      </c>
      <c r="C59" s="8" t="s">
        <v>124</v>
      </c>
      <c r="D59" s="8" t="s">
        <v>121</v>
      </c>
      <c r="E59" s="10"/>
      <c r="F59" s="10"/>
      <c r="G59" s="10"/>
      <c r="H59" s="10"/>
      <c r="I59" s="10"/>
      <c r="J59" s="10"/>
      <c r="K59" s="10"/>
      <c r="L59" s="10"/>
      <c r="M59" s="10">
        <f>('Stock Prices'!N60-'Stock Prices'!M60)/'Stock Prices'!M60</f>
        <v>-0.15672823218997356</v>
      </c>
      <c r="N59" s="10">
        <f>('Stock Prices'!O60-'Stock Prices'!N60)/'Stock Prices'!N60</f>
        <v>-0.26883604505632042</v>
      </c>
    </row>
    <row r="60" spans="1:14" x14ac:dyDescent="0.3">
      <c r="A60" s="8" t="s">
        <v>155</v>
      </c>
      <c r="B60" s="8" t="s">
        <v>156</v>
      </c>
      <c r="C60" s="8" t="s">
        <v>124</v>
      </c>
      <c r="D60" s="8" t="s">
        <v>121</v>
      </c>
      <c r="E60" s="10">
        <f>('Stock Prices'!F61-'Stock Prices'!E61)/'Stock Prices'!E61</f>
        <v>0.25962264150943404</v>
      </c>
      <c r="F60" s="10">
        <f>('Stock Prices'!G61-'Stock Prices'!F61)/'Stock Prices'!F61</f>
        <v>-1.9772318753744866E-2</v>
      </c>
      <c r="G60" s="10">
        <f>('Stock Prices'!H61-'Stock Prices'!G61)/'Stock Prices'!G61</f>
        <v>-9.5354523227383789E-2</v>
      </c>
      <c r="H60" s="10">
        <f>('Stock Prices'!I61-'Stock Prices'!H61)/'Stock Prices'!H61</f>
        <v>1.3513513513513226E-3</v>
      </c>
      <c r="I60" s="10">
        <f>('Stock Prices'!J61-'Stock Prices'!I61)/'Stock Prices'!I61</f>
        <v>-1.6869095816464237E-2</v>
      </c>
      <c r="J60" s="10">
        <f>('Stock Prices'!K61-'Stock Prices'!J61)/'Stock Prices'!J61</f>
        <v>2.6767330130404981E-2</v>
      </c>
      <c r="K60" s="10">
        <f>('Stock Prices'!L61-'Stock Prices'!K61)/'Stock Prices'!K61</f>
        <v>8.9572192513368967E-2</v>
      </c>
      <c r="L60" s="10">
        <f>('Stock Prices'!M61-'Stock Prices'!L61)/'Stock Prices'!L61</f>
        <v>0.14355828220858893</v>
      </c>
      <c r="M60" s="10">
        <f>('Stock Prices'!N61-'Stock Prices'!M61)/'Stock Prices'!M61</f>
        <v>0.16684549356223172</v>
      </c>
      <c r="N60" s="10">
        <f>('Stock Prices'!O61-'Stock Prices'!N61)/'Stock Prices'!N61</f>
        <v>0.32827586206896553</v>
      </c>
    </row>
    <row r="61" spans="1:14" x14ac:dyDescent="0.3">
      <c r="A61" s="8" t="s">
        <v>157</v>
      </c>
      <c r="B61" s="8" t="s">
        <v>158</v>
      </c>
      <c r="C61" s="8" t="s">
        <v>124</v>
      </c>
      <c r="D61" s="8" t="s">
        <v>121</v>
      </c>
      <c r="E61" s="10">
        <f>('Stock Prices'!F62-'Stock Prices'!E62)/'Stock Prices'!E62</f>
        <v>-0.37135922330097088</v>
      </c>
      <c r="F61" s="10">
        <f>('Stock Prices'!G62-'Stock Prices'!F62)/'Stock Prices'!F62</f>
        <v>-0.13770913770913765</v>
      </c>
      <c r="G61" s="10">
        <f>('Stock Prices'!H62-'Stock Prices'!G62)/'Stock Prices'!G62</f>
        <v>0.35223880597014928</v>
      </c>
      <c r="H61" s="10">
        <f>('Stock Prices'!I62-'Stock Prices'!H62)/'Stock Prices'!H62</f>
        <v>-4.7461368653421598E-2</v>
      </c>
      <c r="I61" s="10">
        <f>('Stock Prices'!J62-'Stock Prices'!I62)/'Stock Prices'!I62</f>
        <v>0.10312862108922349</v>
      </c>
      <c r="J61" s="10">
        <f>('Stock Prices'!K62-'Stock Prices'!J62)/'Stock Prices'!J62</f>
        <v>-4.8319327731092342E-2</v>
      </c>
      <c r="K61" s="10">
        <f>('Stock Prices'!L62-'Stock Prices'!K62)/'Stock Prices'!K62</f>
        <v>0.34547461368653409</v>
      </c>
      <c r="L61" s="10">
        <f>('Stock Prices'!M62-'Stock Prices'!L62)/'Stock Prices'!L62</f>
        <v>-0.23461853978671038</v>
      </c>
      <c r="M61" s="10">
        <f>('Stock Prices'!N62-'Stock Prices'!M62)/'Stock Prices'!M62</f>
        <v>0.30225080385852093</v>
      </c>
      <c r="N61" s="10">
        <f>('Stock Prices'!O62-'Stock Prices'!N62)/'Stock Prices'!N62</f>
        <v>-7.4074074074074098E-2</v>
      </c>
    </row>
    <row r="62" spans="1:14" x14ac:dyDescent="0.3">
      <c r="A62" s="8" t="s">
        <v>159</v>
      </c>
      <c r="B62" s="8" t="s">
        <v>160</v>
      </c>
      <c r="C62" s="8" t="s">
        <v>124</v>
      </c>
      <c r="D62" s="8" t="s">
        <v>121</v>
      </c>
      <c r="E62" s="10">
        <f>('Stock Prices'!F63-'Stock Prices'!E63)/'Stock Prices'!E63</f>
        <v>0.52849860982391117</v>
      </c>
      <c r="F62" s="10">
        <f>('Stock Prices'!G63-'Stock Prices'!F63)/'Stock Prices'!F63</f>
        <v>0.12566318023343953</v>
      </c>
      <c r="G62" s="10">
        <f>('Stock Prices'!H63-'Stock Prices'!G63)/'Stock Prices'!G63</f>
        <v>-0.12375437651494764</v>
      </c>
      <c r="H62" s="10">
        <f>('Stock Prices'!I63-'Stock Prices'!H63)/'Stock Prices'!H63</f>
        <v>-0.3487013984939295</v>
      </c>
      <c r="I62" s="10">
        <f>('Stock Prices'!J63-'Stock Prices'!I63)/'Stock Prices'!I63</f>
        <v>0.18404907975460114</v>
      </c>
      <c r="J62" s="10">
        <f>('Stock Prices'!K63-'Stock Prices'!J63)/'Stock Prices'!J63</f>
        <v>-0.24591470705460336</v>
      </c>
      <c r="K62" s="10">
        <f>('Stock Prices'!L63-'Stock Prices'!K63)/'Stock Prices'!K63</f>
        <v>-6.4482029598308788E-2</v>
      </c>
      <c r="L62" s="10">
        <f>('Stock Prices'!M63-'Stock Prices'!L63)/'Stock Prices'!L63</f>
        <v>-0.25847457627118642</v>
      </c>
      <c r="M62" s="10">
        <f>('Stock Prices'!N63-'Stock Prices'!M63)/'Stock Prices'!M63</f>
        <v>6.9333333333333344E-2</v>
      </c>
      <c r="N62" s="10">
        <f>('Stock Prices'!O63-'Stock Prices'!N63)/'Stock Prices'!N63</f>
        <v>0.19486996793729958</v>
      </c>
    </row>
    <row r="63" spans="1:14" x14ac:dyDescent="0.3">
      <c r="A63" s="8" t="s">
        <v>161</v>
      </c>
      <c r="B63" s="8" t="s">
        <v>162</v>
      </c>
      <c r="C63" s="8" t="s">
        <v>124</v>
      </c>
      <c r="D63" s="8" t="s">
        <v>121</v>
      </c>
      <c r="E63" s="10">
        <f>('Stock Prices'!F64-'Stock Prices'!E64)/'Stock Prices'!E64</f>
        <v>0.40923035881019082</v>
      </c>
      <c r="F63" s="10">
        <f>('Stock Prices'!G64-'Stock Prices'!F64)/'Stock Prices'!F64</f>
        <v>-2.6975863700899275E-2</v>
      </c>
      <c r="G63" s="10">
        <f>('Stock Prices'!H64-'Stock Prices'!G64)/'Stock Prices'!G64</f>
        <v>2.0428015564202418E-2</v>
      </c>
      <c r="H63" s="10">
        <f>('Stock Prices'!I64-'Stock Prices'!H64)/'Stock Prices'!H64</f>
        <v>0.12202097235462342</v>
      </c>
      <c r="I63" s="10">
        <f>('Stock Prices'!J64-'Stock Prices'!I64)/'Stock Prices'!I64</f>
        <v>0.46389124893797795</v>
      </c>
      <c r="J63" s="10">
        <f>('Stock Prices'!K64-'Stock Prices'!J64)/'Stock Prices'!J64</f>
        <v>-0.24376088218224026</v>
      </c>
      <c r="K63" s="10">
        <f>('Stock Prices'!L64-'Stock Prices'!K64)/'Stock Prices'!K64</f>
        <v>0.28280890253261698</v>
      </c>
      <c r="L63" s="10">
        <f>('Stock Prices'!M64-'Stock Prices'!L64)/'Stock Prices'!L64</f>
        <v>0.10978163326353571</v>
      </c>
      <c r="M63" s="10">
        <f>('Stock Prices'!N64-'Stock Prices'!M64)/'Stock Prices'!M64</f>
        <v>0.16603773584905668</v>
      </c>
      <c r="N63" s="10">
        <f>('Stock Prices'!O64-'Stock Prices'!N64)/'Stock Prices'!N64</f>
        <v>0.11604253351826165</v>
      </c>
    </row>
    <row r="64" spans="1:14" x14ac:dyDescent="0.3">
      <c r="A64" s="8" t="s">
        <v>163</v>
      </c>
      <c r="B64" s="8" t="s">
        <v>164</v>
      </c>
      <c r="C64" s="8" t="s">
        <v>124</v>
      </c>
      <c r="D64" s="8" t="s">
        <v>121</v>
      </c>
      <c r="E64" s="10">
        <f>('Stock Prices'!F65-'Stock Prices'!E65)/'Stock Prices'!E65</f>
        <v>0.28583574222071079</v>
      </c>
      <c r="F64" s="10">
        <f>('Stock Prices'!G65-'Stock Prices'!F65)/'Stock Prices'!F65</f>
        <v>0.17204443268976449</v>
      </c>
      <c r="G64" s="10">
        <f>('Stock Prices'!H65-'Stock Prices'!G65)/'Stock Prices'!G65</f>
        <v>1.8278235360487474E-2</v>
      </c>
      <c r="H64" s="10">
        <f>('Stock Prices'!I65-'Stock Prices'!H65)/'Stock Prices'!H65</f>
        <v>-0.40853185595567865</v>
      </c>
      <c r="I64" s="10">
        <f>('Stock Prices'!J65-'Stock Prices'!I65)/'Stock Prices'!I65</f>
        <v>0.21693518171599832</v>
      </c>
      <c r="J64" s="10">
        <f>('Stock Prices'!K65-'Stock Prices'!J65)/'Stock Prices'!J65</f>
        <v>-5.7573891625615693E-2</v>
      </c>
      <c r="K64" s="10">
        <f>('Stock Prices'!L65-'Stock Prices'!K65)/'Stock Prices'!K65</f>
        <v>-2.7768703038222733E-2</v>
      </c>
      <c r="L64" s="10">
        <f>('Stock Prices'!M65-'Stock Prices'!L65)/'Stock Prices'!L65</f>
        <v>-0.10483870967741939</v>
      </c>
      <c r="M64" s="10">
        <f>('Stock Prices'!N65-'Stock Prices'!M65)/'Stock Prices'!M65</f>
        <v>0.51914414414414412</v>
      </c>
      <c r="N64" s="10">
        <f>('Stock Prices'!O65-'Stock Prices'!N65)/'Stock Prices'!N65</f>
        <v>0.47393130714109216</v>
      </c>
    </row>
    <row r="65" spans="1:14" x14ac:dyDescent="0.3">
      <c r="A65" s="8" t="s">
        <v>165</v>
      </c>
      <c r="B65" s="8" t="s">
        <v>166</v>
      </c>
      <c r="C65" s="8" t="s">
        <v>124</v>
      </c>
      <c r="D65" s="8" t="s">
        <v>121</v>
      </c>
      <c r="E65" s="10">
        <f>('Stock Prices'!F66-'Stock Prices'!E66)/'Stock Prices'!E66</f>
        <v>0.15410422724222769</v>
      </c>
      <c r="F65" s="10">
        <f>('Stock Prices'!G66-'Stock Prices'!F66)/'Stock Prices'!F66</f>
        <v>9.7383720930232523E-2</v>
      </c>
      <c r="G65" s="10">
        <f>('Stock Prices'!H66-'Stock Prices'!G66)/'Stock Prices'!G66</f>
        <v>-2.5607064017660094E-2</v>
      </c>
      <c r="H65" s="10">
        <f>('Stock Prices'!I66-'Stock Prices'!H66)/'Stock Prices'!H66</f>
        <v>-0.13547802446760299</v>
      </c>
      <c r="I65" s="10">
        <f>('Stock Prices'!J66-'Stock Prices'!I66)/'Stock Prices'!I66</f>
        <v>-3.3542976939203384E-2</v>
      </c>
      <c r="J65" s="10">
        <f>('Stock Prices'!K66-'Stock Prices'!J66)/'Stock Prices'!J66</f>
        <v>1.0845986984815001E-3</v>
      </c>
      <c r="K65" s="10">
        <f>('Stock Prices'!L66-'Stock Prices'!K66)/'Stock Prices'!K66</f>
        <v>-0.22925243770314191</v>
      </c>
      <c r="L65" s="10">
        <f>('Stock Prices'!M66-'Stock Prices'!L66)/'Stock Prices'!L66</f>
        <v>-8.6027551307281486E-2</v>
      </c>
      <c r="M65" s="10">
        <f>('Stock Prices'!N66-'Stock Prices'!M66)/'Stock Prices'!M66</f>
        <v>0.12057828360504466</v>
      </c>
      <c r="N65" s="10">
        <f>('Stock Prices'!O66-'Stock Prices'!N66)/'Stock Prices'!N66</f>
        <v>0.16250343123799071</v>
      </c>
    </row>
    <row r="66" spans="1:14" x14ac:dyDescent="0.3">
      <c r="A66" s="8" t="s">
        <v>167</v>
      </c>
      <c r="B66" s="8" t="s">
        <v>168</v>
      </c>
      <c r="C66" s="8" t="s">
        <v>124</v>
      </c>
      <c r="D66" s="8" t="s">
        <v>121</v>
      </c>
      <c r="E66" s="10">
        <f>('Stock Prices'!F67-'Stock Prices'!E67)/'Stock Prices'!E67</f>
        <v>0.52655367231638417</v>
      </c>
      <c r="F66" s="10">
        <f>('Stock Prices'!G67-'Stock Prices'!F67)/'Stock Prices'!F67</f>
        <v>0.22205773501110301</v>
      </c>
      <c r="G66" s="10">
        <f>('Stock Prices'!H67-'Stock Prices'!G67)/'Stock Prices'!G67</f>
        <v>0.38279830405814635</v>
      </c>
      <c r="H66" s="10">
        <f>('Stock Prices'!I67-'Stock Prices'!H67)/'Stock Prices'!H67</f>
        <v>-0.23959702146298725</v>
      </c>
      <c r="I66" s="10">
        <f>('Stock Prices'!J67-'Stock Prices'!I67)/'Stock Prices'!I67</f>
        <v>0.16993087557603684</v>
      </c>
      <c r="J66" s="10">
        <f>('Stock Prices'!K67-'Stock Prices'!J67)/'Stock Prices'!J67</f>
        <v>0.54554406696208779</v>
      </c>
      <c r="K66" s="10">
        <f>('Stock Prices'!L67-'Stock Prices'!K67)/'Stock Prices'!K67</f>
        <v>0.29850270786874794</v>
      </c>
      <c r="L66" s="10">
        <f>('Stock Prices'!M67-'Stock Prices'!L67)/'Stock Prices'!L67</f>
        <v>-0.30250245338567222</v>
      </c>
      <c r="M66" s="10">
        <f>('Stock Prices'!N67-'Stock Prices'!M67)/'Stock Prices'!M67</f>
        <v>0.3295814280689412</v>
      </c>
      <c r="N66" s="10">
        <f>('Stock Prices'!O67-'Stock Prices'!N67)/'Stock Prices'!N67</f>
        <v>-0.16931216931216928</v>
      </c>
    </row>
    <row r="67" spans="1:14" x14ac:dyDescent="0.3">
      <c r="A67" s="8" t="s">
        <v>169</v>
      </c>
      <c r="B67" s="8" t="s">
        <v>170</v>
      </c>
      <c r="C67" s="8" t="s">
        <v>124</v>
      </c>
      <c r="D67" s="8" t="s">
        <v>121</v>
      </c>
      <c r="E67" s="10">
        <f>('Stock Prices'!F68-'Stock Prices'!E68)/'Stock Prices'!E68</f>
        <v>0.12486901851205028</v>
      </c>
      <c r="F67" s="10">
        <f>('Stock Prices'!G68-'Stock Prices'!F68)/'Stock Prices'!F68</f>
        <v>-8.8495575221238881E-2</v>
      </c>
      <c r="G67" s="10">
        <f>('Stock Prices'!H68-'Stock Prices'!G68)/'Stock Prices'!G68</f>
        <v>1.1923011412025258E-3</v>
      </c>
      <c r="H67" s="10">
        <f>('Stock Prices'!I68-'Stock Prices'!H68)/'Stock Prices'!H68</f>
        <v>-0.35165022116366113</v>
      </c>
      <c r="I67" s="10">
        <f>('Stock Prices'!J68-'Stock Prices'!I68)/'Stock Prices'!I68</f>
        <v>7.557071634741544E-2</v>
      </c>
      <c r="J67" s="10">
        <f>('Stock Prices'!K68-'Stock Prices'!J68)/'Stock Prices'!J68</f>
        <v>0.17052939741400328</v>
      </c>
      <c r="K67" s="10">
        <f>('Stock Prices'!L68-'Stock Prices'!K68)/'Stock Prices'!K68</f>
        <v>0.40871196331804938</v>
      </c>
      <c r="L67" s="10">
        <f>('Stock Prices'!M68-'Stock Prices'!L68)/'Stock Prices'!L68</f>
        <v>-9.1581594910489783E-2</v>
      </c>
      <c r="M67" s="10">
        <f>('Stock Prices'!N68-'Stock Prices'!M68)/'Stock Prices'!M68</f>
        <v>1.8729641693811052E-2</v>
      </c>
      <c r="N67" s="10">
        <f>('Stock Prices'!O68-'Stock Prices'!N68)/'Stock Prices'!N68</f>
        <v>-0.13988808952837731</v>
      </c>
    </row>
    <row r="68" spans="1:14" x14ac:dyDescent="0.3">
      <c r="A68" s="8" t="s">
        <v>171</v>
      </c>
      <c r="B68" s="8" t="s">
        <v>172</v>
      </c>
      <c r="C68" s="8" t="s">
        <v>124</v>
      </c>
      <c r="D68" s="8" t="s">
        <v>121</v>
      </c>
      <c r="E68" s="10">
        <f>('Stock Prices'!F69-'Stock Prices'!E69)/'Stock Prices'!E69</f>
        <v>0.14218311655189991</v>
      </c>
      <c r="F68" s="10">
        <f>('Stock Prices'!G69-'Stock Prices'!F69)/'Stock Prices'!F69</f>
        <v>0.10695545383498954</v>
      </c>
      <c r="G68" s="10">
        <f>('Stock Prices'!H69-'Stock Prices'!G69)/'Stock Prices'!G69</f>
        <v>-9.4805849722642513E-2</v>
      </c>
      <c r="H68" s="10">
        <f>('Stock Prices'!I69-'Stock Prices'!H69)/'Stock Prices'!H69</f>
        <v>2.5626740947075652E-3</v>
      </c>
      <c r="I68" s="10">
        <f>('Stock Prices'!J69-'Stock Prices'!I69)/'Stock Prices'!I69</f>
        <v>0.17081573683040666</v>
      </c>
      <c r="J68" s="10">
        <f>('Stock Prices'!K69-'Stock Prices'!J69)/'Stock Prices'!J69</f>
        <v>0.33222591362126247</v>
      </c>
      <c r="K68" s="10">
        <f>('Stock Prices'!L69-'Stock Prices'!K69)/'Stock Prices'!K69</f>
        <v>0.61738510865692919</v>
      </c>
      <c r="L68" s="10">
        <f>('Stock Prices'!M69-'Stock Prices'!L69)/'Stock Prices'!L69</f>
        <v>-0.20308370044052862</v>
      </c>
      <c r="M68" s="10">
        <f>('Stock Prices'!N69-'Stock Prices'!M69)/'Stock Prices'!M69</f>
        <v>-0.20342730790491989</v>
      </c>
      <c r="N68" s="10">
        <f>('Stock Prices'!O69-'Stock Prices'!N69)/'Stock Prices'!N69</f>
        <v>-2.9146426092990899E-2</v>
      </c>
    </row>
    <row r="69" spans="1:14" x14ac:dyDescent="0.3">
      <c r="A69" s="8" t="s">
        <v>173</v>
      </c>
      <c r="B69" s="8" t="s">
        <v>174</v>
      </c>
      <c r="C69" s="8" t="s">
        <v>124</v>
      </c>
      <c r="D69" s="8" t="s">
        <v>121</v>
      </c>
      <c r="E69" s="10">
        <f>('Stock Prices'!F70-'Stock Prices'!E70)/'Stock Prices'!E70</f>
        <v>0.2486141906873614</v>
      </c>
      <c r="F69" s="10">
        <f>('Stock Prices'!G70-'Stock Prices'!F70)/'Stock Prices'!F70</f>
        <v>0.21864594894561604</v>
      </c>
      <c r="G69" s="10">
        <f>('Stock Prices'!H70-'Stock Prices'!G70)/'Stock Prices'!G70</f>
        <v>0.3606557377049181</v>
      </c>
      <c r="H69" s="10">
        <f>('Stock Prices'!I70-'Stock Prices'!H70)/'Stock Prices'!H70</f>
        <v>6.0240963855421686E-2</v>
      </c>
      <c r="I69" s="10">
        <f>('Stock Prices'!J70-'Stock Prices'!I70)/'Stock Prices'!I70</f>
        <v>0.60732323232323226</v>
      </c>
      <c r="J69" s="10">
        <f>('Stock Prices'!K70-'Stock Prices'!J70)/'Stock Prices'!J70</f>
        <v>-0.16182246661429689</v>
      </c>
      <c r="K69" s="10">
        <f>('Stock Prices'!L70-'Stock Prices'!K70)/'Stock Prices'!K70</f>
        <v>-0.15932521087160262</v>
      </c>
      <c r="L69" s="10">
        <f>('Stock Prices'!M70-'Stock Prices'!L70)/'Stock Prices'!L70</f>
        <v>0.12709030100334437</v>
      </c>
      <c r="M69" s="10">
        <f>('Stock Prices'!N70-'Stock Prices'!M70)/'Stock Prices'!M70</f>
        <v>-3.4371909000989062E-2</v>
      </c>
      <c r="N69" s="10">
        <f>('Stock Prices'!O70-'Stock Prices'!N70)/'Stock Prices'!N70</f>
        <v>0.64916773367477598</v>
      </c>
    </row>
    <row r="70" spans="1:14" x14ac:dyDescent="0.3">
      <c r="A70" s="8" t="s">
        <v>175</v>
      </c>
      <c r="B70" s="8" t="s">
        <v>176</v>
      </c>
      <c r="C70" s="8" t="s">
        <v>124</v>
      </c>
      <c r="D70" s="8" t="s">
        <v>121</v>
      </c>
      <c r="E70" s="10">
        <f>('Stock Prices'!F71-'Stock Prices'!E71)/'Stock Prices'!E71</f>
        <v>0.11342383107088996</v>
      </c>
      <c r="F70" s="10">
        <f>('Stock Prices'!G71-'Stock Prices'!F71)/'Stock Prices'!F71</f>
        <v>-2.6551070170685479E-2</v>
      </c>
      <c r="G70" s="10">
        <f>('Stock Prices'!H71-'Stock Prices'!G71)/'Stock Prices'!G71</f>
        <v>6.1230169774561327E-3</v>
      </c>
      <c r="H70" s="10">
        <f>('Stock Prices'!I71-'Stock Prices'!H71)/'Stock Prices'!H71</f>
        <v>5.4218533886583743E-2</v>
      </c>
      <c r="I70" s="10">
        <f>('Stock Prices'!J71-'Stock Prices'!I71)/'Stock Prices'!I71</f>
        <v>0.38021516662293353</v>
      </c>
      <c r="J70" s="10">
        <f>('Stock Prices'!K71-'Stock Prices'!J71)/'Stock Prices'!J71</f>
        <v>-7.6806083650190066E-2</v>
      </c>
      <c r="K70" s="10">
        <f>('Stock Prices'!L71-'Stock Prices'!K71)/'Stock Prices'!K71</f>
        <v>7.289950576606255E-2</v>
      </c>
      <c r="L70" s="10">
        <f>('Stock Prices'!M71-'Stock Prices'!L71)/'Stock Prices'!L71</f>
        <v>0.16698656429942418</v>
      </c>
      <c r="M70" s="10">
        <f>('Stock Prices'!N71-'Stock Prices'!M71)/'Stock Prices'!M71</f>
        <v>0.2338815789473685</v>
      </c>
      <c r="N70" s="10">
        <f>('Stock Prices'!O71-'Stock Prices'!N71)/'Stock Prices'!N71</f>
        <v>0.29858704345507864</v>
      </c>
    </row>
    <row r="71" spans="1:14" x14ac:dyDescent="0.3">
      <c r="A71" s="8" t="s">
        <v>177</v>
      </c>
      <c r="B71" s="8" t="s">
        <v>178</v>
      </c>
      <c r="C71" s="8" t="s">
        <v>124</v>
      </c>
      <c r="D71" s="8" t="s">
        <v>121</v>
      </c>
      <c r="E71" s="10">
        <f>('Stock Prices'!F72-'Stock Prices'!E72)/'Stock Prices'!E72</f>
        <v>-0.25536033353186421</v>
      </c>
      <c r="F71" s="10">
        <f>('Stock Prices'!G72-'Stock Prices'!F72)/'Stock Prices'!F72</f>
        <v>3.4593081383723336E-2</v>
      </c>
      <c r="G71" s="10">
        <f>('Stock Prices'!H72-'Stock Prices'!G72)/'Stock Prices'!G72</f>
        <v>0.34866640896791645</v>
      </c>
      <c r="H71" s="10">
        <f>('Stock Prices'!I72-'Stock Prices'!H72)/'Stock Prices'!H72</f>
        <v>-0.25995987388936659</v>
      </c>
      <c r="I71" s="10">
        <f>('Stock Prices'!J72-'Stock Prices'!I72)/'Stock Prices'!I72</f>
        <v>0.29047250193648333</v>
      </c>
      <c r="J71" s="10">
        <f>('Stock Prices'!K72-'Stock Prices'!J72)/'Stock Prices'!J72</f>
        <v>-0.15366146458583435</v>
      </c>
      <c r="K71" s="10">
        <f>('Stock Prices'!L72-'Stock Prices'!K72)/'Stock Prices'!K72</f>
        <v>0.47943262411347515</v>
      </c>
      <c r="L71" s="10">
        <f>('Stock Prices'!M72-'Stock Prices'!L72)/'Stock Prices'!L72</f>
        <v>-0.38590604026845632</v>
      </c>
      <c r="M71" s="10">
        <f>('Stock Prices'!N72-'Stock Prices'!M72)/'Stock Prices'!M72</f>
        <v>-9.6018735362997681E-2</v>
      </c>
      <c r="N71" s="10">
        <f>('Stock Prices'!O72-'Stock Prices'!N72)/'Stock Prices'!N72</f>
        <v>-0.21524179620034539</v>
      </c>
    </row>
    <row r="72" spans="1:14" x14ac:dyDescent="0.3">
      <c r="A72" s="8" t="s">
        <v>179</v>
      </c>
      <c r="B72" s="8" t="s">
        <v>180</v>
      </c>
      <c r="C72" s="8" t="s">
        <v>124</v>
      </c>
      <c r="D72" s="8" t="s">
        <v>121</v>
      </c>
      <c r="E72" s="10">
        <f>('Stock Prices'!F73-'Stock Prices'!E73)/'Stock Prices'!E73</f>
        <v>0.29737335834896811</v>
      </c>
      <c r="F72" s="10">
        <f>('Stock Prices'!G73-'Stock Prices'!F73)/'Stock Prices'!F73</f>
        <v>6.2183658712942839E-2</v>
      </c>
      <c r="G72" s="10">
        <f>('Stock Prices'!H73-'Stock Prices'!G73)/'Stock Prices'!G73</f>
        <v>-5.4799183117767172E-2</v>
      </c>
      <c r="H72" s="10">
        <f>('Stock Prices'!I73-'Stock Prices'!H73)/'Stock Prices'!H73</f>
        <v>0.13323730644580481</v>
      </c>
      <c r="I72" s="10">
        <f>('Stock Prices'!J73-'Stock Prices'!I73)/'Stock Prices'!I73</f>
        <v>2.637432475373366E-2</v>
      </c>
      <c r="J72" s="10">
        <f>('Stock Prices'!K73-'Stock Prices'!J73)/'Stock Prices'!J73</f>
        <v>0.39349845201238398</v>
      </c>
      <c r="K72" s="10">
        <f>('Stock Prices'!L73-'Stock Prices'!K73)/'Stock Prices'!K73</f>
        <v>0.15418795823150422</v>
      </c>
      <c r="L72" s="10">
        <f>('Stock Prices'!M73-'Stock Prices'!L73)/'Stock Prices'!L73</f>
        <v>-4.042348411934555E-2</v>
      </c>
      <c r="M72" s="10">
        <f>('Stock Prices'!N73-'Stock Prices'!M73)/'Stock Prices'!M73</f>
        <v>-0.16188565697091273</v>
      </c>
      <c r="N72" s="10">
        <f>('Stock Prices'!O73-'Stock Prices'!N73)/'Stock Prices'!N73</f>
        <v>5.9597893729057008E-2</v>
      </c>
    </row>
    <row r="73" spans="1:14" x14ac:dyDescent="0.3">
      <c r="A73" s="8" t="s">
        <v>181</v>
      </c>
      <c r="B73" s="8" t="s">
        <v>182</v>
      </c>
      <c r="C73" s="8" t="s">
        <v>124</v>
      </c>
      <c r="D73" s="8" t="s">
        <v>121</v>
      </c>
      <c r="E73" s="10">
        <f>('Stock Prices'!F74-'Stock Prices'!E74)/'Stock Prices'!E74</f>
        <v>0.69506479183898517</v>
      </c>
      <c r="F73" s="10">
        <f>('Stock Prices'!G74-'Stock Prices'!F74)/'Stock Prices'!F74</f>
        <v>3.9362394274560862E-2</v>
      </c>
      <c r="G73" s="10">
        <f>('Stock Prices'!H74-'Stock Prices'!G74)/'Stock Prices'!G74</f>
        <v>0.65649452269170572</v>
      </c>
      <c r="H73" s="10">
        <f>('Stock Prices'!I74-'Stock Prices'!H74)/'Stock Prices'!H74</f>
        <v>-0.27104393008974964</v>
      </c>
      <c r="I73" s="10">
        <f>('Stock Prices'!J74-'Stock Prices'!I74)/'Stock Prices'!I74</f>
        <v>0.32711249351995864</v>
      </c>
      <c r="J73" s="10">
        <f>('Stock Prices'!K74-'Stock Prices'!J74)/'Stock Prices'!J74</f>
        <v>-0.15449218750000007</v>
      </c>
      <c r="K73" s="10">
        <f>('Stock Prices'!L74-'Stock Prices'!K74)/'Stock Prices'!K74</f>
        <v>-4.0656040656040608E-2</v>
      </c>
      <c r="L73" s="10">
        <f>('Stock Prices'!M74-'Stock Prices'!L74)/'Stock Prices'!L74</f>
        <v>1.2399470262460872</v>
      </c>
      <c r="M73" s="10">
        <f>('Stock Prices'!N74-'Stock Prices'!M74)/'Stock Prices'!M74</f>
        <v>0.54259607632356888</v>
      </c>
      <c r="N73" s="10">
        <f>('Stock Prices'!O74-'Stock Prices'!N74)/'Stock Prices'!N74</f>
        <v>1.1414634146341465</v>
      </c>
    </row>
    <row r="74" spans="1:14" x14ac:dyDescent="0.3">
      <c r="A74" s="8" t="s">
        <v>183</v>
      </c>
      <c r="B74" s="8" t="s">
        <v>184</v>
      </c>
      <c r="C74" s="8" t="s">
        <v>124</v>
      </c>
      <c r="D74" s="8" t="s">
        <v>121</v>
      </c>
      <c r="E74" s="10">
        <f>('Stock Prices'!F75-'Stock Prices'!E75)/'Stock Prices'!E75</f>
        <v>-0.54346978557504866</v>
      </c>
      <c r="F74" s="10">
        <f>('Stock Prices'!G75-'Stock Prices'!F75)/'Stock Prices'!F75</f>
        <v>9.3936806148590454E-3</v>
      </c>
      <c r="G74" s="10">
        <f>('Stock Prices'!H75-'Stock Prices'!G75)/'Stock Prices'!G75</f>
        <v>0.43824027072758032</v>
      </c>
      <c r="H74" s="10">
        <f>('Stock Prices'!I75-'Stock Prices'!H75)/'Stock Prices'!H75</f>
        <v>0.11588235294117641</v>
      </c>
      <c r="I74" s="10">
        <f>('Stock Prices'!J75-'Stock Prices'!I75)/'Stock Prices'!I75</f>
        <v>0.44175013178703232</v>
      </c>
      <c r="J74" s="10">
        <f>('Stock Prices'!K75-'Stock Prices'!J75)/'Stock Prices'!J75</f>
        <v>0.26398537477148076</v>
      </c>
      <c r="K74" s="10">
        <f>('Stock Prices'!L75-'Stock Prices'!K75)/'Stock Prices'!K75</f>
        <v>3.3265837431298774E-2</v>
      </c>
      <c r="L74" s="10">
        <f>('Stock Prices'!M75-'Stock Prices'!L75)/'Stock Prices'!L75</f>
        <v>0.16433370660694302</v>
      </c>
      <c r="M74" s="10">
        <f>('Stock Prices'!N75-'Stock Prices'!M75)/'Stock Prices'!M75</f>
        <v>-9.858138975715405E-3</v>
      </c>
      <c r="N74" s="10">
        <f>('Stock Prices'!O75-'Stock Prices'!N75)/'Stock Prices'!N75</f>
        <v>-0.29990286546867417</v>
      </c>
    </row>
    <row r="75" spans="1:14" x14ac:dyDescent="0.3">
      <c r="A75" s="8" t="s">
        <v>185</v>
      </c>
      <c r="B75" s="8" t="s">
        <v>186</v>
      </c>
      <c r="C75" s="8" t="s">
        <v>124</v>
      </c>
      <c r="D75" s="8" t="s">
        <v>121</v>
      </c>
      <c r="E75" s="10">
        <f>('Stock Prices'!F76-'Stock Prices'!E76)/'Stock Prices'!E76</f>
        <v>0.25952626158599379</v>
      </c>
      <c r="F75" s="10">
        <f>('Stock Prices'!G76-'Stock Prices'!F76)/'Stock Prices'!F76</f>
        <v>0.12850913055328436</v>
      </c>
      <c r="G75" s="10">
        <f>('Stock Prices'!H76-'Stock Prices'!G76)/'Stock Prices'!G76</f>
        <v>0.12848689771766694</v>
      </c>
      <c r="H75" s="10">
        <f>('Stock Prices'!I76-'Stock Prices'!H76)/'Stock Prices'!H76</f>
        <v>-6.9769930444087705E-2</v>
      </c>
      <c r="I75" s="10">
        <f>('Stock Prices'!J76-'Stock Prices'!I76)/'Stock Prices'!I76</f>
        <v>0.38410215115610241</v>
      </c>
      <c r="J75" s="10">
        <f>('Stock Prices'!K76-'Stock Prices'!J76)/'Stock Prices'!J76</f>
        <v>-0.10887632978723401</v>
      </c>
      <c r="K75" s="10">
        <f>('Stock Prices'!L76-'Stock Prices'!K76)/'Stock Prices'!K76</f>
        <v>0.16489460921469881</v>
      </c>
      <c r="L75" s="10">
        <f>('Stock Prices'!M76-'Stock Prices'!L76)/'Stock Prices'!L76</f>
        <v>-0.2282626100880705</v>
      </c>
      <c r="M75" s="10">
        <f>('Stock Prices'!N76-'Stock Prices'!M76)/'Stock Prices'!M76</f>
        <v>0.44703807448905475</v>
      </c>
      <c r="N75" s="10">
        <f>('Stock Prices'!O76-'Stock Prices'!N76)/'Stock Prices'!N76</f>
        <v>0.69414969888156031</v>
      </c>
    </row>
    <row r="76" spans="1:14" x14ac:dyDescent="0.3">
      <c r="A76" s="8" t="s">
        <v>187</v>
      </c>
      <c r="B76" s="8" t="s">
        <v>188</v>
      </c>
      <c r="C76" s="8" t="s">
        <v>124</v>
      </c>
      <c r="D76" s="8" t="s">
        <v>121</v>
      </c>
      <c r="E76" s="10">
        <f>('Stock Prices'!F77-'Stock Prices'!E77)/'Stock Prices'!E77</f>
        <v>1.3749506124061635</v>
      </c>
      <c r="F76" s="10">
        <f>('Stock Prices'!G77-'Stock Prices'!F77)/'Stock Prices'!F77</f>
        <v>0.17284977541174515</v>
      </c>
      <c r="G76" s="10">
        <f>('Stock Prices'!H77-'Stock Prices'!G77)/'Stock Prices'!G77</f>
        <v>0.12822695035461001</v>
      </c>
      <c r="H76" s="10">
        <f>('Stock Prices'!I77-'Stock Prices'!H77)/'Stock Prices'!H77</f>
        <v>0.36912245411113903</v>
      </c>
      <c r="I76" s="10">
        <f>('Stock Prices'!J77-'Stock Prices'!I77)/'Stock Prices'!I77</f>
        <v>0.75206611570247939</v>
      </c>
      <c r="J76" s="10">
        <f>('Stock Prices'!K77-'Stock Prices'!J77)/'Stock Prices'!J77</f>
        <v>0.80083857442348005</v>
      </c>
      <c r="K76" s="10">
        <f>('Stock Prices'!L77-'Stock Prices'!K77)/'Stock Prices'!K77</f>
        <v>0.73224679860302677</v>
      </c>
      <c r="L76" s="10">
        <f>('Stock Prices'!M77-'Stock Prices'!L77)/'Stock Prices'!L77</f>
        <v>-0.37936827956989255</v>
      </c>
      <c r="M76" s="10">
        <f>('Stock Prices'!N77-'Stock Prices'!M77)/'Stock Prices'!M77</f>
        <v>-9.7996751488900899E-2</v>
      </c>
      <c r="N76" s="10">
        <f>('Stock Prices'!O77-'Stock Prices'!N77)/'Stock Prices'!N77</f>
        <v>-0.35414165666266506</v>
      </c>
    </row>
    <row r="77" spans="1:14" x14ac:dyDescent="0.3">
      <c r="A77" s="8" t="s">
        <v>189</v>
      </c>
      <c r="B77" s="8" t="s">
        <v>190</v>
      </c>
      <c r="C77" s="8" t="s">
        <v>124</v>
      </c>
      <c r="D77" s="8" t="s">
        <v>121</v>
      </c>
      <c r="E77" s="10">
        <f>('Stock Prices'!F78-'Stock Prices'!E78)/'Stock Prices'!E78</f>
        <v>-4.1280000000000046E-2</v>
      </c>
      <c r="F77" s="10">
        <f>('Stock Prices'!G78-'Stock Prices'!F78)/'Stock Prices'!F78</f>
        <v>0.29951045838896312</v>
      </c>
      <c r="G77" s="10">
        <f>('Stock Prices'!H78-'Stock Prices'!G78)/'Stock Prices'!G78</f>
        <v>-5.5650684931506118E-3</v>
      </c>
      <c r="H77" s="10">
        <f>('Stock Prices'!I78-'Stock Prices'!H78)/'Stock Prices'!H78</f>
        <v>-0.16160137752905734</v>
      </c>
      <c r="I77" s="10">
        <f>('Stock Prices'!J78-'Stock Prices'!I78)/'Stock Prices'!I78</f>
        <v>0.19675498048880685</v>
      </c>
      <c r="J77" s="10">
        <f>('Stock Prices'!K78-'Stock Prices'!J78)/'Stock Prices'!J78</f>
        <v>8.4091299124763146E-3</v>
      </c>
      <c r="K77" s="10">
        <f>('Stock Prices'!L78-'Stock Prices'!K78)/'Stock Prices'!K78</f>
        <v>0.29918311776718864</v>
      </c>
      <c r="L77" s="10">
        <f>('Stock Prices'!M78-'Stock Prices'!L78)/'Stock Prices'!L78</f>
        <v>-0.15090385119203575</v>
      </c>
      <c r="M77" s="10">
        <f>('Stock Prices'!N78-'Stock Prices'!M78)/'Stock Prices'!M78</f>
        <v>0.31070657204566499</v>
      </c>
      <c r="N77" s="10">
        <f>('Stock Prices'!O78-'Stock Prices'!N78)/'Stock Prices'!N78</f>
        <v>0.10969868173258013</v>
      </c>
    </row>
    <row r="78" spans="1:14" x14ac:dyDescent="0.3">
      <c r="A78" s="8" t="s">
        <v>191</v>
      </c>
      <c r="B78" s="8" t="s">
        <v>192</v>
      </c>
      <c r="C78" s="8" t="s">
        <v>124</v>
      </c>
      <c r="D78" s="8" t="s">
        <v>121</v>
      </c>
      <c r="E78" s="10"/>
      <c r="F78" s="10"/>
      <c r="G78" s="10"/>
      <c r="H78" s="10"/>
      <c r="I78" s="10"/>
      <c r="J78" s="10"/>
      <c r="K78" s="10">
        <f>('Stock Prices'!L79-'Stock Prices'!K79)/'Stock Prices'!K79</f>
        <v>-0.25033333333333341</v>
      </c>
      <c r="L78" s="10">
        <f>('Stock Prices'!M79-'Stock Prices'!L79)/'Stock Prices'!L79</f>
        <v>-0.21831925300133395</v>
      </c>
      <c r="M78" s="10">
        <f>('Stock Prices'!N79-'Stock Prices'!M79)/'Stock Prices'!M79</f>
        <v>-0.31740614334470985</v>
      </c>
      <c r="N78" s="41">
        <f>('Stock Prices'!O79-'Stock Prices'!N79)/'Stock Prices'!N79</f>
        <v>3.1983333333333337</v>
      </c>
    </row>
    <row r="79" spans="1:14" x14ac:dyDescent="0.3">
      <c r="A79" s="8" t="s">
        <v>193</v>
      </c>
      <c r="B79" s="8" t="s">
        <v>194</v>
      </c>
      <c r="C79" s="8" t="s">
        <v>124</v>
      </c>
      <c r="D79" s="8" t="s">
        <v>121</v>
      </c>
      <c r="E79" s="10"/>
      <c r="F79" s="10"/>
      <c r="G79" s="10"/>
      <c r="H79" s="10"/>
      <c r="I79" s="10">
        <f>('Stock Prices'!J80-'Stock Prices'!I80)/'Stock Prices'!I80</f>
        <v>0.17186644772851672</v>
      </c>
      <c r="J79" s="10">
        <f>('Stock Prices'!K80-'Stock Prices'!J80)/'Stock Prices'!J80</f>
        <v>-1.9617001401214466E-2</v>
      </c>
      <c r="K79" s="10">
        <f>('Stock Prices'!L80-'Stock Prices'!K80)/'Stock Prices'!K80</f>
        <v>0.56788947117675082</v>
      </c>
      <c r="L79" s="10">
        <f>('Stock Prices'!M80-'Stock Prices'!L80)/'Stock Prices'!L80</f>
        <v>-0.29003342449103614</v>
      </c>
      <c r="M79" s="10">
        <f>('Stock Prices'!N80-'Stock Prices'!M80)/'Stock Prices'!M80</f>
        <v>0.12561523646479789</v>
      </c>
      <c r="N79" s="10">
        <f>('Stock Prices'!O80-'Stock Prices'!N80)/'Stock Prices'!N80</f>
        <v>-2.661596958174902E-2</v>
      </c>
    </row>
    <row r="80" spans="1:14" x14ac:dyDescent="0.3">
      <c r="A80" s="8" t="s">
        <v>195</v>
      </c>
      <c r="B80" s="8" t="s">
        <v>196</v>
      </c>
      <c r="C80" s="8" t="s">
        <v>124</v>
      </c>
      <c r="D80" s="8" t="s">
        <v>121</v>
      </c>
      <c r="E80" s="10">
        <f>('Stock Prices'!F81-'Stock Prices'!E81)/'Stock Prices'!E81</f>
        <v>0.22341911031318562</v>
      </c>
      <c r="F80" s="10">
        <f>('Stock Prices'!G81-'Stock Prices'!F81)/'Stock Prices'!F81</f>
        <v>-5.7068318930376651E-2</v>
      </c>
      <c r="G80" s="10">
        <f>('Stock Prices'!H81-'Stock Prices'!G81)/'Stock Prices'!G81</f>
        <v>0.23845754798547478</v>
      </c>
      <c r="H80" s="10">
        <f>('Stock Prices'!I81-'Stock Prices'!H81)/'Stock Prices'!H81</f>
        <v>-9.941357162803692E-2</v>
      </c>
      <c r="I80" s="10">
        <f>('Stock Prices'!J81-'Stock Prices'!I81)/'Stock Prices'!I81</f>
        <v>0.45426356589147282</v>
      </c>
      <c r="J80" s="10">
        <f>('Stock Prices'!K81-'Stock Prices'!J81)/'Stock Prices'!J81</f>
        <v>0.1556503198294244</v>
      </c>
      <c r="K80" s="10">
        <f>('Stock Prices'!L81-'Stock Prices'!K81)/'Stock Prices'!K81</f>
        <v>0.20202952029520299</v>
      </c>
      <c r="L80" s="10">
        <f>('Stock Prices'!M81-'Stock Prices'!L81)/'Stock Prices'!L81</f>
        <v>-0.21987720644666159</v>
      </c>
      <c r="M80" s="10">
        <f>('Stock Prices'!N81-'Stock Prices'!M81)/'Stock Prices'!M81</f>
        <v>-1.9773733398917904E-2</v>
      </c>
      <c r="N80" s="10">
        <f>('Stock Prices'!O81-'Stock Prices'!N81)/'Stock Prices'!N81</f>
        <v>3.0208751505419563E-2</v>
      </c>
    </row>
    <row r="81" spans="1:14" x14ac:dyDescent="0.3">
      <c r="A81" s="8" t="s">
        <v>197</v>
      </c>
      <c r="B81" s="8" t="s">
        <v>198</v>
      </c>
      <c r="C81" s="8" t="s">
        <v>124</v>
      </c>
      <c r="D81" s="8" t="s">
        <v>121</v>
      </c>
      <c r="E81" s="10">
        <f>('Stock Prices'!F82-'Stock Prices'!E82)/'Stock Prices'!E82</f>
        <v>-0.27565664771188736</v>
      </c>
      <c r="F81" s="10">
        <f>('Stock Prices'!G82-'Stock Prices'!F82)/'Stock Prices'!F82</f>
        <v>-2.990654205607519E-3</v>
      </c>
      <c r="G81" s="10">
        <f>('Stock Prices'!H82-'Stock Prices'!G82)/'Stock Prices'!G82</f>
        <v>0.24821897262842141</v>
      </c>
      <c r="H81" s="10">
        <f>('Stock Prices'!I82-'Stock Prices'!H82)/'Stock Prices'!H82</f>
        <v>-0.16539501351757285</v>
      </c>
      <c r="I81" s="10">
        <f>('Stock Prices'!J82-'Stock Prices'!I82)/'Stock Prices'!I82</f>
        <v>0.26864382378347268</v>
      </c>
      <c r="J81" s="10">
        <f>('Stock Prices'!K82-'Stock Prices'!J82)/'Stock Prices'!J82</f>
        <v>-0.13515660463005005</v>
      </c>
      <c r="K81" s="10">
        <f>('Stock Prices'!L82-'Stock Prices'!K82)/'Stock Prices'!K82</f>
        <v>0.1644141188820365</v>
      </c>
      <c r="L81" s="10">
        <f>('Stock Prices'!M82-'Stock Prices'!L82)/'Stock Prices'!L82</f>
        <v>-0.34403876493125979</v>
      </c>
      <c r="M81" s="10">
        <f>('Stock Prices'!N82-'Stock Prices'!M82)/'Stock Prices'!M82</f>
        <v>-3.9683903109431408E-2</v>
      </c>
      <c r="N81" s="10">
        <f>('Stock Prices'!O82-'Stock Prices'!N82)/'Stock Prices'!N82</f>
        <v>-0.20357781753130583</v>
      </c>
    </row>
    <row r="82" spans="1:14" x14ac:dyDescent="0.3">
      <c r="A82" s="8" t="s">
        <v>199</v>
      </c>
      <c r="B82" s="8" t="s">
        <v>200</v>
      </c>
      <c r="C82" s="8" t="s">
        <v>124</v>
      </c>
      <c r="D82" s="8" t="s">
        <v>121</v>
      </c>
      <c r="E82" s="10">
        <f>('Stock Prices'!F83-'Stock Prices'!E83)/'Stock Prices'!E83</f>
        <v>7.0456365092073578E-2</v>
      </c>
      <c r="F82" s="10">
        <f>('Stock Prices'!G83-'Stock Prices'!F83)/'Stock Prices'!F83</f>
        <v>8.2647718773373263E-2</v>
      </c>
      <c r="G82" s="10">
        <f>('Stock Prices'!H83-'Stock Prices'!G83)/'Stock Prices'!G83</f>
        <v>0.33920552677029375</v>
      </c>
      <c r="H82" s="10">
        <f>('Stock Prices'!I83-'Stock Prices'!H83)/'Stock Prices'!H83</f>
        <v>-4.3590404952282814E-2</v>
      </c>
      <c r="I82" s="10">
        <f>('Stock Prices'!J83-'Stock Prices'!I83)/'Stock Prices'!I83</f>
        <v>0.21251348435814463</v>
      </c>
      <c r="J82" s="10">
        <f>('Stock Prices'!K83-'Stock Prices'!J83)/'Stock Prices'!J83</f>
        <v>0.24510676156583622</v>
      </c>
      <c r="K82" s="10">
        <f>('Stock Prices'!L83-'Stock Prices'!K83)/'Stock Prices'!K83</f>
        <v>-0.13361914969632008</v>
      </c>
      <c r="L82" s="10">
        <f>('Stock Prices'!M83-'Stock Prices'!L83)/'Stock Prices'!L83</f>
        <v>-0.54597938144329894</v>
      </c>
      <c r="M82" s="10">
        <f>('Stock Prices'!N83-'Stock Prices'!M83)/'Stock Prices'!M83</f>
        <v>0.29609445958219799</v>
      </c>
      <c r="N82" s="10">
        <f>('Stock Prices'!O83-'Stock Prices'!N83)/'Stock Prices'!N83</f>
        <v>2.7330063069376354E-2</v>
      </c>
    </row>
    <row r="83" spans="1:14" x14ac:dyDescent="0.3">
      <c r="A83" s="8" t="s">
        <v>201</v>
      </c>
      <c r="B83" s="8" t="s">
        <v>202</v>
      </c>
      <c r="C83" s="8" t="s">
        <v>124</v>
      </c>
      <c r="D83" s="8" t="s">
        <v>121</v>
      </c>
      <c r="E83" s="10">
        <f>('Stock Prices'!F84-'Stock Prices'!E84)/'Stock Prices'!E84</f>
        <v>0.42745098039215679</v>
      </c>
      <c r="F83" s="10">
        <f>('Stock Prices'!G84-'Stock Prices'!F84)/'Stock Prices'!F84</f>
        <v>-3.0219780219780065E-3</v>
      </c>
      <c r="G83" s="10">
        <f>('Stock Prices'!H84-'Stock Prices'!G84)/'Stock Prices'!G84</f>
        <v>0.21576191788371449</v>
      </c>
      <c r="H83" s="10">
        <f>('Stock Prices'!I84-'Stock Prices'!H84)/'Stock Prices'!H84</f>
        <v>-0.49138712601994555</v>
      </c>
      <c r="I83" s="10">
        <f>('Stock Prices'!J84-'Stock Prices'!I84)/'Stock Prices'!I84</f>
        <v>1.0133689839572191</v>
      </c>
      <c r="J83" s="10">
        <f>('Stock Prices'!K84-'Stock Prices'!J84)/'Stock Prices'!J84</f>
        <v>1.0154935812306332</v>
      </c>
      <c r="K83" s="10">
        <f>('Stock Prices'!L84-'Stock Prices'!K84)/'Stock Prices'!K84</f>
        <v>-0.21875686360641336</v>
      </c>
      <c r="L83" s="10">
        <f>('Stock Prices'!M84-'Stock Prices'!L84)/'Stock Prices'!L84</f>
        <v>-0.53457970199606408</v>
      </c>
      <c r="M83" s="10">
        <f>('Stock Prices'!N84-'Stock Prices'!M84)/'Stock Prices'!M84</f>
        <v>-0.35215946843853824</v>
      </c>
      <c r="N83" s="10">
        <f>('Stock Prices'!O84-'Stock Prices'!N84)/'Stock Prices'!N84</f>
        <v>0.51002331002331014</v>
      </c>
    </row>
    <row r="84" spans="1:14" x14ac:dyDescent="0.3">
      <c r="A84" s="6" t="s">
        <v>203</v>
      </c>
      <c r="B84" s="7"/>
      <c r="C84" s="7"/>
      <c r="D84" s="7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3">
      <c r="A85" s="8" t="s">
        <v>204</v>
      </c>
      <c r="B85" s="8" t="s">
        <v>205</v>
      </c>
      <c r="C85" s="8" t="s">
        <v>206</v>
      </c>
      <c r="D85" s="8" t="s">
        <v>203</v>
      </c>
      <c r="E85" s="10">
        <f>('Stock Prices'!F86-'Stock Prices'!E86)/'Stock Prices'!E86</f>
        <v>0.12199771254288981</v>
      </c>
      <c r="F85" s="10">
        <f>('Stock Prices'!G86-'Stock Prices'!F86)/'Stock Prices'!F86</f>
        <v>0.2327556914712878</v>
      </c>
      <c r="G85" s="10">
        <f>('Stock Prices'!H86-'Stock Prices'!G86)/'Stock Prices'!G86</f>
        <v>0.35281146637265709</v>
      </c>
      <c r="H85" s="10">
        <f>('Stock Prices'!I86-'Stock Prices'!H86)/'Stock Prices'!H86</f>
        <v>2.9951100244498752E-2</v>
      </c>
      <c r="I85" s="10">
        <f>('Stock Prices'!J86-'Stock Prices'!I86)/'Stock Prices'!I86</f>
        <v>0.64035608308605352</v>
      </c>
      <c r="J85" s="10">
        <f>('Stock Prices'!K86-'Stock Prices'!J86)/'Stock Prices'!J86</f>
        <v>0.23757838880849011</v>
      </c>
      <c r="K85" s="10">
        <f>('Stock Prices'!L86-'Stock Prices'!K86)/'Stock Prices'!K86</f>
        <v>0.42272461508477871</v>
      </c>
      <c r="L85" s="10">
        <f>('Stock Prices'!M86-'Stock Prices'!L86)/'Stock Prices'!L86</f>
        <v>-6.8630136986301396E-2</v>
      </c>
      <c r="M85" s="10">
        <f>('Stock Prices'!N86-'Stock Prices'!M86)/'Stock Prices'!M86</f>
        <v>7.8982203265186124E-2</v>
      </c>
      <c r="N85" s="10">
        <f>('Stock Prices'!O86-'Stock Prices'!N86)/'Stock Prices'!N86</f>
        <v>-0.14217557251908405</v>
      </c>
    </row>
    <row r="86" spans="1:14" x14ac:dyDescent="0.3">
      <c r="A86" s="8" t="s">
        <v>207</v>
      </c>
      <c r="B86" s="8" t="s">
        <v>208</v>
      </c>
      <c r="C86" s="8" t="s">
        <v>206</v>
      </c>
      <c r="D86" s="8" t="s">
        <v>203</v>
      </c>
      <c r="E86" s="10">
        <f>('Stock Prices'!F87-'Stock Prices'!E87)/'Stock Prices'!E87</f>
        <v>-0.10008382229673092</v>
      </c>
      <c r="F86" s="10">
        <f>('Stock Prices'!G87-'Stock Prices'!F87)/'Stock Prices'!F87</f>
        <v>0.23155737704918034</v>
      </c>
      <c r="G86" s="10">
        <f>('Stock Prices'!H87-'Stock Prices'!G87)/'Stock Prices'!G87</f>
        <v>7.1849947057933752E-2</v>
      </c>
      <c r="H86" s="10">
        <f>('Stock Prices'!I87-'Stock Prices'!H87)/'Stock Prices'!H87</f>
        <v>-0.16285633643804684</v>
      </c>
      <c r="I86" s="10">
        <f>('Stock Prices'!J87-'Stock Prices'!I87)/'Stock Prices'!I87</f>
        <v>0.54315576534052601</v>
      </c>
      <c r="J86" s="10">
        <f>('Stock Prices'!K87-'Stock Prices'!J87)/'Stock Prices'!J87</f>
        <v>0.32018789600174774</v>
      </c>
      <c r="K86" s="10">
        <f>('Stock Prices'!L87-'Stock Prices'!K87)/'Stock Prices'!K87</f>
        <v>0.43020273065784037</v>
      </c>
      <c r="L86" s="10">
        <f>('Stock Prices'!M87-'Stock Prices'!L87)/'Stock Prices'!L87</f>
        <v>-0.24369358944688732</v>
      </c>
      <c r="M86" s="10">
        <f>('Stock Prices'!N87-'Stock Prices'!M87)/'Stock Prices'!M87</f>
        <v>0.39060587515299877</v>
      </c>
      <c r="N86" s="10">
        <f>('Stock Prices'!O87-'Stock Prices'!N87)/'Stock Prices'!N87</f>
        <v>0.31697656507866656</v>
      </c>
    </row>
    <row r="87" spans="1:14" x14ac:dyDescent="0.3">
      <c r="A87" s="8" t="s">
        <v>209</v>
      </c>
      <c r="B87" s="8" t="s">
        <v>126</v>
      </c>
      <c r="C87" s="8" t="s">
        <v>206</v>
      </c>
      <c r="D87" s="8" t="s">
        <v>203</v>
      </c>
      <c r="E87" s="10">
        <f>('Stock Prices'!F88-'Stock Prices'!E88)/'Stock Prices'!E88</f>
        <v>0.52857840742550077</v>
      </c>
      <c r="F87" s="10">
        <f>('Stock Prices'!G88-'Stock Prices'!F88)/'Stock Prices'!F88</f>
        <v>4.1546820070310821E-3</v>
      </c>
      <c r="G87" s="10">
        <f>('Stock Prices'!H88-'Stock Prices'!G88)/'Stock Prices'!G88</f>
        <v>0.32081476766390826</v>
      </c>
      <c r="H87" s="10">
        <f>('Stock Prices'!I88-'Stock Prices'!H88)/'Stock Prices'!H88</f>
        <v>9.1566265060241576E-3</v>
      </c>
      <c r="I87" s="10">
        <f>('Stock Prices'!J88-'Stock Prices'!I88)/'Stock Prices'!I88</f>
        <v>0.55205348615090721</v>
      </c>
      <c r="J87" s="10">
        <f>('Stock Prices'!K88-'Stock Prices'!J88)/'Stock Prices'!J88</f>
        <v>-0.29807692307692307</v>
      </c>
      <c r="K87" s="10">
        <f>('Stock Prices'!L88-'Stock Prices'!K88)/'Stock Prices'!K88</f>
        <v>0.23484931506849321</v>
      </c>
      <c r="L87" s="10">
        <f>('Stock Prices'!M88-'Stock Prices'!L88)/'Stock Prices'!L88</f>
        <v>-1.4731984380546776E-2</v>
      </c>
      <c r="M87" s="10">
        <f>('Stock Prices'!N88-'Stock Prices'!M88)/'Stock Prices'!M88</f>
        <v>0.25905242298684927</v>
      </c>
      <c r="N87" s="10">
        <f>('Stock Prices'!O88-'Stock Prices'!N88)/'Stock Prices'!N88</f>
        <v>0.10444984976391468</v>
      </c>
    </row>
    <row r="88" spans="1:14" x14ac:dyDescent="0.3">
      <c r="A88" s="8" t="s">
        <v>210</v>
      </c>
      <c r="B88" s="8" t="s">
        <v>211</v>
      </c>
      <c r="C88" s="8" t="s">
        <v>206</v>
      </c>
      <c r="D88" s="8" t="s">
        <v>203</v>
      </c>
      <c r="E88" s="10">
        <f>('Stock Prices'!F89-'Stock Prices'!E89)/'Stock Prices'!E89</f>
        <v>-2.3037141513869226E-2</v>
      </c>
      <c r="F88" s="10">
        <f>('Stock Prices'!G89-'Stock Prices'!F89)/'Stock Prices'!F89</f>
        <v>0.17228103946102011</v>
      </c>
      <c r="G88" s="10">
        <f>('Stock Prices'!H89-'Stock Prices'!G89)/'Stock Prices'!G89</f>
        <v>-5.5008210180623969E-2</v>
      </c>
      <c r="H88" s="10">
        <f>('Stock Prices'!I89-'Stock Prices'!H89)/'Stock Prices'!H89</f>
        <v>8.6880973066896501E-4</v>
      </c>
      <c r="I88" s="10">
        <f>('Stock Prices'!J89-'Stock Prices'!I89)/'Stock Prices'!I89</f>
        <v>6.7491319444444434E-2</v>
      </c>
      <c r="J88" s="10">
        <f>('Stock Prices'!K89-'Stock Prices'!J89)/'Stock Prices'!J89</f>
        <v>-0.27647895913803611</v>
      </c>
      <c r="K88" s="10">
        <f>('Stock Prices'!L89-'Stock Prices'!K89)/'Stock Prices'!K89</f>
        <v>0.26159033436358514</v>
      </c>
      <c r="L88" s="10">
        <f>('Stock Prices'!M89-'Stock Prices'!L89)/'Stock Prices'!L89</f>
        <v>0.30623608017817372</v>
      </c>
      <c r="M88" s="10">
        <f>('Stock Prices'!N89-'Stock Prices'!M89)/'Stock Prices'!M89</f>
        <v>5.0298380221653928E-2</v>
      </c>
      <c r="N88" s="10">
        <f>('Stock Prices'!O89-'Stock Prices'!N89)/'Stock Prices'!N89</f>
        <v>-0.1461038961038961</v>
      </c>
    </row>
    <row r="89" spans="1:14" x14ac:dyDescent="0.3">
      <c r="A89" s="8" t="s">
        <v>212</v>
      </c>
      <c r="B89" s="8" t="s">
        <v>213</v>
      </c>
      <c r="C89" s="8" t="s">
        <v>206</v>
      </c>
      <c r="D89" s="8" t="s">
        <v>203</v>
      </c>
      <c r="E89" s="10">
        <f>('Stock Prices'!F90-'Stock Prices'!E90)/'Stock Prices'!E90</f>
        <v>6.2799999999999911E-2</v>
      </c>
      <c r="F89" s="10">
        <f>('Stock Prices'!G90-'Stock Prices'!F90)/'Stock Prices'!F90</f>
        <v>-3.5252791368711435E-2</v>
      </c>
      <c r="G89" s="10">
        <f>('Stock Prices'!H90-'Stock Prices'!G90)/'Stock Prices'!G90</f>
        <v>-6.5669700910273229E-2</v>
      </c>
      <c r="H89" s="10">
        <f>('Stock Prices'!I90-'Stock Prices'!H90)/'Stock Prices'!H90</f>
        <v>4.6903270702853231E-2</v>
      </c>
      <c r="I89" s="10">
        <f>('Stock Prices'!J90-'Stock Prices'!I90)/'Stock Prices'!I90</f>
        <v>0.19316671098112206</v>
      </c>
      <c r="J89" s="10">
        <f>('Stock Prices'!K90-'Stock Prices'!J90)/'Stock Prices'!J90</f>
        <v>-0.12133704735376045</v>
      </c>
      <c r="K89" s="10">
        <f>('Stock Prices'!L90-'Stock Prices'!K90)/'Stock Prices'!K90</f>
        <v>0.13023078873953836</v>
      </c>
      <c r="L89" s="10">
        <f>('Stock Prices'!M90-'Stock Prices'!L90)/'Stock Prices'!L90</f>
        <v>7.9658925165489516E-3</v>
      </c>
      <c r="M89" s="10">
        <f>('Stock Prices'!N90-'Stock Prices'!M90)/'Stock Prices'!M90</f>
        <v>-8.904719501335518E-4</v>
      </c>
      <c r="N89" s="10">
        <f>('Stock Prices'!O90-'Stock Prices'!N90)/'Stock Prices'!N90</f>
        <v>3.7655971479500838E-2</v>
      </c>
    </row>
    <row r="90" spans="1:14" x14ac:dyDescent="0.3">
      <c r="A90" s="8" t="s">
        <v>214</v>
      </c>
      <c r="B90" s="8" t="s">
        <v>215</v>
      </c>
      <c r="C90" s="8" t="s">
        <v>206</v>
      </c>
      <c r="D90" s="8" t="s">
        <v>203</v>
      </c>
      <c r="E90" s="10">
        <f>('Stock Prices'!F91-'Stock Prices'!E91)/'Stock Prices'!E91</f>
        <v>0.26437921459738195</v>
      </c>
      <c r="F90" s="10">
        <f>('Stock Prices'!G91-'Stock Prices'!F91)/'Stock Prices'!F91</f>
        <v>7.3254901960784338E-2</v>
      </c>
      <c r="G90" s="10">
        <f>('Stock Prices'!H91-'Stock Prices'!G91)/'Stock Prices'!G91</f>
        <v>0.25562700964630219</v>
      </c>
      <c r="H90" s="10">
        <f>('Stock Prices'!I91-'Stock Prices'!H91)/'Stock Prices'!H91</f>
        <v>0.20009312070771737</v>
      </c>
      <c r="I90" s="10">
        <f>('Stock Prices'!J91-'Stock Prices'!I91)/'Stock Prices'!I91</f>
        <v>0.32977691561590688</v>
      </c>
      <c r="J90" s="10">
        <f>('Stock Prices'!K91-'Stock Prices'!J91)/'Stock Prices'!J91</f>
        <v>-0.13202042304886941</v>
      </c>
      <c r="K90" s="10">
        <f>('Stock Prices'!L91-'Stock Prices'!K91)/'Stock Prices'!K91</f>
        <v>-0.10016806722689077</v>
      </c>
      <c r="L90" s="10">
        <f>('Stock Prices'!M91-'Stock Prices'!L91)/'Stock Prices'!L91</f>
        <v>9.1893911094508812E-2</v>
      </c>
      <c r="M90" s="10">
        <f>('Stock Prices'!N91-'Stock Prices'!M91)/'Stock Prices'!M91</f>
        <v>0.36383852206637024</v>
      </c>
      <c r="N90" s="10">
        <f>('Stock Prices'!O91-'Stock Prices'!N91)/'Stock Prices'!N91</f>
        <v>0.31945315439608674</v>
      </c>
    </row>
    <row r="91" spans="1:14" x14ac:dyDescent="0.3">
      <c r="A91" s="8" t="s">
        <v>216</v>
      </c>
      <c r="B91" s="8" t="s">
        <v>217</v>
      </c>
      <c r="C91" s="8" t="s">
        <v>206</v>
      </c>
      <c r="D91" s="8" t="s">
        <v>203</v>
      </c>
      <c r="E91" s="10">
        <f>('Stock Prices'!F92-'Stock Prices'!E92)/'Stock Prices'!E92</f>
        <v>2.9328988298029768E-2</v>
      </c>
      <c r="F91" s="10">
        <f>('Stock Prices'!G92-'Stock Prices'!F92)/'Stock Prices'!F92</f>
        <v>3.3098287523384826E-2</v>
      </c>
      <c r="G91" s="10">
        <f>('Stock Prices'!H92-'Stock Prices'!G92)/'Stock Prices'!G92</f>
        <v>9.374564702604804E-2</v>
      </c>
      <c r="H91" s="10">
        <f>('Stock Prices'!I92-'Stock Prices'!H92)/'Stock Prices'!H92</f>
        <v>1.1334691798267965E-2</v>
      </c>
      <c r="I91" s="10">
        <f>('Stock Prices'!J92-'Stock Prices'!I92)/'Stock Prices'!I92</f>
        <v>0.30399194056164214</v>
      </c>
      <c r="J91" s="10">
        <f>('Stock Prices'!K92-'Stock Prices'!J92)/'Stock Prices'!J92</f>
        <v>7.426364075325928E-2</v>
      </c>
      <c r="K91" s="10">
        <f>('Stock Prices'!L92-'Stock Prices'!K92)/'Stock Prices'!K92</f>
        <v>0.13583243437612369</v>
      </c>
      <c r="L91" s="10">
        <f>('Stock Prices'!M92-'Stock Prices'!L92)/'Stock Prices'!L92</f>
        <v>-4.9861495844875328E-2</v>
      </c>
      <c r="M91" s="10">
        <f>('Stock Prices'!N92-'Stock Prices'!M92)/'Stock Prices'!M92</f>
        <v>0.3301957517700958</v>
      </c>
      <c r="N91" s="10">
        <f>('Stock Prices'!O92-'Stock Prices'!N92)/'Stock Prices'!N92</f>
        <v>-3.1749013714070969E-2</v>
      </c>
    </row>
    <row r="92" spans="1:14" x14ac:dyDescent="0.3">
      <c r="A92" s="8" t="s">
        <v>218</v>
      </c>
      <c r="B92" s="8" t="s">
        <v>219</v>
      </c>
      <c r="C92" s="8" t="s">
        <v>206</v>
      </c>
      <c r="D92" s="8" t="s">
        <v>203</v>
      </c>
      <c r="E92" s="10">
        <f>('Stock Prices'!F93-'Stock Prices'!E93)/'Stock Prices'!E93</f>
        <v>0.13897937024972848</v>
      </c>
      <c r="F92" s="10">
        <f>('Stock Prices'!G93-'Stock Prices'!F93)/'Stock Prices'!F93</f>
        <v>0.10200190657769312</v>
      </c>
      <c r="G92" s="10">
        <f>('Stock Prices'!H93-'Stock Prices'!G93)/'Stock Prices'!G93</f>
        <v>6.6608996539792284E-2</v>
      </c>
      <c r="H92" s="10">
        <f>('Stock Prices'!I93-'Stock Prices'!H93)/'Stock Prices'!H93</f>
        <v>7.110029737766968E-2</v>
      </c>
      <c r="I92" s="10">
        <f>('Stock Prices'!J93-'Stock Prices'!I93)/'Stock Prices'!I93</f>
        <v>0.32862190812720848</v>
      </c>
      <c r="J92" s="10">
        <f>('Stock Prices'!K93-'Stock Prices'!J93)/'Stock Prices'!J93</f>
        <v>0.1899696048632219</v>
      </c>
      <c r="K92" s="10">
        <f>('Stock Prices'!L93-'Stock Prices'!K93)/'Stock Prices'!K93</f>
        <v>0.34035759897828871</v>
      </c>
      <c r="L92" s="10">
        <f>('Stock Prices'!M93-'Stock Prices'!L93)/'Stock Prices'!L93</f>
        <v>-0.20533587422582178</v>
      </c>
      <c r="M92" s="10">
        <f>('Stock Prices'!N93-'Stock Prices'!M93)/'Stock Prices'!M93</f>
        <v>0.35086930455635473</v>
      </c>
      <c r="N92" s="10">
        <f>('Stock Prices'!O93-'Stock Prices'!N93)/'Stock Prices'!N93</f>
        <v>-0.25130367247309443</v>
      </c>
    </row>
    <row r="93" spans="1:14" x14ac:dyDescent="0.3">
      <c r="A93" s="8" t="s">
        <v>220</v>
      </c>
      <c r="B93" s="8" t="s">
        <v>221</v>
      </c>
      <c r="C93" s="8" t="s">
        <v>206</v>
      </c>
      <c r="D93" s="8" t="s">
        <v>203</v>
      </c>
      <c r="E93" s="10">
        <f>('Stock Prices'!F94-'Stock Prices'!E94)/'Stock Prices'!E94</f>
        <v>0.28099173553719009</v>
      </c>
      <c r="F93" s="10">
        <f>('Stock Prices'!G94-'Stock Prices'!F94)/'Stock Prices'!F94</f>
        <v>-7.6559139784946287E-2</v>
      </c>
      <c r="G93" s="10">
        <f>('Stock Prices'!H94-'Stock Prices'!G94)/'Stock Prices'!G94</f>
        <v>7.0796460176991233E-2</v>
      </c>
      <c r="H93" s="10">
        <f>('Stock Prices'!I94-'Stock Prices'!H94)/'Stock Prices'!H94</f>
        <v>-4.5237059591126602E-2</v>
      </c>
      <c r="I93" s="10">
        <f>('Stock Prices'!J94-'Stock Prices'!I94)/'Stock Prices'!I94</f>
        <v>0.22915717539863331</v>
      </c>
      <c r="J93" s="10">
        <f>('Stock Prices'!K94-'Stock Prices'!J94)/'Stock Prices'!J94</f>
        <v>-4.484803558191261E-2</v>
      </c>
      <c r="K93" s="10">
        <f>('Stock Prices'!L94-'Stock Prices'!K94)/'Stock Prices'!K94</f>
        <v>0.45626697710516101</v>
      </c>
      <c r="L93" s="10">
        <f>('Stock Prices'!M94-'Stock Prices'!L94)/'Stock Prices'!L94</f>
        <v>-9.8273289277339582E-2</v>
      </c>
      <c r="M93" s="10">
        <f>('Stock Prices'!N94-'Stock Prices'!M94)/'Stock Prices'!M94</f>
        <v>7.3286052009456301E-2</v>
      </c>
      <c r="N93" s="10">
        <f>('Stock Prices'!O94-'Stock Prices'!N94)/'Stock Prices'!N94</f>
        <v>0.27918502202643181</v>
      </c>
    </row>
    <row r="94" spans="1:14" x14ac:dyDescent="0.3">
      <c r="A94" s="8" t="s">
        <v>222</v>
      </c>
      <c r="B94" s="8" t="s">
        <v>223</v>
      </c>
      <c r="C94" s="8" t="s">
        <v>206</v>
      </c>
      <c r="D94" s="8" t="s">
        <v>203</v>
      </c>
      <c r="E94" s="10">
        <f>('Stock Prices'!F95-'Stock Prices'!E95)/'Stock Prices'!E95</f>
        <v>7.7001843129223951E-2</v>
      </c>
      <c r="F94" s="10">
        <f>('Stock Prices'!G95-'Stock Prices'!F95)/'Stock Prices'!F95</f>
        <v>0.15135957406351006</v>
      </c>
      <c r="G94" s="10">
        <f>('Stock Prices'!H95-'Stock Prices'!G95)/'Stock Prices'!G95</f>
        <v>2.8075970272502113E-2</v>
      </c>
      <c r="H94" s="10">
        <f>('Stock Prices'!I95-'Stock Prices'!H95)/'Stock Prices'!H95</f>
        <v>-0.36738955823293168</v>
      </c>
      <c r="I94" s="10">
        <f>('Stock Prices'!J95-'Stock Prices'!I95)/'Stock Prices'!I95</f>
        <v>0.33900457084814611</v>
      </c>
      <c r="J94" s="10">
        <f>('Stock Prices'!K95-'Stock Prices'!J95)/'Stock Prices'!J95</f>
        <v>-0.17864593210695989</v>
      </c>
      <c r="K94" s="10">
        <f>('Stock Prices'!L95-'Stock Prices'!K95)/'Stock Prices'!K95</f>
        <v>0.40083121680905098</v>
      </c>
      <c r="L94" s="10">
        <f>('Stock Prices'!M95-'Stock Prices'!L95)/'Stock Prices'!L95</f>
        <v>-0.12230097247403991</v>
      </c>
      <c r="M94" s="10">
        <f>('Stock Prices'!N95-'Stock Prices'!M95)/'Stock Prices'!M95</f>
        <v>0.1753990610328639</v>
      </c>
      <c r="N94" s="10">
        <f>('Stock Prices'!O95-'Stock Prices'!N95)/'Stock Prices'!N95</f>
        <v>-6.1671193481386902E-2</v>
      </c>
    </row>
    <row r="95" spans="1:14" x14ac:dyDescent="0.3">
      <c r="A95" s="8" t="s">
        <v>224</v>
      </c>
      <c r="B95" s="8" t="s">
        <v>225</v>
      </c>
      <c r="C95" s="8" t="s">
        <v>206</v>
      </c>
      <c r="D95" s="8" t="s">
        <v>203</v>
      </c>
      <c r="E95" s="10">
        <f>('Stock Prices'!F96-'Stock Prices'!E96)/'Stock Prices'!E96</f>
        <v>0.32253005750130698</v>
      </c>
      <c r="F95" s="10">
        <f>('Stock Prices'!G96-'Stock Prices'!F96)/'Stock Prices'!F96</f>
        <v>-5.1778656126482303E-2</v>
      </c>
      <c r="G95" s="10">
        <f>('Stock Prices'!H96-'Stock Prices'!G96)/'Stock Prices'!G96</f>
        <v>3.1263026260942059E-2</v>
      </c>
      <c r="H95" s="10">
        <f>('Stock Prices'!I96-'Stock Prices'!H96)/'Stock Prices'!H96</f>
        <v>-0.24090541632983015</v>
      </c>
      <c r="I95" s="10">
        <f>('Stock Prices'!J96-'Stock Prices'!I96)/'Stock Prices'!I96</f>
        <v>0.33599574014909467</v>
      </c>
      <c r="J95" s="10">
        <f>('Stock Prices'!K96-'Stock Prices'!J96)/'Stock Prices'!J96</f>
        <v>-0.21562375448385812</v>
      </c>
      <c r="K95" s="10">
        <f>('Stock Prices'!L96-'Stock Prices'!K96)/'Stock Prices'!K96</f>
        <v>0.3358739837398374</v>
      </c>
      <c r="L95" s="10">
        <f>('Stock Prices'!M96-'Stock Prices'!L96)/'Stock Prices'!L96</f>
        <v>-8.7485736021301035E-3</v>
      </c>
      <c r="M95" s="10">
        <f>('Stock Prices'!N96-'Stock Prices'!M96)/'Stock Prices'!M96</f>
        <v>0.13161933998465081</v>
      </c>
      <c r="N95" s="10">
        <f>('Stock Prices'!O96-'Stock Prices'!N96)/'Stock Prices'!N96</f>
        <v>0.15700237368599523</v>
      </c>
    </row>
    <row r="96" spans="1:14" x14ac:dyDescent="0.3">
      <c r="A96" s="8" t="s">
        <v>226</v>
      </c>
      <c r="B96" s="8" t="s">
        <v>227</v>
      </c>
      <c r="C96" s="8" t="s">
        <v>206</v>
      </c>
      <c r="D96" s="8" t="s">
        <v>203</v>
      </c>
      <c r="E96" s="10">
        <f>('Stock Prices'!F97-'Stock Prices'!E97)/'Stock Prices'!E97</f>
        <v>7.2098176239986281E-2</v>
      </c>
      <c r="F96" s="10">
        <f>('Stock Prices'!G97-'Stock Prices'!F97)/'Stock Prices'!F97</f>
        <v>0.24006359300476948</v>
      </c>
      <c r="G96" s="10">
        <f>('Stock Prices'!H97-'Stock Prices'!G97)/'Stock Prices'!G97</f>
        <v>0.14423076923076922</v>
      </c>
      <c r="H96" s="10">
        <f>('Stock Prices'!I97-'Stock Prices'!H97)/'Stock Prices'!H97</f>
        <v>6.8459383753501427E-2</v>
      </c>
      <c r="I96" s="10">
        <f>('Stock Prices'!J97-'Stock Prices'!I97)/'Stock Prices'!I97</f>
        <v>0.40771812080536918</v>
      </c>
      <c r="J96" s="10">
        <f>('Stock Prices'!K97-'Stock Prices'!J97)/'Stock Prices'!J97</f>
        <v>0.31704410011918943</v>
      </c>
      <c r="K96" s="10">
        <f>('Stock Prices'!L97-'Stock Prices'!K97)/'Stock Prices'!K97</f>
        <v>0.73925339366515841</v>
      </c>
      <c r="L96" s="10">
        <f>('Stock Prices'!M97-'Stock Prices'!L97)/'Stock Prices'!L97</f>
        <v>-6.0162601626016263E-2</v>
      </c>
      <c r="M96" s="10">
        <f>('Stock Prices'!N97-'Stock Prices'!M97)/'Stock Prices'!M97</f>
        <v>0.32788927335640133</v>
      </c>
      <c r="N96" s="10">
        <f>('Stock Prices'!O97-'Stock Prices'!N97)/'Stock Prices'!N97</f>
        <v>0.20127162810089641</v>
      </c>
    </row>
    <row r="97" spans="1:14" x14ac:dyDescent="0.3">
      <c r="A97" s="8" t="s">
        <v>228</v>
      </c>
      <c r="B97" s="8" t="s">
        <v>229</v>
      </c>
      <c r="C97" s="8" t="s">
        <v>206</v>
      </c>
      <c r="D97" s="8" t="s">
        <v>203</v>
      </c>
      <c r="E97" s="10">
        <f>('Stock Prices'!F98-'Stock Prices'!E98)/'Stock Prices'!E98</f>
        <v>0.31418471056120195</v>
      </c>
      <c r="F97" s="10">
        <f>('Stock Prices'!G98-'Stock Prices'!F98)/'Stock Prices'!F98</f>
        <v>8.7760591795561643E-2</v>
      </c>
      <c r="G97" s="10">
        <f>('Stock Prices'!H98-'Stock Prices'!G98)/'Stock Prices'!G98</f>
        <v>0.31607418856259661</v>
      </c>
      <c r="H97" s="10">
        <f>('Stock Prices'!I98-'Stock Prices'!H98)/'Stock Prices'!H98</f>
        <v>-0.15490311215502067</v>
      </c>
      <c r="I97" s="10">
        <f>('Stock Prices'!J98-'Stock Prices'!I98)/'Stock Prices'!I98</f>
        <v>0.37548638132295736</v>
      </c>
      <c r="J97" s="10">
        <f>('Stock Prices'!K98-'Stock Prices'!J98)/'Stock Prices'!J98</f>
        <v>-0.16124469589816132</v>
      </c>
      <c r="K97" s="10">
        <f>('Stock Prices'!L98-'Stock Prices'!K98)/'Stock Prices'!K98</f>
        <v>0.10792580101180449</v>
      </c>
      <c r="L97" s="10">
        <f>('Stock Prices'!M98-'Stock Prices'!L98)/'Stock Prices'!L98</f>
        <v>1.4242226570993718E-2</v>
      </c>
      <c r="M97" s="10">
        <f>('Stock Prices'!N98-'Stock Prices'!M98)/'Stock Prices'!M98</f>
        <v>0.21878014792582265</v>
      </c>
      <c r="N97" s="10">
        <f>('Stock Prices'!O98-'Stock Prices'!N98)/'Stock Prices'!N98</f>
        <v>-0.131750219876869</v>
      </c>
    </row>
    <row r="98" spans="1:14" x14ac:dyDescent="0.3">
      <c r="A98" s="8" t="s">
        <v>230</v>
      </c>
      <c r="B98" s="8" t="s">
        <v>231</v>
      </c>
      <c r="C98" s="8" t="s">
        <v>206</v>
      </c>
      <c r="D98" s="8" t="s">
        <v>203</v>
      </c>
      <c r="E98" s="10">
        <f>('Stock Prices'!F99-'Stock Prices'!E99)/'Stock Prices'!E99</f>
        <v>0.16740740740740739</v>
      </c>
      <c r="F98" s="10">
        <f>('Stock Prices'!G99-'Stock Prices'!F99)/'Stock Prices'!F99</f>
        <v>-4.5050761421319738E-2</v>
      </c>
      <c r="G98" s="10">
        <f>('Stock Prices'!H99-'Stock Prices'!G99)/'Stock Prices'!G99</f>
        <v>0.16196013289036545</v>
      </c>
      <c r="H98" s="10">
        <f>('Stock Prices'!I99-'Stock Prices'!H99)/'Stock Prices'!H99</f>
        <v>-0.1326661901358113</v>
      </c>
      <c r="I98" s="10">
        <f>('Stock Prices'!J99-'Stock Prices'!I99)/'Stock Prices'!I99</f>
        <v>0.21971320257128726</v>
      </c>
      <c r="J98" s="10">
        <f>('Stock Prices'!K99-'Stock Prices'!J99)/'Stock Prices'!J99</f>
        <v>-0.26702702702702702</v>
      </c>
      <c r="K98" s="10">
        <f>('Stock Prices'!L99-'Stock Prices'!K99)/'Stock Prices'!K99</f>
        <v>1.2536873156342178E-2</v>
      </c>
      <c r="L98" s="10">
        <f>('Stock Prices'!M99-'Stock Prices'!L99)/'Stock Prices'!L99</f>
        <v>-0.1036052439912601</v>
      </c>
      <c r="M98" s="10">
        <f>('Stock Prices'!N99-'Stock Prices'!M99)/'Stock Prices'!M99</f>
        <v>0.19195612431444248</v>
      </c>
      <c r="N98" s="10">
        <f>('Stock Prices'!O99-'Stock Prices'!N99)/'Stock Prices'!N99</f>
        <v>9.9182004089979556E-2</v>
      </c>
    </row>
    <row r="99" spans="1:14" x14ac:dyDescent="0.3">
      <c r="A99" s="8" t="s">
        <v>232</v>
      </c>
      <c r="B99" s="8" t="s">
        <v>233</v>
      </c>
      <c r="C99" s="8" t="s">
        <v>206</v>
      </c>
      <c r="D99" s="8" t="s">
        <v>203</v>
      </c>
      <c r="E99" s="10">
        <f>('Stock Prices'!F100-'Stock Prices'!E100)/'Stock Prices'!E100</f>
        <v>0.22924446997989073</v>
      </c>
      <c r="F99" s="10">
        <f>('Stock Prices'!G100-'Stock Prices'!F100)/'Stock Prices'!F100</f>
        <v>9.2311287684038401E-2</v>
      </c>
      <c r="G99" s="10">
        <f>('Stock Prices'!H100-'Stock Prices'!G100)/'Stock Prices'!G100</f>
        <v>-7.8947368421052738E-2</v>
      </c>
      <c r="H99" s="10">
        <f>('Stock Prices'!I100-'Stock Prices'!H100)/'Stock Prices'!H100</f>
        <v>-0.35423925667828099</v>
      </c>
      <c r="I99" s="10">
        <f>('Stock Prices'!J100-'Stock Prices'!I100)/'Stock Prices'!I100</f>
        <v>0.11438848920863308</v>
      </c>
      <c r="J99" s="10">
        <f>('Stock Prices'!K100-'Stock Prices'!J100)/'Stock Prices'!J100</f>
        <v>-0.45190445448676564</v>
      </c>
      <c r="K99" s="10">
        <f>('Stock Prices'!L100-'Stock Prices'!K100)/'Stock Prices'!K100</f>
        <v>0.78091872791519423</v>
      </c>
      <c r="L99" s="10">
        <f>('Stock Prices'!M100-'Stock Prices'!L100)/'Stock Prices'!L100</f>
        <v>-0.22354497354497349</v>
      </c>
      <c r="M99" s="10">
        <f>('Stock Prices'!N100-'Stock Prices'!M100)/'Stock Prices'!M100</f>
        <v>2.342419080068146E-2</v>
      </c>
      <c r="N99" s="10">
        <f>('Stock Prices'!O100-'Stock Prices'!N100)/'Stock Prices'!N100</f>
        <v>0.11860174781523086</v>
      </c>
    </row>
    <row r="100" spans="1:14" x14ac:dyDescent="0.3">
      <c r="A100" s="8" t="s">
        <v>234</v>
      </c>
      <c r="B100" s="8" t="s">
        <v>235</v>
      </c>
      <c r="C100" s="8" t="s">
        <v>206</v>
      </c>
      <c r="D100" s="8" t="s">
        <v>203</v>
      </c>
      <c r="E100" s="10">
        <f>('Stock Prices'!F101-'Stock Prices'!E101)/'Stock Prices'!E101</f>
        <v>-0.15265600825167616</v>
      </c>
      <c r="F100" s="10">
        <f>('Stock Prices'!G101-'Stock Prices'!F101)/'Stock Prices'!F101</f>
        <v>-0.26232501521606821</v>
      </c>
      <c r="G100" s="10">
        <f>('Stock Prices'!H101-'Stock Prices'!G101)/'Stock Prices'!G101</f>
        <v>0.18316831683168322</v>
      </c>
      <c r="H100" s="10">
        <f>('Stock Prices'!I101-'Stock Prices'!H101)/'Stock Prices'!H101</f>
        <v>-0.14365411436541148</v>
      </c>
      <c r="I100" s="10">
        <f>('Stock Prices'!J101-'Stock Prices'!I101)/'Stock Prices'!I101</f>
        <v>0.18241042345276876</v>
      </c>
      <c r="J100" s="10">
        <f>('Stock Prices'!K101-'Stock Prices'!J101)/'Stock Prices'!J101</f>
        <v>-0.12534435261707991</v>
      </c>
      <c r="K100" s="10">
        <f>('Stock Prices'!L101-'Stock Prices'!K101)/'Stock Prices'!K101</f>
        <v>2.9133858267716615E-2</v>
      </c>
      <c r="L100" s="10">
        <f>('Stock Prices'!M101-'Stock Prices'!L101)/'Stock Prices'!L101</f>
        <v>2.4483550114766661E-2</v>
      </c>
      <c r="M100" s="10">
        <f>('Stock Prices'!N101-'Stock Prices'!M101)/'Stock Prices'!M101</f>
        <v>0.18894697535474228</v>
      </c>
      <c r="N100" s="10">
        <f>('Stock Prices'!O101-'Stock Prices'!N101)/'Stock Prices'!N101</f>
        <v>-4.2713567839195964E-2</v>
      </c>
    </row>
    <row r="101" spans="1:14" x14ac:dyDescent="0.3">
      <c r="A101" s="8" t="s">
        <v>236</v>
      </c>
      <c r="B101" s="8" t="s">
        <v>237</v>
      </c>
      <c r="C101" s="8" t="s">
        <v>206</v>
      </c>
      <c r="D101" s="8" t="s">
        <v>203</v>
      </c>
      <c r="E101" s="10">
        <f>('Stock Prices'!F102-'Stock Prices'!E102)/'Stock Prices'!E102</f>
        <v>0.14927080354589645</v>
      </c>
      <c r="F101" s="10">
        <f>('Stock Prices'!G102-'Stock Prices'!F102)/'Stock Prices'!F102</f>
        <v>0.10126897238118936</v>
      </c>
      <c r="G101" s="10">
        <f>('Stock Prices'!H102-'Stock Prices'!G102)/'Stock Prices'!G102</f>
        <v>3.8861274288296409E-2</v>
      </c>
      <c r="H101" s="10">
        <f>('Stock Prices'!I102-'Stock Prices'!H102)/'Stock Prices'!H102</f>
        <v>-0.3692909960852544</v>
      </c>
      <c r="I101" s="10">
        <f>('Stock Prices'!J102-'Stock Prices'!I102)/'Stock Prices'!I102</f>
        <v>0.25896551724137923</v>
      </c>
      <c r="J101" s="10">
        <f>('Stock Prices'!K102-'Stock Prices'!J102)/'Stock Prices'!J102</f>
        <v>4.163242947137779E-2</v>
      </c>
      <c r="K101" s="10">
        <f>('Stock Prices'!L102-'Stock Prices'!K102)/'Stock Prices'!K102</f>
        <v>0.62845122271890608</v>
      </c>
      <c r="L101" s="10">
        <f>('Stock Prices'!M102-'Stock Prices'!L102)/'Stock Prices'!L102</f>
        <v>-0.26287744227353466</v>
      </c>
      <c r="M101" s="10">
        <f>('Stock Prices'!N102-'Stock Prices'!M102)/'Stock Prices'!M102</f>
        <v>0.46024096385542168</v>
      </c>
      <c r="N101" s="10">
        <f>('Stock Prices'!O102-'Stock Prices'!N102)/'Stock Prices'!N102</f>
        <v>0.2835283528352836</v>
      </c>
    </row>
    <row r="102" spans="1:14" x14ac:dyDescent="0.3">
      <c r="A102" s="8" t="s">
        <v>238</v>
      </c>
      <c r="B102" s="8" t="s">
        <v>239</v>
      </c>
      <c r="C102" s="8" t="s">
        <v>206</v>
      </c>
      <c r="D102" s="8" t="s">
        <v>203</v>
      </c>
      <c r="E102" s="10">
        <f>('Stock Prices'!F103-'Stock Prices'!E103)/'Stock Prices'!E103</f>
        <v>0.21918443002780355</v>
      </c>
      <c r="F102" s="10">
        <f>('Stock Prices'!G103-'Stock Prices'!F103)/'Stock Prices'!F103</f>
        <v>2.5275560623337238E-2</v>
      </c>
      <c r="G102" s="10">
        <f>('Stock Prices'!H103-'Stock Prices'!G103)/'Stock Prices'!G103</f>
        <v>0.18980537534754391</v>
      </c>
      <c r="H102" s="10">
        <f>('Stock Prices'!I103-'Stock Prices'!H103)/'Stock Prices'!H103</f>
        <v>-0.23227917121046887</v>
      </c>
      <c r="I102" s="10">
        <f>('Stock Prices'!J103-'Stock Prices'!I103)/'Stock Prices'!I103</f>
        <v>0.48214285714285726</v>
      </c>
      <c r="J102" s="10">
        <f>('Stock Prices'!K103-'Stock Prices'!J103)/'Stock Prices'!J103</f>
        <v>9.583789704271475E-3</v>
      </c>
      <c r="K102" s="10">
        <f>('Stock Prices'!L103-'Stock Prices'!K103)/'Stock Prices'!K103</f>
        <v>0.39408733387577982</v>
      </c>
      <c r="L102" s="10">
        <f>('Stock Prices'!M103-'Stock Prices'!L103)/'Stock Prices'!L103</f>
        <v>-0.27217898832684828</v>
      </c>
      <c r="M102" s="10">
        <f>('Stock Prices'!N103-'Stock Prices'!M103)/'Stock Prices'!M103</f>
        <v>0.25768511093290569</v>
      </c>
      <c r="N102" s="10">
        <f>('Stock Prices'!O103-'Stock Prices'!N103)/'Stock Prices'!N103</f>
        <v>-8.9266737513282596E-3</v>
      </c>
    </row>
    <row r="103" spans="1:14" x14ac:dyDescent="0.3">
      <c r="A103" s="8" t="s">
        <v>240</v>
      </c>
      <c r="B103" s="8" t="s">
        <v>241</v>
      </c>
      <c r="C103" s="8" t="s">
        <v>206</v>
      </c>
      <c r="D103" s="8" t="s">
        <v>203</v>
      </c>
      <c r="E103" s="10">
        <f>('Stock Prices'!F104-'Stock Prices'!E104)/'Stock Prices'!E104</f>
        <v>0.10261854210898791</v>
      </c>
      <c r="F103" s="10">
        <f>('Stock Prices'!G104-'Stock Prices'!F104)/'Stock Prices'!F104</f>
        <v>-7.317073170731711E-2</v>
      </c>
      <c r="G103" s="10">
        <f>('Stock Prices'!H104-'Stock Prices'!G104)/'Stock Prices'!G104</f>
        <v>2.770083102493139E-3</v>
      </c>
      <c r="H103" s="10">
        <f>('Stock Prices'!I104-'Stock Prices'!H104)/'Stock Prices'!H104</f>
        <v>-2.7624309392265217E-2</v>
      </c>
      <c r="I103" s="10">
        <f>('Stock Prices'!J104-'Stock Prices'!I104)/'Stock Prices'!I104</f>
        <v>-6.7471590909090856E-2</v>
      </c>
      <c r="J103" s="10">
        <f>('Stock Prices'!K104-'Stock Prices'!J104)/'Stock Prices'!J104</f>
        <v>-0.25361766945925363</v>
      </c>
      <c r="K103" s="10">
        <f>('Stock Prices'!L104-'Stock Prices'!K104)/'Stock Prices'!K104</f>
        <v>-3.7755102040816425E-2</v>
      </c>
      <c r="L103" s="10">
        <f>('Stock Prices'!M104-'Stock Prices'!L104)/'Stock Prices'!L104</f>
        <v>-1.5906680805938531E-2</v>
      </c>
      <c r="M103" s="10">
        <f>('Stock Prices'!N104-'Stock Prices'!M104)/'Stock Prices'!M104</f>
        <v>0.10991379310344843</v>
      </c>
      <c r="N103" s="10">
        <f>('Stock Prices'!O104-'Stock Prices'!N104)/'Stock Prices'!N104</f>
        <v>-6.5048543689320379E-2</v>
      </c>
    </row>
    <row r="104" spans="1:14" x14ac:dyDescent="0.3">
      <c r="A104" s="8" t="s">
        <v>242</v>
      </c>
      <c r="B104" s="8" t="s">
        <v>243</v>
      </c>
      <c r="C104" s="8" t="s">
        <v>206</v>
      </c>
      <c r="D104" s="8" t="s">
        <v>203</v>
      </c>
      <c r="E104" s="10">
        <f>('Stock Prices'!F105-'Stock Prices'!E105)/'Stock Prices'!E105</f>
        <v>1.4864010120177068E-2</v>
      </c>
      <c r="F104" s="10">
        <f>('Stock Prices'!G105-'Stock Prices'!F105)/'Stock Prices'!F105</f>
        <v>0.32938610158928033</v>
      </c>
      <c r="G104" s="10">
        <f>('Stock Prices'!H105-'Stock Prices'!G105)/'Stock Prices'!G105</f>
        <v>0.8424753867791841</v>
      </c>
      <c r="H104" s="10">
        <f>('Stock Prices'!I105-'Stock Prices'!H105)/'Stock Prices'!H105</f>
        <v>1.1450381679389313E-2</v>
      </c>
      <c r="I104" s="10">
        <f>('Stock Prices'!J105-'Stock Prices'!I105)/'Stock Prices'!I105</f>
        <v>0.47496855345911937</v>
      </c>
      <c r="J104" s="10">
        <f>('Stock Prices'!K105-'Stock Prices'!J105)/'Stock Prices'!J105</f>
        <v>2.8995394849054162E-3</v>
      </c>
      <c r="K104" s="10">
        <f>('Stock Prices'!L105-'Stock Prices'!K105)/'Stock Prices'!K105</f>
        <v>0.20374149659863938</v>
      </c>
      <c r="L104" s="10">
        <f>('Stock Prices'!M105-'Stock Prices'!L105)/'Stock Prices'!L105</f>
        <v>-0.32820005651313927</v>
      </c>
      <c r="M104" s="10">
        <f>('Stock Prices'!N105-'Stock Prices'!M105)/'Stock Prices'!M105</f>
        <v>-0.16088328075709779</v>
      </c>
      <c r="N104" s="10">
        <f>('Stock Prices'!O105-'Stock Prices'!N105)/'Stock Prices'!N105</f>
        <v>-0.40576441102756894</v>
      </c>
    </row>
    <row r="105" spans="1:14" x14ac:dyDescent="0.3">
      <c r="A105" s="8" t="s">
        <v>244</v>
      </c>
      <c r="B105" s="8" t="s">
        <v>245</v>
      </c>
      <c r="C105" s="8" t="s">
        <v>206</v>
      </c>
      <c r="D105" s="8" t="s">
        <v>203</v>
      </c>
      <c r="E105" s="10">
        <f>('Stock Prices'!F106-'Stock Prices'!E106)/'Stock Prices'!E106</f>
        <v>3.5169988276670595E-2</v>
      </c>
      <c r="F105" s="10">
        <f>('Stock Prices'!G106-'Stock Prices'!F106)/'Stock Prices'!F106</f>
        <v>6.0508008412878088E-2</v>
      </c>
      <c r="G105" s="10">
        <f>('Stock Prices'!H106-'Stock Prices'!G106)/'Stock Prices'!G106</f>
        <v>-0.13577421815408083</v>
      </c>
      <c r="H105" s="10">
        <f>('Stock Prices'!I106-'Stock Prices'!H106)/'Stock Prices'!H106</f>
        <v>-0.13062665489849953</v>
      </c>
      <c r="I105" s="10">
        <f>('Stock Prices'!J106-'Stock Prices'!I106)/'Stock Prices'!I106</f>
        <v>-0.17360406091370553</v>
      </c>
      <c r="J105" s="10">
        <f>('Stock Prices'!K106-'Stock Prices'!J106)/'Stock Prices'!J106</f>
        <v>1.2776412776412678E-2</v>
      </c>
      <c r="K105" s="10">
        <f>('Stock Prices'!L106-'Stock Prices'!K106)/'Stock Prices'!K106</f>
        <v>0.45414847161572053</v>
      </c>
      <c r="L105" s="10">
        <f>('Stock Prices'!M106-'Stock Prices'!L106)/'Stock Prices'!L106</f>
        <v>-8.6753420086752766E-3</v>
      </c>
      <c r="M105" s="10">
        <f>('Stock Prices'!N106-'Stock Prices'!M106)/'Stock Prices'!M106</f>
        <v>0.41366543251430493</v>
      </c>
      <c r="N105" s="10">
        <f>('Stock Prices'!O106-'Stock Prices'!N106)/'Stock Prices'!N106</f>
        <v>0.21369047619047624</v>
      </c>
    </row>
    <row r="106" spans="1:14" x14ac:dyDescent="0.3">
      <c r="A106" s="8" t="s">
        <v>246</v>
      </c>
      <c r="B106" s="8" t="s">
        <v>247</v>
      </c>
      <c r="C106" s="8" t="s">
        <v>206</v>
      </c>
      <c r="D106" s="8" t="s">
        <v>203</v>
      </c>
      <c r="E106" s="10">
        <f>('Stock Prices'!F107-'Stock Prices'!E107)/'Stock Prices'!E107</f>
        <v>0.55777877697841749</v>
      </c>
      <c r="F106" s="10">
        <f>('Stock Prices'!G107-'Stock Prices'!F107)/'Stock Prices'!F107</f>
        <v>0.32962909510751892</v>
      </c>
      <c r="G106" s="10">
        <f>('Stock Prices'!H107-'Stock Prices'!G107)/'Stock Prices'!G107</f>
        <v>-2.4422012373819604E-2</v>
      </c>
      <c r="H106" s="10">
        <f>('Stock Prices'!I107-'Stock Prices'!H107)/'Stock Prices'!H107</f>
        <v>0.12149532710280377</v>
      </c>
      <c r="I106" s="10">
        <f>('Stock Prices'!J107-'Stock Prices'!I107)/'Stock Prices'!I107</f>
        <v>-8.0158730158730138E-2</v>
      </c>
      <c r="J106" s="10">
        <f>('Stock Prices'!K107-'Stock Prices'!J107)/'Stock Prices'!J107</f>
        <v>-0.18636755823986195</v>
      </c>
      <c r="K106" s="10">
        <f>('Stock Prices'!L107-'Stock Prices'!K107)/'Stock Prices'!K107</f>
        <v>-1.8557794273594986E-3</v>
      </c>
      <c r="L106" s="10">
        <f>('Stock Prices'!M107-'Stock Prices'!L107)/'Stock Prices'!L107</f>
        <v>0.58432934926958835</v>
      </c>
      <c r="M106" s="10">
        <f>('Stock Prices'!N107-'Stock Prices'!M107)/'Stock Prices'!M107</f>
        <v>0.12279966471081301</v>
      </c>
      <c r="N106" s="10">
        <f>('Stock Prices'!O107-'Stock Prices'!N107)/'Stock Prices'!N107</f>
        <v>2.65024262784622E-2</v>
      </c>
    </row>
    <row r="107" spans="1:14" x14ac:dyDescent="0.3">
      <c r="A107" s="8" t="s">
        <v>248</v>
      </c>
      <c r="B107" s="8" t="s">
        <v>249</v>
      </c>
      <c r="C107" s="8" t="s">
        <v>206</v>
      </c>
      <c r="D107" s="8" t="s">
        <v>203</v>
      </c>
      <c r="E107" s="10">
        <f>('Stock Prices'!F108-'Stock Prices'!E108)/'Stock Prices'!E108</f>
        <v>0.4399799095931694</v>
      </c>
      <c r="F107" s="10">
        <f>('Stock Prices'!G108-'Stock Prices'!F108)/'Stock Prices'!F108</f>
        <v>-6.8131612603185662E-2</v>
      </c>
      <c r="G107" s="10">
        <f>('Stock Prices'!H108-'Stock Prices'!G108)/'Stock Prices'!G108</f>
        <v>0.23381160324391759</v>
      </c>
      <c r="H107" s="10">
        <f>('Stock Prices'!I108-'Stock Prices'!H108)/'Stock Prices'!H108</f>
        <v>-0.13115582970977854</v>
      </c>
      <c r="I107" s="10">
        <f>('Stock Prices'!J108-'Stock Prices'!I108)/'Stock Prices'!I108</f>
        <v>0.28375232774674108</v>
      </c>
      <c r="J107" s="10">
        <f>('Stock Prices'!K108-'Stock Prices'!J108)/'Stock Prices'!J108</f>
        <v>0.16273798730734365</v>
      </c>
      <c r="K107" s="10">
        <f>('Stock Prices'!L108-'Stock Prices'!K108)/'Stock Prices'!K108</f>
        <v>0.68187134502923963</v>
      </c>
      <c r="L107" s="10">
        <f>('Stock Prices'!M108-'Stock Prices'!L108)/'Stock Prices'!L108</f>
        <v>-0.27700509967547521</v>
      </c>
      <c r="M107" s="10">
        <f>('Stock Prices'!N108-'Stock Prices'!M108)/'Stock Prices'!M108</f>
        <v>0.21032382173773653</v>
      </c>
      <c r="N107" s="10">
        <f>('Stock Prices'!O108-'Stock Prices'!N108)/'Stock Prices'!N108</f>
        <v>-0.17774834437086098</v>
      </c>
    </row>
    <row r="108" spans="1:14" x14ac:dyDescent="0.3">
      <c r="A108" s="8" t="s">
        <v>250</v>
      </c>
      <c r="B108" s="8" t="s">
        <v>251</v>
      </c>
      <c r="C108" s="8" t="s">
        <v>206</v>
      </c>
      <c r="D108" s="8" t="s">
        <v>203</v>
      </c>
      <c r="E108" s="10">
        <f>('Stock Prices'!F109-'Stock Prices'!E109)/'Stock Prices'!E109</f>
        <v>0.18162393162393176</v>
      </c>
      <c r="F108" s="10">
        <f>('Stock Prices'!G109-'Stock Prices'!F109)/'Stock Prices'!F109</f>
        <v>0.1948462929475587</v>
      </c>
      <c r="G108" s="10">
        <f>('Stock Prices'!H109-'Stock Prices'!G109)/'Stock Prices'!G109</f>
        <v>0.13091184260310257</v>
      </c>
      <c r="H108" s="10">
        <f>('Stock Prices'!I109-'Stock Prices'!H109)/'Stock Prices'!H109</f>
        <v>-0.29207092673134827</v>
      </c>
      <c r="I108" s="10">
        <f>('Stock Prices'!J109-'Stock Prices'!I109)/'Stock Prices'!I109</f>
        <v>0.27646502835538761</v>
      </c>
      <c r="J108" s="10">
        <f>('Stock Prices'!K109-'Stock Prices'!J109)/'Stock Prices'!J109</f>
        <v>-1.8511662347278784E-2</v>
      </c>
      <c r="K108" s="10">
        <f>('Stock Prices'!L109-'Stock Prices'!K109)/'Stock Prices'!K109</f>
        <v>0.3643907959260656</v>
      </c>
      <c r="L108" s="10">
        <f>('Stock Prices'!M109-'Stock Prices'!L109)/'Stock Prices'!L109</f>
        <v>-0.28144871440420244</v>
      </c>
      <c r="M108" s="10">
        <f>('Stock Prices'!N109-'Stock Prices'!M109)/'Stock Prices'!M109</f>
        <v>0.24894190073105052</v>
      </c>
      <c r="N108" s="10">
        <f>('Stock Prices'!O109-'Stock Prices'!N109)/'Stock Prices'!N109</f>
        <v>-2.6186075169439355E-2</v>
      </c>
    </row>
    <row r="109" spans="1:14" x14ac:dyDescent="0.3">
      <c r="A109" s="8" t="s">
        <v>252</v>
      </c>
      <c r="B109" s="8" t="s">
        <v>253</v>
      </c>
      <c r="C109" s="8" t="s">
        <v>206</v>
      </c>
      <c r="D109" s="8" t="s">
        <v>203</v>
      </c>
      <c r="E109" s="10">
        <f>('Stock Prices'!F110-'Stock Prices'!E110)/'Stock Prices'!E110</f>
        <v>0.50105857445306989</v>
      </c>
      <c r="F109" s="10">
        <f>('Stock Prices'!G110-'Stock Prices'!F110)/'Stock Prices'!F110</f>
        <v>-0.2665726375176305</v>
      </c>
      <c r="G109" s="10">
        <f>('Stock Prices'!H110-'Stock Prices'!G110)/'Stock Prices'!G110</f>
        <v>0.31474358974358985</v>
      </c>
      <c r="H109" s="10">
        <f>('Stock Prices'!I110-'Stock Prices'!H110)/'Stock Prices'!H110</f>
        <v>-0.16479765967820587</v>
      </c>
      <c r="I109" s="10">
        <f>('Stock Prices'!J110-'Stock Prices'!I110)/'Stock Prices'!I110</f>
        <v>0.34967892586106258</v>
      </c>
      <c r="J109" s="10">
        <f>('Stock Prices'!K110-'Stock Prices'!J110)/'Stock Prices'!J110</f>
        <v>-0.16003460207612452</v>
      </c>
      <c r="K109" s="10">
        <f>('Stock Prices'!L110-'Stock Prices'!K110)/'Stock Prices'!K110</f>
        <v>0.65190525231719854</v>
      </c>
      <c r="L109" s="10">
        <f>('Stock Prices'!M110-'Stock Prices'!L110)/'Stock Prices'!L110</f>
        <v>-0.25187032418952615</v>
      </c>
      <c r="M109" s="10">
        <f>('Stock Prices'!N110-'Stock Prices'!M110)/'Stock Prices'!M110</f>
        <v>0.18999999999999995</v>
      </c>
      <c r="N109" s="10">
        <f>('Stock Prices'!O110-'Stock Prices'!N110)/'Stock Prices'!N110</f>
        <v>-6.0224089635854301E-2</v>
      </c>
    </row>
    <row r="110" spans="1:14" x14ac:dyDescent="0.3">
      <c r="A110" s="8" t="s">
        <v>254</v>
      </c>
      <c r="B110" s="8" t="s">
        <v>110</v>
      </c>
      <c r="C110" s="8" t="s">
        <v>206</v>
      </c>
      <c r="D110" s="8" t="s">
        <v>203</v>
      </c>
      <c r="E110" s="10">
        <f>('Stock Prices'!F111-'Stock Prices'!E111)/'Stock Prices'!E111</f>
        <v>0.34603174603174613</v>
      </c>
      <c r="F110" s="10">
        <f>('Stock Prices'!G111-'Stock Prices'!F111)/'Stock Prices'!F111</f>
        <v>2.1226415094339587E-2</v>
      </c>
      <c r="G110" s="10">
        <f>('Stock Prices'!H111-'Stock Prices'!G111)/'Stock Prices'!G111</f>
        <v>0.72170900692840645</v>
      </c>
      <c r="H110" s="10">
        <f>('Stock Prices'!I111-'Stock Prices'!H111)/'Stock Prices'!H111</f>
        <v>-0.14956405097250169</v>
      </c>
      <c r="I110" s="10">
        <f>('Stock Prices'!J111-'Stock Prices'!I111)/'Stock Prices'!I111</f>
        <v>4.0220820189274434E-2</v>
      </c>
      <c r="J110" s="10">
        <f>('Stock Prices'!K111-'Stock Prices'!J111)/'Stock Prices'!J111</f>
        <v>0.11144806671721005</v>
      </c>
      <c r="K110" s="10">
        <f>('Stock Prices'!L111-'Stock Prices'!K111)/'Stock Prices'!K111</f>
        <v>0.13778990450204637</v>
      </c>
      <c r="L110" s="10">
        <f>('Stock Prices'!M111-'Stock Prices'!L111)/'Stock Prices'!L111</f>
        <v>-0.20443645083932854</v>
      </c>
      <c r="M110" s="10">
        <f>('Stock Prices'!N111-'Stock Prices'!M111)/'Stock Prices'!M111</f>
        <v>0.5938206480783722</v>
      </c>
      <c r="N110" s="10">
        <f>('Stock Prices'!O111-'Stock Prices'!N111)/'Stock Prices'!N111</f>
        <v>-0.40520094562647752</v>
      </c>
    </row>
    <row r="111" spans="1:14" x14ac:dyDescent="0.3">
      <c r="A111" s="8" t="s">
        <v>255</v>
      </c>
      <c r="B111" s="8" t="s">
        <v>256</v>
      </c>
      <c r="C111" s="8" t="s">
        <v>206</v>
      </c>
      <c r="D111" s="8" t="s">
        <v>203</v>
      </c>
      <c r="E111" s="10">
        <f>('Stock Prices'!F112-'Stock Prices'!E112)/'Stock Prices'!E112</f>
        <v>0.16359447004608291</v>
      </c>
      <c r="F111" s="10">
        <f>('Stock Prices'!G112-'Stock Prices'!F112)/'Stock Prices'!F112</f>
        <v>-2.923149457802918E-2</v>
      </c>
      <c r="G111" s="10">
        <f>('Stock Prices'!H112-'Stock Prices'!G112)/'Stock Prices'!G112</f>
        <v>0.28169014084507027</v>
      </c>
      <c r="H111" s="10">
        <f>('Stock Prices'!I112-'Stock Prices'!H112)/'Stock Prices'!H112</f>
        <v>7.1618037135278645E-2</v>
      </c>
      <c r="I111" s="10">
        <f>('Stock Prices'!J112-'Stock Prices'!I112)/'Stock Prices'!I112</f>
        <v>0.14073550212164077</v>
      </c>
      <c r="J111" s="10">
        <f>('Stock Prices'!K112-'Stock Prices'!J112)/'Stock Prices'!J112</f>
        <v>-7.4395536267824981E-3</v>
      </c>
      <c r="K111" s="10">
        <f>('Stock Prices'!L112-'Stock Prices'!K112)/'Stock Prices'!K112</f>
        <v>0.32417239225484079</v>
      </c>
      <c r="L111" s="10">
        <f>('Stock Prices'!M112-'Stock Prices'!L112)/'Stock Prices'!L112</f>
        <v>-0.13325471698113209</v>
      </c>
      <c r="M111" s="10">
        <f>('Stock Prices'!N112-'Stock Prices'!M112)/'Stock Prices'!M112</f>
        <v>-0.1306122448979592</v>
      </c>
      <c r="N111" s="10">
        <f>('Stock Prices'!O112-'Stock Prices'!N112)/'Stock Prices'!N112</f>
        <v>-0.32300469483568073</v>
      </c>
    </row>
    <row r="112" spans="1:14" x14ac:dyDescent="0.3">
      <c r="A112" s="8" t="s">
        <v>257</v>
      </c>
      <c r="B112" s="8" t="s">
        <v>258</v>
      </c>
      <c r="C112" s="8" t="s">
        <v>206</v>
      </c>
      <c r="D112" s="8" t="s">
        <v>203</v>
      </c>
      <c r="E112" s="10">
        <f>('Stock Prices'!F113-'Stock Prices'!E113)/'Stock Prices'!E113</f>
        <v>0.47410358565737071</v>
      </c>
      <c r="F112" s="10">
        <f>('Stock Prices'!G113-'Stock Prices'!F113)/'Stock Prices'!F113</f>
        <v>-2.162162162162164E-2</v>
      </c>
      <c r="G112" s="10">
        <f>('Stock Prices'!H113-'Stock Prices'!G113)/'Stock Prices'!G113</f>
        <v>0.22375690607734794</v>
      </c>
      <c r="H112" s="10">
        <f>('Stock Prices'!I113-'Stock Prices'!H113)/'Stock Prices'!H113</f>
        <v>0.14954853273137711</v>
      </c>
      <c r="I112" s="10">
        <f>('Stock Prices'!J113-'Stock Prices'!I113)/'Stock Prices'!I113</f>
        <v>0.45017182130584182</v>
      </c>
      <c r="J112" s="10">
        <f>('Stock Prices'!K113-'Stock Prices'!J113)/'Stock Prices'!J113</f>
        <v>0.13439404197698032</v>
      </c>
      <c r="K112" s="10">
        <f>('Stock Prices'!L113-'Stock Prices'!K113)/'Stock Prices'!K113</f>
        <v>0.57266487615637141</v>
      </c>
      <c r="L112" s="10">
        <f>('Stock Prices'!M113-'Stock Prices'!L113)/'Stock Prices'!L113</f>
        <v>-0.36451612903225805</v>
      </c>
      <c r="M112" s="10">
        <f>('Stock Prices'!N113-'Stock Prices'!M113)/'Stock Prices'!M113</f>
        <v>0.32099134069871599</v>
      </c>
      <c r="N112" s="10">
        <f>('Stock Prices'!O113-'Stock Prices'!N113)/'Stock Prices'!N113</f>
        <v>-0.25542495479204347</v>
      </c>
    </row>
    <row r="113" spans="1:14" x14ac:dyDescent="0.3">
      <c r="A113" s="8" t="s">
        <v>259</v>
      </c>
      <c r="B113" s="8" t="s">
        <v>260</v>
      </c>
      <c r="C113" s="8" t="s">
        <v>206</v>
      </c>
      <c r="D113" s="8" t="s">
        <v>203</v>
      </c>
      <c r="E113" s="10">
        <f>('Stock Prices'!F114-'Stock Prices'!E114)/'Stock Prices'!E114</f>
        <v>1.4432012014445326E-2</v>
      </c>
      <c r="F113" s="10">
        <f>('Stock Prices'!G114-'Stock Prices'!F114)/'Stock Prices'!F114</f>
        <v>8.1229943241541924E-2</v>
      </c>
      <c r="G113" s="10">
        <f>('Stock Prices'!H114-'Stock Prices'!G114)/'Stock Prices'!G114</f>
        <v>0.17147706153672279</v>
      </c>
      <c r="H113" s="10">
        <f>('Stock Prices'!I114-'Stock Prices'!H114)/'Stock Prices'!H114</f>
        <v>-0.29219026852672775</v>
      </c>
      <c r="I113" s="10">
        <f>('Stock Prices'!J114-'Stock Prices'!I114)/'Stock Prices'!I114</f>
        <v>0.37518605145651707</v>
      </c>
      <c r="J113" s="10">
        <f>('Stock Prices'!K114-'Stock Prices'!J114)/'Stock Prices'!J114</f>
        <v>-0.19868573637417861</v>
      </c>
      <c r="K113" s="10">
        <f>('Stock Prices'!L114-'Stock Prices'!K114)/'Stock Prices'!K114</f>
        <v>0.21601543656536409</v>
      </c>
      <c r="L113" s="10">
        <f>('Stock Prices'!M114-'Stock Prices'!L114)/'Stock Prices'!L114</f>
        <v>-0.22000952078705172</v>
      </c>
      <c r="M113" s="10">
        <f>('Stock Prices'!N114-'Stock Prices'!M114)/'Stock Prices'!M114</f>
        <v>0.30708981792289697</v>
      </c>
      <c r="N113" s="10">
        <f>('Stock Prices'!O114-'Stock Prices'!N114)/'Stock Prices'!N114</f>
        <v>3.5797665369649873E-2</v>
      </c>
    </row>
    <row r="114" spans="1:14" x14ac:dyDescent="0.3">
      <c r="A114" s="8" t="s">
        <v>261</v>
      </c>
      <c r="B114" s="8" t="s">
        <v>262</v>
      </c>
      <c r="C114" s="8" t="s">
        <v>206</v>
      </c>
      <c r="D114" s="8" t="s">
        <v>203</v>
      </c>
      <c r="E114" s="10">
        <f>('Stock Prices'!F115-'Stock Prices'!E115)/'Stock Prices'!E115</f>
        <v>0.11571225745385702</v>
      </c>
      <c r="F114" s="10">
        <f>('Stock Prices'!G115-'Stock Prices'!F115)/'Stock Prices'!F115</f>
        <v>-3.8176033934252389E-2</v>
      </c>
      <c r="G114" s="10">
        <f>('Stock Prices'!H115-'Stock Prices'!G115)/'Stock Prices'!G115</f>
        <v>-7.3869900771775077E-2</v>
      </c>
      <c r="H114" s="10">
        <f>('Stock Prices'!I115-'Stock Prices'!H115)/'Stock Prices'!H115</f>
        <v>-0.36542857142857149</v>
      </c>
      <c r="I114" s="10">
        <f>('Stock Prices'!J115-'Stock Prices'!I115)/'Stock Prices'!I115</f>
        <v>5.6956325979288638E-2</v>
      </c>
      <c r="J114" s="10">
        <f>('Stock Prices'!K115-'Stock Prices'!J115)/'Stock Prices'!J115</f>
        <v>-0.53851615193468227</v>
      </c>
      <c r="K114" s="10">
        <f>('Stock Prices'!L115-'Stock Prices'!K115)/'Stock Prices'!K115</f>
        <v>-6.4769230769230787E-2</v>
      </c>
      <c r="L114" s="10">
        <f>('Stock Prices'!M115-'Stock Prices'!L115)/'Stock Prices'!L115</f>
        <v>-0.20003290014805061</v>
      </c>
      <c r="M114" s="10">
        <f>('Stock Prices'!N115-'Stock Prices'!M115)/'Stock Prices'!M115</f>
        <v>0.37610528480361916</v>
      </c>
      <c r="N114" s="10">
        <f>('Stock Prices'!O115-'Stock Prices'!N115)/'Stock Prices'!N115</f>
        <v>8.069336521219353E-2</v>
      </c>
    </row>
    <row r="115" spans="1:14" x14ac:dyDescent="0.3">
      <c r="A115" s="8" t="s">
        <v>263</v>
      </c>
      <c r="B115" s="8" t="s">
        <v>264</v>
      </c>
      <c r="C115" s="8" t="s">
        <v>206</v>
      </c>
      <c r="D115" s="8" t="s">
        <v>203</v>
      </c>
      <c r="E115" s="10">
        <f>('Stock Prices'!F116-'Stock Prices'!E116)/'Stock Prices'!E116</f>
        <v>0.36843036630684839</v>
      </c>
      <c r="F115" s="10">
        <f>('Stock Prices'!G116-'Stock Prices'!F116)/'Stock Prices'!F116</f>
        <v>0.23238070606491659</v>
      </c>
      <c r="G115" s="10">
        <f>('Stock Prices'!H116-'Stock Prices'!G116)/'Stock Prices'!G116</f>
        <v>0.25341028331584475</v>
      </c>
      <c r="H115" s="10">
        <f>('Stock Prices'!I116-'Stock Prices'!H116)/'Stock Prices'!H116</f>
        <v>0.15529510255336959</v>
      </c>
      <c r="I115" s="10">
        <f>('Stock Prices'!J116-'Stock Prices'!I116)/'Stock Prices'!I116</f>
        <v>0.56956521739130428</v>
      </c>
      <c r="J115" s="10">
        <f>('Stock Prices'!K116-'Stock Prices'!J116)/'Stock Prices'!J116</f>
        <v>0.26361957525392427</v>
      </c>
      <c r="K115" s="10">
        <f>('Stock Prices'!L116-'Stock Prices'!K116)/'Stock Prices'!K116</f>
        <v>0.4446474241870661</v>
      </c>
      <c r="L115" s="10">
        <f>('Stock Prices'!M116-'Stock Prices'!L116)/'Stock Prices'!L116</f>
        <v>-0.43677288821446636</v>
      </c>
      <c r="M115" s="10">
        <f>('Stock Prices'!N116-'Stock Prices'!M116)/'Stock Prices'!M116</f>
        <v>-0.40704984283789841</v>
      </c>
      <c r="N115" s="10">
        <f>('Stock Prices'!O116-'Stock Prices'!N116)/'Stock Prices'!N116</f>
        <v>-0.38114350624763355</v>
      </c>
    </row>
    <row r="116" spans="1:14" x14ac:dyDescent="0.3">
      <c r="A116" s="8" t="s">
        <v>265</v>
      </c>
      <c r="B116" s="8" t="s">
        <v>266</v>
      </c>
      <c r="C116" s="8" t="s">
        <v>206</v>
      </c>
      <c r="D116" s="8" t="s">
        <v>203</v>
      </c>
      <c r="E116" s="10">
        <f>('Stock Prices'!F117-'Stock Prices'!E117)/'Stock Prices'!E117</f>
        <v>-0.59827586206896555</v>
      </c>
      <c r="F116" s="10">
        <f>('Stock Prices'!G117-'Stock Prices'!F117)/'Stock Prices'!F117</f>
        <v>0.87322548695939262</v>
      </c>
      <c r="G116" s="10">
        <f>('Stock Prices'!H117-'Stock Prices'!G117)/'Stock Prices'!G117</f>
        <v>0.74532957349312645</v>
      </c>
      <c r="H116" s="10">
        <f>('Stock Prices'!I117-'Stock Prices'!H117)/'Stock Prices'!H117</f>
        <v>-0.42593153589821264</v>
      </c>
      <c r="I116" s="10">
        <f>('Stock Prices'!J117-'Stock Prices'!I117)/'Stock Prices'!I117</f>
        <v>-0.19771328056288481</v>
      </c>
      <c r="J116" s="10">
        <f>('Stock Prices'!K117-'Stock Prices'!J117)/'Stock Prices'!J117</f>
        <v>-8.2218811664108743E-2</v>
      </c>
      <c r="K116" s="10">
        <f>('Stock Prices'!L117-'Stock Prices'!K117)/'Stock Prices'!K117</f>
        <v>0.67343526039178203</v>
      </c>
      <c r="L116" s="10">
        <f>('Stock Prices'!M117-'Stock Prices'!L117)/'Stock Prices'!L117</f>
        <v>0.19700214132762309</v>
      </c>
      <c r="M116" s="10">
        <f>('Stock Prices'!N117-'Stock Prices'!M117)/'Stock Prices'!M117</f>
        <v>-0.14728682170542629</v>
      </c>
      <c r="N116" s="10">
        <f>('Stock Prices'!O117-'Stock Prices'!N117)/'Stock Prices'!N117</f>
        <v>-0.25454545454545457</v>
      </c>
    </row>
    <row r="117" spans="1:14" x14ac:dyDescent="0.3">
      <c r="A117" s="8" t="s">
        <v>267</v>
      </c>
      <c r="B117" s="8" t="s">
        <v>112</v>
      </c>
      <c r="C117" s="8" t="s">
        <v>206</v>
      </c>
      <c r="D117" s="8" t="s">
        <v>203</v>
      </c>
      <c r="E117" s="10">
        <f>('Stock Prices'!F118-'Stock Prices'!E118)/'Stock Prices'!E118</f>
        <v>1.3738483917892348E-2</v>
      </c>
      <c r="F117" s="10">
        <f>('Stock Prices'!G118-'Stock Prices'!F118)/'Stock Prices'!F118</f>
        <v>0.71795280612244894</v>
      </c>
      <c r="G117" s="10">
        <f>('Stock Prices'!H118-'Stock Prices'!G118)/'Stock Prices'!G118</f>
        <v>0.68955916473317846</v>
      </c>
      <c r="H117" s="10">
        <f>('Stock Prices'!I118-'Stock Prices'!H118)/'Stock Prices'!H118</f>
        <v>-0.32793188684427355</v>
      </c>
      <c r="I117" s="10">
        <f>('Stock Prices'!J118-'Stock Prices'!I118)/'Stock Prices'!I118</f>
        <v>0.95995096035962413</v>
      </c>
      <c r="J117" s="10">
        <f>('Stock Prices'!K118-'Stock Prices'!J118)/'Stock Prices'!J118</f>
        <v>0.27314432860717258</v>
      </c>
      <c r="K117" s="10">
        <f>('Stock Prices'!L118-'Stock Prices'!K118)/'Stock Prices'!K118</f>
        <v>0.4326891767871216</v>
      </c>
      <c r="L117" s="10">
        <f>('Stock Prices'!M118-'Stock Prices'!L118)/'Stock Prices'!L118</f>
        <v>-0.2456562073316777</v>
      </c>
      <c r="M117" s="41">
        <f>('Stock Prices'!N118-'Stock Prices'!M118)/'Stock Prices'!M118</f>
        <v>-1</v>
      </c>
      <c r="N117" s="10"/>
    </row>
    <row r="118" spans="1:14" x14ac:dyDescent="0.3">
      <c r="A118" s="8" t="s">
        <v>269</v>
      </c>
      <c r="B118" s="8" t="s">
        <v>270</v>
      </c>
      <c r="C118" s="8" t="s">
        <v>206</v>
      </c>
      <c r="D118" s="8" t="s">
        <v>203</v>
      </c>
      <c r="E118" s="10">
        <f>('Stock Prices'!F119-'Stock Prices'!E119)/'Stock Prices'!E119</f>
        <v>0.56668327520345452</v>
      </c>
      <c r="F118" s="10">
        <f>('Stock Prices'!G119-'Stock Prices'!F119)/'Stock Prices'!F119</f>
        <v>-0.10410261846708357</v>
      </c>
      <c r="G118" s="10">
        <f>('Stock Prices'!H119-'Stock Prices'!G119)/'Stock Prices'!G119</f>
        <v>-7.0997515086972957E-3</v>
      </c>
      <c r="H118" s="10">
        <f>('Stock Prices'!I119-'Stock Prices'!H119)/'Stock Prices'!H119</f>
        <v>-0.35609581694672859</v>
      </c>
      <c r="I118" s="10">
        <f>('Stock Prices'!J119-'Stock Prices'!I119)/'Stock Prices'!I119</f>
        <v>-0.2115491393670183</v>
      </c>
      <c r="J118" s="10">
        <f>('Stock Prices'!K119-'Stock Prices'!J119)/'Stock Prices'!J119</f>
        <v>-0.15610328638497648</v>
      </c>
      <c r="K118" s="10">
        <f>('Stock Prices'!L119-'Stock Prices'!K119)/'Stock Prices'!K119</f>
        <v>-0.16272600834492354</v>
      </c>
      <c r="L118" s="10">
        <f>('Stock Prices'!M119-'Stock Prices'!L119)/'Stock Prices'!L119</f>
        <v>3.9202657807308958E-2</v>
      </c>
      <c r="M118" s="10">
        <f>('Stock Prices'!N119-'Stock Prices'!M119)/'Stock Prices'!M119</f>
        <v>0.17966751918158558</v>
      </c>
      <c r="N118" s="10">
        <f>('Stock Prices'!O119-'Stock Prices'!N119)/'Stock Prices'!N119</f>
        <v>0.26422764227642276</v>
      </c>
    </row>
    <row r="119" spans="1:14" x14ac:dyDescent="0.3">
      <c r="A119" s="8" t="s">
        <v>271</v>
      </c>
      <c r="B119" s="8" t="s">
        <v>272</v>
      </c>
      <c r="C119" s="8" t="s">
        <v>206</v>
      </c>
      <c r="D119" s="8" t="s">
        <v>203</v>
      </c>
      <c r="E119" s="10">
        <f>('Stock Prices'!F120-'Stock Prices'!E120)/'Stock Prices'!E120</f>
        <v>0.13359722909450769</v>
      </c>
      <c r="F119" s="10">
        <f>('Stock Prices'!G120-'Stock Prices'!F120)/'Stock Prices'!F120</f>
        <v>0.19394733013240212</v>
      </c>
      <c r="G119" s="10">
        <f>('Stock Prices'!H120-'Stock Prices'!G120)/'Stock Prices'!G120</f>
        <v>2.6078479161589087E-2</v>
      </c>
      <c r="H119" s="10">
        <f>('Stock Prices'!I120-'Stock Prices'!H120)/'Stock Prices'!H120</f>
        <v>-0.21638954869358668</v>
      </c>
      <c r="I119" s="10">
        <f>('Stock Prices'!J120-'Stock Prices'!I120)/'Stock Prices'!I120</f>
        <v>0.2020309184601394</v>
      </c>
      <c r="J119" s="10">
        <f>('Stock Prices'!K120-'Stock Prices'!J120)/'Stock Prices'!J120</f>
        <v>-0.33602320010087006</v>
      </c>
      <c r="K119" s="10">
        <f>('Stock Prices'!L120-'Stock Prices'!K120)/'Stock Prices'!K120</f>
        <v>0.10539308773262447</v>
      </c>
      <c r="L119" s="10">
        <f>('Stock Prices'!M120-'Stock Prices'!L120)/'Stock Prices'!L120</f>
        <v>0.15512798488232252</v>
      </c>
      <c r="M119" s="10">
        <f>('Stock Prices'!N120-'Stock Prices'!M120)/'Stock Prices'!M120</f>
        <v>0.11332540154669847</v>
      </c>
      <c r="N119" s="10">
        <f>('Stock Prices'!O120-'Stock Prices'!N120)/'Stock Prices'!N120</f>
        <v>5.263157894736839E-2</v>
      </c>
    </row>
    <row r="120" spans="1:14" x14ac:dyDescent="0.3">
      <c r="A120" s="8" t="s">
        <v>273</v>
      </c>
      <c r="B120" s="8" t="s">
        <v>274</v>
      </c>
      <c r="C120" s="8" t="s">
        <v>206</v>
      </c>
      <c r="D120" s="8" t="s">
        <v>203</v>
      </c>
      <c r="E120" s="10">
        <f>('Stock Prices'!F121-'Stock Prices'!E121)/'Stock Prices'!E121</f>
        <v>8.6103323988786631E-2</v>
      </c>
      <c r="F120" s="10">
        <f>('Stock Prices'!G121-'Stock Prices'!F121)/'Stock Prices'!F121</f>
        <v>-0.15597345132743365</v>
      </c>
      <c r="G120" s="10">
        <f>('Stock Prices'!H121-'Stock Prices'!G121)/'Stock Prices'!G121</f>
        <v>-0.21188291830493672</v>
      </c>
      <c r="H120" s="10">
        <f>('Stock Prices'!I121-'Stock Prices'!H121)/'Stock Prices'!H121</f>
        <v>-0.17793791574279375</v>
      </c>
      <c r="I120" s="10">
        <f>('Stock Prices'!J121-'Stock Prices'!I121)/'Stock Prices'!I121</f>
        <v>2.0229265003371591E-2</v>
      </c>
      <c r="J120" s="10">
        <f>('Stock Prices'!K121-'Stock Prices'!J121)/'Stock Prices'!J121</f>
        <v>-5.81625908790483E-2</v>
      </c>
      <c r="K120" s="10">
        <f>('Stock Prices'!L121-'Stock Prices'!K121)/'Stock Prices'!K121</f>
        <v>0.12350877192982467</v>
      </c>
      <c r="L120" s="10">
        <f>('Stock Prices'!M121-'Stock Prices'!L121)/'Stock Prices'!L121</f>
        <v>-2.3110555902560958E-2</v>
      </c>
      <c r="M120" s="10">
        <f>('Stock Prices'!N121-'Stock Prices'!M121)/'Stock Prices'!M121</f>
        <v>5.9462915601023E-2</v>
      </c>
      <c r="N120" s="10">
        <f>('Stock Prices'!O121-'Stock Prices'!N121)/'Stock Prices'!N121</f>
        <v>-0.18105009052504525</v>
      </c>
    </row>
    <row r="121" spans="1:14" x14ac:dyDescent="0.3">
      <c r="A121" s="8" t="s">
        <v>275</v>
      </c>
      <c r="B121" s="8" t="s">
        <v>276</v>
      </c>
      <c r="C121" s="8" t="s">
        <v>206</v>
      </c>
      <c r="D121" s="8" t="s">
        <v>203</v>
      </c>
      <c r="E121" s="10">
        <f>('Stock Prices'!F122-'Stock Prices'!E122)/'Stock Prices'!E122</f>
        <v>-0.24166305760069287</v>
      </c>
      <c r="F121" s="10">
        <f>('Stock Prices'!G122-'Stock Prices'!F122)/'Stock Prices'!F122</f>
        <v>7.5385494003426423E-2</v>
      </c>
      <c r="G121" s="10">
        <f>('Stock Prices'!H122-'Stock Prices'!G122)/'Stock Prices'!G122</f>
        <v>0.28412108337758907</v>
      </c>
      <c r="H121" s="10">
        <f>('Stock Prices'!I122-'Stock Prices'!H122)/'Stock Prices'!H122</f>
        <v>0.31348221670802323</v>
      </c>
      <c r="I121" s="10">
        <f>('Stock Prices'!J122-'Stock Prices'!I122)/'Stock Prices'!I122</f>
        <v>0.45465994962216627</v>
      </c>
      <c r="J121" s="10">
        <f>('Stock Prices'!K122-'Stock Prices'!J122)/'Stock Prices'!J122</f>
        <v>2.74891774891774E-2</v>
      </c>
      <c r="K121" s="10">
        <f>('Stock Prices'!L122-'Stock Prices'!K122)/'Stock Prices'!K122</f>
        <v>-0.1476722140299136</v>
      </c>
      <c r="L121" s="10">
        <f>('Stock Prices'!M122-'Stock Prices'!L122)/'Stock Prices'!L122</f>
        <v>0.25753830944142364</v>
      </c>
      <c r="M121" s="10">
        <f>('Stock Prices'!N122-'Stock Prices'!M122)/'Stock Prices'!M122</f>
        <v>6.4072327044025115E-2</v>
      </c>
      <c r="N121" s="10">
        <f>('Stock Prices'!O122-'Stock Prices'!N122)/'Stock Prices'!N122</f>
        <v>-0.42999630587366089</v>
      </c>
    </row>
    <row r="122" spans="1:14" x14ac:dyDescent="0.3">
      <c r="A122" s="8" t="s">
        <v>277</v>
      </c>
      <c r="B122" s="8" t="s">
        <v>278</v>
      </c>
      <c r="C122" s="8" t="s">
        <v>206</v>
      </c>
      <c r="D122" s="8" t="s">
        <v>203</v>
      </c>
      <c r="E122" s="10">
        <f>('Stock Prices'!F123-'Stock Prices'!E123)/'Stock Prices'!E123</f>
        <v>0.28856942496493693</v>
      </c>
      <c r="F122" s="10">
        <f>('Stock Prices'!G123-'Stock Prices'!F123)/'Stock Prices'!F123</f>
        <v>0.2870748299319727</v>
      </c>
      <c r="G122" s="10">
        <f>('Stock Prices'!H123-'Stock Prices'!G123)/'Stock Prices'!G123</f>
        <v>0.57906976744186056</v>
      </c>
      <c r="H122" s="10">
        <f>('Stock Prices'!I123-'Stock Prices'!H123)/'Stock Prices'!H123</f>
        <v>-0.25291203641719107</v>
      </c>
      <c r="I122" s="10">
        <f>('Stock Prices'!J123-'Stock Prices'!I123)/'Stock Prices'!I123</f>
        <v>0.43100358422939067</v>
      </c>
      <c r="J122" s="10">
        <f>('Stock Prices'!K123-'Stock Prices'!J123)/'Stock Prices'!J123</f>
        <v>0.46149029430181604</v>
      </c>
      <c r="K122" s="10">
        <f>('Stock Prices'!L123-'Stock Prices'!K123)/'Stock Prices'!K123</f>
        <v>7.669237360754072E-2</v>
      </c>
      <c r="L122" s="10">
        <f>('Stock Prices'!M123-'Stock Prices'!L123)/'Stock Prices'!L123</f>
        <v>-0.2206923995224831</v>
      </c>
      <c r="M122" s="10">
        <f>('Stock Prices'!N123-'Stock Prices'!M123)/'Stock Prices'!M123</f>
        <v>2.7369281045751558E-2</v>
      </c>
      <c r="N122" s="10">
        <f>('Stock Prices'!O123-'Stock Prices'!N123)/'Stock Prices'!N123</f>
        <v>1.7892644135188981E-2</v>
      </c>
    </row>
    <row r="123" spans="1:14" x14ac:dyDescent="0.3">
      <c r="A123" s="6" t="s">
        <v>279</v>
      </c>
      <c r="B123" s="7"/>
      <c r="C123" s="7"/>
      <c r="D123" s="7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3">
      <c r="A124" s="8" t="s">
        <v>280</v>
      </c>
      <c r="B124" s="8" t="s">
        <v>281</v>
      </c>
      <c r="C124" s="8" t="s">
        <v>282</v>
      </c>
      <c r="D124" s="8" t="s">
        <v>279</v>
      </c>
      <c r="E124" s="10">
        <f>('Stock Prices'!F125-'Stock Prices'!E125)/'Stock Prices'!E125</f>
        <v>0.34892541087231344</v>
      </c>
      <c r="F124" s="10">
        <f>('Stock Prices'!G125-'Stock Prices'!F125)/'Stock Prices'!F125</f>
        <v>1.3120899718837918E-2</v>
      </c>
      <c r="G124" s="10">
        <f>('Stock Prices'!H125-'Stock Prices'!G125)/'Stock Prices'!G125</f>
        <v>-0.10422448350292936</v>
      </c>
      <c r="H124" s="10">
        <f>('Stock Prices'!I125-'Stock Prices'!H125)/'Stock Prices'!H125</f>
        <v>-0.22925989672977626</v>
      </c>
      <c r="I124" s="10">
        <f>('Stock Prices'!J125-'Stock Prices'!I125)/'Stock Prices'!I125</f>
        <v>0.41804376953997319</v>
      </c>
      <c r="J124" s="10">
        <f>('Stock Prices'!K125-'Stock Prices'!J125)/'Stock Prices'!J125</f>
        <v>-0.16881889763779526</v>
      </c>
      <c r="K124" s="10">
        <f>('Stock Prices'!L125-'Stock Prices'!K125)/'Stock Prices'!K125</f>
        <v>8.1091322470632832E-2</v>
      </c>
      <c r="L124" s="10">
        <f>('Stock Prices'!M125-'Stock Prices'!L125)/'Stock Prices'!L125</f>
        <v>-0.12898703119523308</v>
      </c>
      <c r="M124" s="10">
        <f>('Stock Prices'!N125-'Stock Prices'!M125)/'Stock Prices'!M125</f>
        <v>0.58672032193158941</v>
      </c>
      <c r="N124" s="10">
        <f>('Stock Prices'!O125-'Stock Prices'!N125)/'Stock Prices'!N125</f>
        <v>0.25893989348212021</v>
      </c>
    </row>
    <row r="125" spans="1:14" x14ac:dyDescent="0.3">
      <c r="A125" s="8" t="s">
        <v>283</v>
      </c>
      <c r="B125" s="8" t="s">
        <v>284</v>
      </c>
      <c r="C125" s="8" t="s">
        <v>282</v>
      </c>
      <c r="D125" s="8" t="s">
        <v>279</v>
      </c>
      <c r="E125" s="10">
        <f>('Stock Prices'!F126-'Stock Prices'!E126)/'Stock Prices'!E126</f>
        <v>-0.34290030211480371</v>
      </c>
      <c r="F125" s="10">
        <f>('Stock Prices'!G126-'Stock Prices'!F126)/'Stock Prices'!F126</f>
        <v>7.3563218390804666E-2</v>
      </c>
      <c r="G125" s="10">
        <f>('Stock Prices'!H126-'Stock Prices'!G126)/'Stock Prices'!G126</f>
        <v>0.12419700214132764</v>
      </c>
      <c r="H125" s="10">
        <f>('Stock Prices'!I126-'Stock Prices'!H126)/'Stock Prices'!H126</f>
        <v>-0.28000000000000003</v>
      </c>
      <c r="I125" s="10">
        <f>('Stock Prices'!J126-'Stock Prices'!I126)/'Stock Prices'!I126</f>
        <v>-5.0264550264550255E-2</v>
      </c>
      <c r="J125" s="10">
        <f>('Stock Prices'!K126-'Stock Prices'!J126)/'Stock Prices'!J126</f>
        <v>-0.28133704735376042</v>
      </c>
      <c r="K125" s="10">
        <f>('Stock Prices'!L126-'Stock Prices'!K126)/'Stock Prices'!K126</f>
        <v>0.13953488372093018</v>
      </c>
      <c r="L125" s="10">
        <f>('Stock Prices'!M126-'Stock Prices'!L126)/'Stock Prices'!L126</f>
        <v>-4.7619047619047665E-2</v>
      </c>
      <c r="M125" s="10">
        <f>('Stock Prices'!N126-'Stock Prices'!M126)/'Stock Prices'!M126</f>
        <v>0.35000000000000003</v>
      </c>
      <c r="N125" s="10">
        <f>('Stock Prices'!O126-'Stock Prices'!N126)/'Stock Prices'!N126</f>
        <v>0.16402116402116418</v>
      </c>
    </row>
    <row r="126" spans="1:14" x14ac:dyDescent="0.3">
      <c r="A126" s="8" t="s">
        <v>285</v>
      </c>
      <c r="B126" s="8" t="s">
        <v>286</v>
      </c>
      <c r="C126" s="8" t="s">
        <v>282</v>
      </c>
      <c r="D126" s="8" t="s">
        <v>279</v>
      </c>
      <c r="E126" s="10">
        <f>('Stock Prices'!F127-'Stock Prices'!E127)/'Stock Prices'!E127</f>
        <v>0.17710196779964227</v>
      </c>
      <c r="F126" s="10">
        <f>('Stock Prices'!G127-'Stock Prices'!F127)/'Stock Prices'!F127</f>
        <v>-5.3191489361702073E-2</v>
      </c>
      <c r="G126" s="10">
        <f>('Stock Prices'!H127-'Stock Prices'!G127)/'Stock Prices'!G127</f>
        <v>3.6918138041733474E-2</v>
      </c>
      <c r="H126" s="10">
        <f>('Stock Prices'!I127-'Stock Prices'!H127)/'Stock Prices'!H127</f>
        <v>6.9659442724458231E-2</v>
      </c>
      <c r="I126" s="10">
        <f>('Stock Prices'!J127-'Stock Prices'!I127)/'Stock Prices'!I127</f>
        <v>0.34298118668596228</v>
      </c>
      <c r="J126" s="10">
        <f>('Stock Prices'!K127-'Stock Prices'!J127)/'Stock Prices'!J127</f>
        <v>0.26508620689655182</v>
      </c>
      <c r="K126" s="10">
        <f>('Stock Prices'!L127-'Stock Prices'!K127)/'Stock Prices'!K127</f>
        <v>-0.11328790459965929</v>
      </c>
      <c r="L126" s="10">
        <f>('Stock Prices'!M127-'Stock Prices'!L127)/'Stock Prices'!L127</f>
        <v>4.9951969260326565E-2</v>
      </c>
      <c r="M126" s="10">
        <f>('Stock Prices'!N127-'Stock Prices'!M127)/'Stock Prices'!M127</f>
        <v>8.600182982616647E-2</v>
      </c>
      <c r="N126" s="10">
        <f>('Stock Prices'!O127-'Stock Prices'!N127)/'Stock Prices'!N127</f>
        <v>0.11373209772535817</v>
      </c>
    </row>
    <row r="127" spans="1:14" x14ac:dyDescent="0.3">
      <c r="A127" s="8" t="s">
        <v>287</v>
      </c>
      <c r="B127" s="8" t="s">
        <v>288</v>
      </c>
      <c r="C127" s="8" t="s">
        <v>282</v>
      </c>
      <c r="D127" s="8" t="s">
        <v>279</v>
      </c>
      <c r="E127" s="10">
        <f>('Stock Prices'!F128-'Stock Prices'!E128)/'Stock Prices'!E128</f>
        <v>-0.12977099236641226</v>
      </c>
      <c r="F127" s="10">
        <f>('Stock Prices'!G128-'Stock Prices'!F128)/'Stock Prices'!F128</f>
        <v>-6.2865497076023347E-2</v>
      </c>
      <c r="G127" s="10">
        <f>('Stock Prices'!H128-'Stock Prices'!G128)/'Stock Prices'!G128</f>
        <v>0.10920436817472702</v>
      </c>
      <c r="H127" s="10">
        <f>('Stock Prices'!I128-'Stock Prices'!H128)/'Stock Prices'!H128</f>
        <v>-0.34739803094233479</v>
      </c>
      <c r="I127" s="10">
        <f>('Stock Prices'!J128-'Stock Prices'!I128)/'Stock Prices'!I128</f>
        <v>7.9741379310344862E-2</v>
      </c>
      <c r="J127" s="10">
        <f>('Stock Prices'!K128-'Stock Prices'!J128)/'Stock Prices'!J128</f>
        <v>-0.1876247504990019</v>
      </c>
      <c r="K127" s="10">
        <f>('Stock Prices'!L128-'Stock Prices'!K128)/'Stock Prices'!K128</f>
        <v>0.28992628992628983</v>
      </c>
      <c r="L127" s="10">
        <f>('Stock Prices'!M128-'Stock Prices'!L128)/'Stock Prices'!L128</f>
        <v>7.2380952380952365E-2</v>
      </c>
      <c r="M127" s="10">
        <f>('Stock Prices'!N128-'Stock Prices'!M128)/'Stock Prices'!M128</f>
        <v>0.46181172291296635</v>
      </c>
      <c r="N127" s="10">
        <f>('Stock Prices'!O128-'Stock Prices'!N128)/'Stock Prices'!N128</f>
        <v>0.13851761846901564</v>
      </c>
    </row>
    <row r="128" spans="1:14" x14ac:dyDescent="0.3">
      <c r="A128" s="8" t="s">
        <v>289</v>
      </c>
      <c r="B128" s="8" t="s">
        <v>290</v>
      </c>
      <c r="C128" s="8" t="s">
        <v>282</v>
      </c>
      <c r="D128" s="8" t="s">
        <v>279</v>
      </c>
      <c r="E128" s="10">
        <f>('Stock Prices'!F129-'Stock Prices'!E129)/'Stock Prices'!E129</f>
        <v>-0.1107325383304941</v>
      </c>
      <c r="F128" s="10">
        <f>('Stock Prices'!G129-'Stock Prices'!F129)/'Stock Prices'!F129</f>
        <v>-0.15517241379310337</v>
      </c>
      <c r="G128" s="10">
        <f>('Stock Prices'!H129-'Stock Prices'!G129)/'Stock Prices'!G129</f>
        <v>-7.8231292517006737E-2</v>
      </c>
      <c r="H128" s="10">
        <f>('Stock Prices'!I129-'Stock Prices'!H129)/'Stock Prices'!H129</f>
        <v>-9.2250922509225189E-2</v>
      </c>
      <c r="I128" s="10">
        <f>('Stock Prices'!J129-'Stock Prices'!I129)/'Stock Prices'!I129</f>
        <v>-0.14363143631436309</v>
      </c>
      <c r="J128" s="10">
        <f>('Stock Prices'!K129-'Stock Prices'!J129)/'Stock Prices'!J129</f>
        <v>-0.48259493670886078</v>
      </c>
      <c r="K128" s="10">
        <f>('Stock Prices'!L129-'Stock Prices'!K129)/'Stock Prices'!K129</f>
        <v>0.17737003058103978</v>
      </c>
      <c r="L128" s="10">
        <f>('Stock Prices'!M129-'Stock Prices'!L129)/'Stock Prices'!L129</f>
        <v>-0.11948051948051946</v>
      </c>
      <c r="M128" s="10">
        <f>('Stock Prices'!N129-'Stock Prices'!M129)/'Stock Prices'!M129</f>
        <v>4.129793510324474E-2</v>
      </c>
      <c r="N128" s="10">
        <f>('Stock Prices'!O129-'Stock Prices'!N129)/'Stock Prices'!N129</f>
        <v>0.1133144475920681</v>
      </c>
    </row>
    <row r="129" spans="1:14" x14ac:dyDescent="0.3">
      <c r="A129" s="8" t="s">
        <v>291</v>
      </c>
      <c r="B129" s="8" t="s">
        <v>292</v>
      </c>
      <c r="C129" s="8" t="s">
        <v>282</v>
      </c>
      <c r="D129" s="8" t="s">
        <v>279</v>
      </c>
      <c r="E129" s="10">
        <f>('Stock Prices'!F130-'Stock Prices'!E130)/'Stock Prices'!E130</f>
        <v>0.30548628428927693</v>
      </c>
      <c r="F129" s="10">
        <f>('Stock Prices'!G130-'Stock Prices'!F130)/'Stock Prices'!F130</f>
        <v>-0.1881566380133716</v>
      </c>
      <c r="G129" s="10">
        <f>('Stock Prices'!H130-'Stock Prices'!G130)/'Stock Prices'!G130</f>
        <v>0.11294117647058834</v>
      </c>
      <c r="H129" s="10">
        <f>('Stock Prices'!I130-'Stock Prices'!H130)/'Stock Prices'!H130</f>
        <v>-6.9238900634249589E-2</v>
      </c>
      <c r="I129" s="10">
        <f>('Stock Prices'!J130-'Stock Prices'!I130)/'Stock Prices'!I130</f>
        <v>0.5184554230550823</v>
      </c>
      <c r="J129" s="10">
        <f>('Stock Prices'!K130-'Stock Prices'!J130)/'Stock Prices'!J130</f>
        <v>-0.14996260284218393</v>
      </c>
      <c r="K129" s="10">
        <f>('Stock Prices'!L130-'Stock Prices'!K130)/'Stock Prices'!K130</f>
        <v>0.21249450065992073</v>
      </c>
      <c r="L129" s="10">
        <f>('Stock Prices'!M130-'Stock Prices'!L130)/'Stock Prices'!L130</f>
        <v>-0.11211901306240929</v>
      </c>
      <c r="M129" s="10">
        <f>('Stock Prices'!N130-'Stock Prices'!M130)/'Stock Prices'!M130</f>
        <v>0.34940743767879057</v>
      </c>
      <c r="N129" s="10">
        <f>('Stock Prices'!O130-'Stock Prices'!N130)/'Stock Prices'!N130</f>
        <v>0.23137492428830989</v>
      </c>
    </row>
    <row r="130" spans="1:14" x14ac:dyDescent="0.3">
      <c r="A130" s="8" t="s">
        <v>293</v>
      </c>
      <c r="B130" s="8" t="s">
        <v>294</v>
      </c>
      <c r="C130" s="8" t="s">
        <v>282</v>
      </c>
      <c r="D130" s="8" t="s">
        <v>279</v>
      </c>
      <c r="E130" s="10">
        <f>('Stock Prices'!F131-'Stock Prices'!E131)/'Stock Prices'!E131</f>
        <v>-0.25858123569794045</v>
      </c>
      <c r="F130" s="10">
        <f>('Stock Prices'!G131-'Stock Prices'!F131)/'Stock Prices'!F131</f>
        <v>-3.0864197530864224E-2</v>
      </c>
      <c r="G130" s="10">
        <f>('Stock Prices'!H131-'Stock Prices'!G131)/'Stock Prices'!G131</f>
        <v>0.23885350318471338</v>
      </c>
      <c r="H130" s="10">
        <f>('Stock Prices'!I131-'Stock Prices'!H131)/'Stock Prices'!H131</f>
        <v>-0.19537275064267356</v>
      </c>
      <c r="I130" s="10">
        <f>('Stock Prices'!J131-'Stock Prices'!I131)/'Stock Prices'!I131</f>
        <v>-0.10543130990415338</v>
      </c>
      <c r="J130" s="10">
        <f>('Stock Prices'!K131-'Stock Prices'!J131)/'Stock Prices'!J131</f>
        <v>-0.23928571428571427</v>
      </c>
      <c r="K130" s="10">
        <f>('Stock Prices'!L131-'Stock Prices'!K131)/'Stock Prices'!K131</f>
        <v>0.13145539906103298</v>
      </c>
      <c r="L130" s="10">
        <f>('Stock Prices'!M131-'Stock Prices'!L131)/'Stock Prices'!L131</f>
        <v>0.5228215767634854</v>
      </c>
      <c r="M130" s="10">
        <f>('Stock Prices'!N131-'Stock Prices'!M131)/'Stock Prices'!M131</f>
        <v>1.6348773841961869E-2</v>
      </c>
      <c r="N130" s="10">
        <f>('Stock Prices'!O131-'Stock Prices'!N131)/'Stock Prices'!N131</f>
        <v>0.39678284182305629</v>
      </c>
    </row>
    <row r="131" spans="1:14" x14ac:dyDescent="0.3">
      <c r="A131" s="8" t="s">
        <v>295</v>
      </c>
      <c r="B131" s="8" t="s">
        <v>296</v>
      </c>
      <c r="C131" s="8" t="s">
        <v>282</v>
      </c>
      <c r="D131" s="8" t="s">
        <v>279</v>
      </c>
      <c r="E131" s="10">
        <f>('Stock Prices'!F132-'Stock Prices'!E132)/'Stock Prices'!E132</f>
        <v>0.25443968156766694</v>
      </c>
      <c r="F131" s="10">
        <f>('Stock Prices'!G132-'Stock Prices'!F132)/'Stock Prices'!F132</f>
        <v>5.3697827678789431E-2</v>
      </c>
      <c r="G131" s="10">
        <f>('Stock Prices'!H132-'Stock Prices'!G132)/'Stock Prices'!G132</f>
        <v>0.39240213110956679</v>
      </c>
      <c r="H131" s="10">
        <f>('Stock Prices'!I132-'Stock Prices'!H132)/'Stock Prices'!H132</f>
        <v>1.87988687406422E-2</v>
      </c>
      <c r="I131" s="10">
        <f>('Stock Prices'!J132-'Stock Prices'!I132)/'Stock Prices'!I132</f>
        <v>0.19072501632919658</v>
      </c>
      <c r="J131" s="10">
        <f>('Stock Prices'!K132-'Stock Prices'!J132)/'Stock Prices'!J132</f>
        <v>-0.16730663741086124</v>
      </c>
      <c r="K131" s="10">
        <f>('Stock Prices'!L132-'Stock Prices'!K132)/'Stock Prices'!K132</f>
        <v>-1.7786561264822108E-2</v>
      </c>
      <c r="L131" s="10">
        <f>('Stock Prices'!M132-'Stock Prices'!L132)/'Stock Prices'!L132</f>
        <v>-0.18594902749832332</v>
      </c>
      <c r="M131" s="10">
        <f>('Stock Prices'!N132-'Stock Prices'!M132)/'Stock Prices'!M132</f>
        <v>0.33635427394438722</v>
      </c>
      <c r="N131" s="10">
        <f>('Stock Prices'!O132-'Stock Prices'!N132)/'Stock Prices'!N132</f>
        <v>4.1615289765721375E-2</v>
      </c>
    </row>
    <row r="132" spans="1:14" x14ac:dyDescent="0.3">
      <c r="A132" s="8" t="s">
        <v>297</v>
      </c>
      <c r="B132" s="8" t="s">
        <v>298</v>
      </c>
      <c r="C132" s="8" t="s">
        <v>282</v>
      </c>
      <c r="D132" s="8" t="s">
        <v>279</v>
      </c>
      <c r="E132" s="10">
        <f>('Stock Prices'!F133-'Stock Prices'!E133)/'Stock Prices'!E133</f>
        <v>-0.33847141939627484</v>
      </c>
      <c r="F132" s="10">
        <f>('Stock Prices'!G133-'Stock Prices'!F133)/'Stock Prices'!F133</f>
        <v>0.3029126213592232</v>
      </c>
      <c r="G132" s="10">
        <f>('Stock Prices'!H133-'Stock Prices'!G133)/'Stock Prices'!G133</f>
        <v>9.9105812220566331E-2</v>
      </c>
      <c r="H132" s="10">
        <f>('Stock Prices'!I133-'Stock Prices'!H133)/'Stock Prices'!H133</f>
        <v>-3.9322033898305089E-2</v>
      </c>
      <c r="I132" s="10">
        <f>('Stock Prices'!J133-'Stock Prices'!I133)/'Stock Prices'!I133</f>
        <v>-2.822865208186249E-3</v>
      </c>
      <c r="J132" s="10">
        <f>('Stock Prices'!K133-'Stock Prices'!J133)/'Stock Prices'!J133</f>
        <v>-0.41330502476999303</v>
      </c>
      <c r="K132" s="10">
        <f>('Stock Prices'!L133-'Stock Prices'!K133)/'Stock Prices'!K133</f>
        <v>0.2593486127864898</v>
      </c>
      <c r="L132" s="10">
        <f>('Stock Prices'!M133-'Stock Prices'!L133)/'Stock Prices'!L133</f>
        <v>0.42241379310344829</v>
      </c>
      <c r="M132" s="10">
        <f>('Stock Prices'!N133-'Stock Prices'!M133)/'Stock Prices'!M133</f>
        <v>-9.4276094276094305E-2</v>
      </c>
      <c r="N132" s="10">
        <f>('Stock Prices'!O133-'Stock Prices'!N133)/'Stock Prices'!N133</f>
        <v>-0.14572490706319696</v>
      </c>
    </row>
    <row r="133" spans="1:14" x14ac:dyDescent="0.3">
      <c r="A133" s="8" t="s">
        <v>299</v>
      </c>
      <c r="B133" s="8" t="s">
        <v>300</v>
      </c>
      <c r="C133" s="8" t="s">
        <v>282</v>
      </c>
      <c r="D133" s="8" t="s">
        <v>279</v>
      </c>
      <c r="E133" s="10"/>
      <c r="F133" s="10">
        <f>('Stock Prices'!G134-'Stock Prices'!F134)/'Stock Prices'!F134</f>
        <v>0.22542533081285454</v>
      </c>
      <c r="G133" s="10">
        <f>('Stock Prices'!H134-'Stock Prices'!G134)/'Stock Prices'!G134</f>
        <v>0.30350944851523326</v>
      </c>
      <c r="H133" s="10">
        <f>('Stock Prices'!I134-'Stock Prices'!H134)/'Stock Prices'!H134</f>
        <v>-0.19526627218934911</v>
      </c>
      <c r="I133" s="10">
        <f>('Stock Prices'!J134-'Stock Prices'!I134)/'Stock Prices'!I134</f>
        <v>0.27242647058823538</v>
      </c>
      <c r="J133" s="10">
        <f>('Stock Prices'!K134-'Stock Prices'!J134)/'Stock Prices'!J134</f>
        <v>-0.16902629297890781</v>
      </c>
      <c r="K133" s="10">
        <f>('Stock Prices'!L134-'Stock Prices'!K134)/'Stock Prices'!K134</f>
        <v>-3.4770514603616132E-2</v>
      </c>
      <c r="L133" s="10">
        <f>('Stock Prices'!M134-'Stock Prices'!L134)/'Stock Prices'!L134</f>
        <v>-0.15489913544668596</v>
      </c>
      <c r="M133" s="10">
        <f>('Stock Prices'!N134-'Stock Prices'!M134)/'Stock Prices'!M134</f>
        <v>0.39897698209718668</v>
      </c>
      <c r="N133" s="10">
        <f>('Stock Prices'!O134-'Stock Prices'!N134)/'Stock Prices'!N134</f>
        <v>0.21328458257160268</v>
      </c>
    </row>
    <row r="134" spans="1:14" x14ac:dyDescent="0.3">
      <c r="A134" s="8" t="s">
        <v>301</v>
      </c>
      <c r="B134" s="8" t="s">
        <v>302</v>
      </c>
      <c r="C134" s="8" t="s">
        <v>282</v>
      </c>
      <c r="D134" s="8" t="s">
        <v>279</v>
      </c>
      <c r="E134" s="10">
        <f>('Stock Prices'!F135-'Stock Prices'!E135)/'Stock Prices'!E135</f>
        <v>1.0752688172043055E-2</v>
      </c>
      <c r="F134" s="10">
        <f>('Stock Prices'!G135-'Stock Prices'!F135)/'Stock Prices'!F135</f>
        <v>-8.3206686930091228E-2</v>
      </c>
      <c r="G134" s="10">
        <f>('Stock Prices'!H135-'Stock Prices'!G135)/'Stock Prices'!G135</f>
        <v>-1.0774968918358807E-2</v>
      </c>
      <c r="H134" s="10">
        <f>('Stock Prices'!I135-'Stock Prices'!H135)/'Stock Prices'!H135</f>
        <v>-2.0527859237536739E-2</v>
      </c>
      <c r="I134" s="10">
        <f>('Stock Prices'!J135-'Stock Prices'!I135)/'Stock Prices'!I135</f>
        <v>-7.6988879384088851E-3</v>
      </c>
      <c r="J134" s="10">
        <f>('Stock Prices'!K135-'Stock Prices'!J135)/'Stock Prices'!J135</f>
        <v>-0.21163793103448278</v>
      </c>
      <c r="K134" s="10">
        <f>('Stock Prices'!L135-'Stock Prices'!K135)/'Stock Prices'!K135</f>
        <v>0.11536358665937668</v>
      </c>
      <c r="L134" s="10">
        <f>('Stock Prices'!M135-'Stock Prices'!L135)/'Stock Prices'!L135</f>
        <v>-0.23872549019607842</v>
      </c>
      <c r="M134" s="10">
        <f>('Stock Prices'!N135-'Stock Prices'!M135)/'Stock Prices'!M135</f>
        <v>-1.6741790083708939E-2</v>
      </c>
      <c r="N134" s="10">
        <f>('Stock Prices'!O135-'Stock Prices'!N135)/'Stock Prices'!N135</f>
        <v>-0.23575638506876226</v>
      </c>
    </row>
    <row r="135" spans="1:14" x14ac:dyDescent="0.3">
      <c r="A135" s="8" t="s">
        <v>303</v>
      </c>
      <c r="B135" s="8" t="s">
        <v>304</v>
      </c>
      <c r="C135" s="8" t="s">
        <v>282</v>
      </c>
      <c r="D135" s="8" t="s">
        <v>279</v>
      </c>
      <c r="E135" s="10">
        <f>('Stock Prices'!F136-'Stock Prices'!E136)/'Stock Prices'!E136</f>
        <v>4.6950890447922146E-2</v>
      </c>
      <c r="F135" s="10">
        <f>('Stock Prices'!G136-'Stock Prices'!F136)/'Stock Prices'!F136</f>
        <v>-7.6288659793814273E-2</v>
      </c>
      <c r="G135" s="10">
        <f>('Stock Prices'!H136-'Stock Prices'!G136)/'Stock Prices'!G136</f>
        <v>4.4084821428571376E-2</v>
      </c>
      <c r="H135" s="10">
        <f>('Stock Prices'!I136-'Stock Prices'!H136)/'Stock Prices'!H136</f>
        <v>3.4740780331373518E-2</v>
      </c>
      <c r="I135" s="10">
        <f>('Stock Prices'!J136-'Stock Prices'!I136)/'Stock Prices'!I136</f>
        <v>-6.61157024793389E-2</v>
      </c>
      <c r="J135" s="10">
        <f>('Stock Prices'!K136-'Stock Prices'!J136)/'Stock Prices'!J136</f>
        <v>-6.5265486725663707E-2</v>
      </c>
      <c r="K135" s="10">
        <f>('Stock Prices'!L136-'Stock Prices'!K136)/'Stock Prices'!K136</f>
        <v>0.12544378698224859</v>
      </c>
      <c r="L135" s="10">
        <f>('Stock Prices'!M136-'Stock Prices'!L136)/'Stock Prices'!L136</f>
        <v>-0.14511041009463713</v>
      </c>
      <c r="M135" s="10">
        <f>('Stock Prices'!N136-'Stock Prices'!M136)/'Stock Prices'!M136</f>
        <v>-8.3025830258302666E-2</v>
      </c>
      <c r="N135" s="10">
        <f>('Stock Prices'!O136-'Stock Prices'!N136)/'Stock Prices'!N136</f>
        <v>0.10127431254191828</v>
      </c>
    </row>
    <row r="136" spans="1:14" x14ac:dyDescent="0.3">
      <c r="A136" s="8" t="s">
        <v>305</v>
      </c>
      <c r="B136" s="8" t="s">
        <v>306</v>
      </c>
      <c r="C136" s="8" t="s">
        <v>282</v>
      </c>
      <c r="D136" s="8" t="s">
        <v>279</v>
      </c>
      <c r="E136" s="10">
        <f>('Stock Prices'!F137-'Stock Prices'!E137)/'Stock Prices'!E137</f>
        <v>-0.16607773851590113</v>
      </c>
      <c r="F136" s="10">
        <f>('Stock Prices'!G137-'Stock Prices'!F137)/'Stock Prices'!F137</f>
        <v>0.22881355932203393</v>
      </c>
      <c r="G136" s="10">
        <f>('Stock Prices'!H137-'Stock Prices'!G137)/'Stock Prices'!G137</f>
        <v>-7.5862068965517157E-2</v>
      </c>
      <c r="H136" s="10">
        <f>('Stock Prices'!I137-'Stock Prices'!H137)/'Stock Prices'!H137</f>
        <v>-0.12313432835820898</v>
      </c>
      <c r="I136" s="10">
        <f>('Stock Prices'!J137-'Stock Prices'!I137)/'Stock Prices'!I137</f>
        <v>1.7021276595744695E-2</v>
      </c>
      <c r="J136" s="10">
        <f>('Stock Prices'!K137-'Stock Prices'!J137)/'Stock Prices'!J137</f>
        <v>-0.32635983263598328</v>
      </c>
      <c r="K136" s="10">
        <f>('Stock Prices'!L137-'Stock Prices'!K137)/'Stock Prices'!K137</f>
        <v>0.12422360248447202</v>
      </c>
      <c r="L136" s="10">
        <f>('Stock Prices'!M137-'Stock Prices'!L137)/'Stock Prices'!L137</f>
        <v>0</v>
      </c>
      <c r="M136" s="10">
        <f>('Stock Prices'!N137-'Stock Prices'!M137)/'Stock Prices'!M137</f>
        <v>7.1823204419889444E-2</v>
      </c>
      <c r="N136" s="10">
        <f>('Stock Prices'!O137-'Stock Prices'!N137)/'Stock Prices'!N137</f>
        <v>0.25773195876288663</v>
      </c>
    </row>
    <row r="137" spans="1:14" x14ac:dyDescent="0.3">
      <c r="A137" s="8" t="s">
        <v>307</v>
      </c>
      <c r="B137" s="8" t="s">
        <v>308</v>
      </c>
      <c r="C137" s="8" t="s">
        <v>282</v>
      </c>
      <c r="D137" s="8" t="s">
        <v>279</v>
      </c>
      <c r="E137" s="10">
        <f>('Stock Prices'!F138-'Stock Prices'!E138)/'Stock Prices'!E138</f>
        <v>0.43119757272889514</v>
      </c>
      <c r="F137" s="10">
        <f>('Stock Prices'!G138-'Stock Prices'!F138)/'Stock Prices'!F138</f>
        <v>-0.12794612794612784</v>
      </c>
      <c r="G137" s="10">
        <f>('Stock Prices'!H138-'Stock Prices'!G138)/'Stock Prices'!G138</f>
        <v>-2.7027027027027032E-2</v>
      </c>
      <c r="H137" s="10">
        <f>('Stock Prices'!I138-'Stock Prices'!H138)/'Stock Prices'!H138</f>
        <v>6.1140505584949975E-2</v>
      </c>
      <c r="I137" s="10">
        <f>('Stock Prices'!J138-'Stock Prices'!I138)/'Stock Prices'!I138</f>
        <v>0.30678670360110788</v>
      </c>
      <c r="J137" s="10">
        <f>('Stock Prices'!K138-'Stock Prices'!J138)/'Stock Prices'!J138</f>
        <v>0.24006359300476954</v>
      </c>
      <c r="K137" s="10">
        <f>('Stock Prices'!L138-'Stock Prices'!K138)/'Stock Prices'!K138</f>
        <v>0.4367521367521367</v>
      </c>
      <c r="L137" s="10">
        <f>('Stock Prices'!M138-'Stock Prices'!L138)/'Stock Prices'!L138</f>
        <v>2.2605591909577699E-2</v>
      </c>
      <c r="M137" s="10">
        <f>('Stock Prices'!N138-'Stock Prices'!M138)/'Stock Prices'!M138</f>
        <v>-0.22454915648632923</v>
      </c>
      <c r="N137" s="10">
        <f>('Stock Prices'!O138-'Stock Prices'!N138)/'Stock Prices'!N138</f>
        <v>-0.19204801200300078</v>
      </c>
    </row>
    <row r="138" spans="1:14" x14ac:dyDescent="0.3">
      <c r="A138" s="8" t="s">
        <v>309</v>
      </c>
      <c r="B138" s="8" t="s">
        <v>310</v>
      </c>
      <c r="C138" s="8" t="s">
        <v>282</v>
      </c>
      <c r="D138" s="8" t="s">
        <v>279</v>
      </c>
      <c r="E138" s="10">
        <f>('Stock Prices'!F139-'Stock Prices'!E139)/'Stock Prices'!E139</f>
        <v>-6.8142511241784803E-2</v>
      </c>
      <c r="F138" s="10">
        <f>('Stock Prices'!G139-'Stock Prices'!F139)/'Stock Prices'!F139</f>
        <v>0.11432813659985146</v>
      </c>
      <c r="G138" s="10">
        <f>('Stock Prices'!H139-'Stock Prices'!G139)/'Stock Prices'!G139</f>
        <v>8.6608927381745429E-2</v>
      </c>
      <c r="H138" s="10">
        <f>('Stock Prices'!I139-'Stock Prices'!H139)/'Stock Prices'!H139</f>
        <v>7.0508890251380751E-3</v>
      </c>
      <c r="I138" s="10">
        <f>('Stock Prices'!J139-'Stock Prices'!I139)/'Stock Prices'!I139</f>
        <v>7.1232876712328655E-2</v>
      </c>
      <c r="J138" s="10">
        <f>('Stock Prices'!K139-'Stock Prices'!J139)/'Stock Prices'!J139</f>
        <v>-0.22080136402387032</v>
      </c>
      <c r="K138" s="10">
        <f>('Stock Prices'!L139-'Stock Prices'!K139)/'Stock Prices'!K139</f>
        <v>-0.14040846097738882</v>
      </c>
      <c r="L138" s="10">
        <f>('Stock Prices'!M139-'Stock Prices'!L139)/'Stock Prices'!L139</f>
        <v>0.13576580398812046</v>
      </c>
      <c r="M138" s="10">
        <f>('Stock Prices'!N139-'Stock Prices'!M139)/'Stock Prices'!M139</f>
        <v>0.50018677624206187</v>
      </c>
      <c r="N138" s="10">
        <f>('Stock Prices'!O139-'Stock Prices'!N139)/'Stock Prices'!N139</f>
        <v>0.19322709163346627</v>
      </c>
    </row>
    <row r="139" spans="1:14" x14ac:dyDescent="0.3">
      <c r="A139" s="8" t="s">
        <v>311</v>
      </c>
      <c r="B139" s="8" t="s">
        <v>312</v>
      </c>
      <c r="C139" s="8" t="s">
        <v>282</v>
      </c>
      <c r="D139" s="8" t="s">
        <v>279</v>
      </c>
      <c r="E139" s="10">
        <f>('Stock Prices'!F140-'Stock Prices'!E140)/'Stock Prices'!E140</f>
        <v>0.28549977271091137</v>
      </c>
      <c r="F139" s="10">
        <f>('Stock Prices'!G140-'Stock Prices'!F140)/'Stock Prices'!F140</f>
        <v>-0.11816912657636612</v>
      </c>
      <c r="G139" s="10">
        <f>('Stock Prices'!H140-'Stock Prices'!G140)/'Stock Prices'!G140</f>
        <v>0.29369704945429276</v>
      </c>
      <c r="H139" s="10">
        <f>('Stock Prices'!I140-'Stock Prices'!H140)/'Stock Prices'!H140</f>
        <v>-6.7758406049474154E-2</v>
      </c>
      <c r="I139" s="10">
        <f>('Stock Prices'!J140-'Stock Prices'!I140)/'Stock Prices'!I140</f>
        <v>0.39218274044795787</v>
      </c>
      <c r="J139" s="10">
        <f>('Stock Prices'!K140-'Stock Prices'!J140)/'Stock Prices'!J140</f>
        <v>-0.24258677468180517</v>
      </c>
      <c r="K139" s="10">
        <f>('Stock Prices'!L140-'Stock Prices'!K140)/'Stock Prices'!K140</f>
        <v>-0.29716784673052898</v>
      </c>
      <c r="L139" s="10">
        <f>('Stock Prices'!M140-'Stock Prices'!L140)/'Stock Prices'!L140</f>
        <v>-0.36177777777777781</v>
      </c>
      <c r="M139" s="10">
        <f>('Stock Prices'!N140-'Stock Prices'!M140)/'Stock Prices'!M140</f>
        <v>0.43546889507892306</v>
      </c>
      <c r="N139" s="10">
        <f>('Stock Prices'!O140-'Stock Prices'!N140)/'Stock Prices'!N140</f>
        <v>-0.40620957309184996</v>
      </c>
    </row>
    <row r="140" spans="1:14" x14ac:dyDescent="0.3">
      <c r="A140" s="8" t="s">
        <v>313</v>
      </c>
      <c r="B140" s="8" t="s">
        <v>314</v>
      </c>
      <c r="C140" s="8" t="s">
        <v>282</v>
      </c>
      <c r="D140" s="8" t="s">
        <v>279</v>
      </c>
      <c r="E140" s="10"/>
      <c r="F140" s="10">
        <f>('Stock Prices'!G141-'Stock Prices'!F141)/'Stock Prices'!F141</f>
        <v>-0.19645608628659481</v>
      </c>
      <c r="G140" s="10">
        <f>('Stock Prices'!H141-'Stock Prices'!G141)/'Stock Prices'!G141</f>
        <v>0.56184084372003829</v>
      </c>
      <c r="H140" s="10">
        <f>('Stock Prices'!I141-'Stock Prices'!H141)/'Stock Prices'!H141</f>
        <v>2.7010435850214936E-2</v>
      </c>
      <c r="I140" s="10">
        <f>('Stock Prices'!J141-'Stock Prices'!I141)/'Stock Prices'!I141</f>
        <v>0.96652719665271958</v>
      </c>
      <c r="J140" s="10">
        <f>('Stock Prices'!K141-'Stock Prices'!J141)/'Stock Prices'!J141</f>
        <v>0.40699088145896661</v>
      </c>
      <c r="K140" s="10">
        <f>('Stock Prices'!L141-'Stock Prices'!K141)/'Stock Prices'!K141</f>
        <v>0.10563836681788724</v>
      </c>
      <c r="L140" s="10">
        <f>('Stock Prices'!M141-'Stock Prices'!L141)/'Stock Prices'!L141</f>
        <v>-0.39585775693630321</v>
      </c>
      <c r="M140" s="10">
        <f>('Stock Prices'!N141-'Stock Prices'!M141)/'Stock Prices'!M141</f>
        <v>0.1532988357050451</v>
      </c>
      <c r="N140" s="10">
        <f>('Stock Prices'!O141-'Stock Prices'!N141)/'Stock Prices'!N141</f>
        <v>-0.14610207515423437</v>
      </c>
    </row>
    <row r="141" spans="1:14" x14ac:dyDescent="0.3">
      <c r="A141" s="8" t="s">
        <v>315</v>
      </c>
      <c r="B141" s="8" t="s">
        <v>316</v>
      </c>
      <c r="C141" s="8" t="s">
        <v>282</v>
      </c>
      <c r="D141" s="8" t="s">
        <v>279</v>
      </c>
      <c r="E141" s="10">
        <f>('Stock Prices'!F142-'Stock Prices'!E142)/'Stock Prices'!E142</f>
        <v>0.35872235872235869</v>
      </c>
      <c r="F141" s="10">
        <f>('Stock Prices'!G142-'Stock Prices'!F142)/'Stock Prices'!F142</f>
        <v>-0.38517179023508141</v>
      </c>
      <c r="G141" s="10">
        <f>('Stock Prices'!H142-'Stock Prices'!G142)/'Stock Prices'!G142</f>
        <v>0.41176470588235292</v>
      </c>
      <c r="H141" s="10">
        <f>('Stock Prices'!I142-'Stock Prices'!H142)/'Stock Prices'!H142</f>
        <v>-5.4166666666666627E-2</v>
      </c>
      <c r="I141" s="10">
        <f>('Stock Prices'!J142-'Stock Prices'!I142)/'Stock Prices'!I142</f>
        <v>6.607929515418498E-2</v>
      </c>
      <c r="J141" s="10">
        <f>('Stock Prices'!K142-'Stock Prices'!J142)/'Stock Prices'!J142</f>
        <v>-0.61776859504132231</v>
      </c>
      <c r="K141" s="10">
        <f>('Stock Prices'!L142-'Stock Prices'!K142)/'Stock Prices'!K142</f>
        <v>-8.1081081081081155E-2</v>
      </c>
      <c r="L141" s="10">
        <f>('Stock Prices'!M142-'Stock Prices'!L142)/'Stock Prices'!L142</f>
        <v>-0.18235294117647063</v>
      </c>
      <c r="M141" s="10">
        <f>('Stock Prices'!N142-'Stock Prices'!M142)/'Stock Prices'!M142</f>
        <v>0.28057553956834541</v>
      </c>
      <c r="N141" s="10">
        <f>('Stock Prices'!O142-'Stock Prices'!N142)/'Stock Prices'!N142</f>
        <v>1.056179775280899</v>
      </c>
    </row>
    <row r="142" spans="1:14" x14ac:dyDescent="0.3">
      <c r="A142" s="8" t="s">
        <v>317</v>
      </c>
      <c r="B142" s="8" t="s">
        <v>318</v>
      </c>
      <c r="C142" s="8" t="s">
        <v>282</v>
      </c>
      <c r="D142" s="8" t="s">
        <v>279</v>
      </c>
      <c r="E142" s="10">
        <f>('Stock Prices'!F143-'Stock Prices'!E143)/'Stock Prices'!E143</f>
        <v>0.48152866242038234</v>
      </c>
      <c r="F142" s="10">
        <f>('Stock Prices'!G143-'Stock Prices'!F143)/'Stock Prices'!F143</f>
        <v>-0.11177987962166816</v>
      </c>
      <c r="G142" s="10">
        <f>('Stock Prices'!H143-'Stock Prices'!G143)/'Stock Prices'!G143</f>
        <v>9.3901258470474411E-2</v>
      </c>
      <c r="H142" s="10">
        <f>('Stock Prices'!I143-'Stock Prices'!H143)/'Stock Prices'!H143</f>
        <v>-6.0176991150442609E-2</v>
      </c>
      <c r="I142" s="10">
        <f>('Stock Prices'!J143-'Stock Prices'!I143)/'Stock Prices'!I143</f>
        <v>0.20338983050847462</v>
      </c>
      <c r="J142" s="10">
        <f>('Stock Prices'!K143-'Stock Prices'!J143)/'Stock Prices'!J143</f>
        <v>-0.39358372456964003</v>
      </c>
      <c r="K142" s="10">
        <f>('Stock Prices'!L143-'Stock Prices'!K143)/'Stock Prices'!K143</f>
        <v>0.2348387096774194</v>
      </c>
      <c r="L142" s="10">
        <f>('Stock Prices'!M143-'Stock Prices'!L143)/'Stock Prices'!L143</f>
        <v>-8.2549634273772293E-2</v>
      </c>
      <c r="M142" s="10">
        <f>('Stock Prices'!N143-'Stock Prices'!M143)/'Stock Prices'!M143</f>
        <v>0.14578587699316642</v>
      </c>
      <c r="N142" s="10">
        <f>('Stock Prices'!O143-'Stock Prices'!N143)/'Stock Prices'!N143</f>
        <v>3.976143141152997E-3</v>
      </c>
    </row>
    <row r="143" spans="1:14" x14ac:dyDescent="0.3">
      <c r="A143" s="8" t="s">
        <v>319</v>
      </c>
      <c r="B143" s="8" t="s">
        <v>268</v>
      </c>
      <c r="C143" s="8" t="s">
        <v>282</v>
      </c>
      <c r="D143" s="8" t="s">
        <v>279</v>
      </c>
      <c r="E143" s="10">
        <f>('Stock Prices'!F144-'Stock Prices'!E144)/'Stock Prices'!E144</f>
        <v>-0.56359338061465714</v>
      </c>
      <c r="F143" s="10">
        <f>('Stock Prices'!G144-'Stock Prices'!F144)/'Stock Prices'!F144</f>
        <v>1.2838569880823398</v>
      </c>
      <c r="G143" s="10">
        <f>('Stock Prices'!H144-'Stock Prices'!G144)/'Stock Prices'!G144</f>
        <v>0.28510436432637581</v>
      </c>
      <c r="H143" s="10">
        <f>('Stock Prices'!I144-'Stock Prices'!H144)/'Stock Prices'!H144</f>
        <v>-0.33628645256552231</v>
      </c>
      <c r="I143" s="10">
        <f>('Stock Prices'!J144-'Stock Prices'!I144)/'Stock Prices'!I144</f>
        <v>-0.12736373748609572</v>
      </c>
      <c r="J143" s="10">
        <f>('Stock Prices'!K144-'Stock Prices'!J144)/'Stock Prices'!J144</f>
        <v>0.22115997450605485</v>
      </c>
      <c r="K143" s="10">
        <f>('Stock Prices'!L144-'Stock Prices'!K144)/'Stock Prices'!K144</f>
        <v>0.48121085594989554</v>
      </c>
      <c r="L143" s="10">
        <f>('Stock Prices'!M144-'Stock Prices'!L144)/'Stock Prices'!L144</f>
        <v>-0.13354474982381956</v>
      </c>
      <c r="M143" s="10">
        <f>('Stock Prices'!N144-'Stock Prices'!M144)/'Stock Prices'!M144</f>
        <v>4.3920292801952088E-2</v>
      </c>
      <c r="N143" s="10">
        <f>('Stock Prices'!O144-'Stock Prices'!N144)/'Stock Prices'!N144</f>
        <v>-0.13907284768211919</v>
      </c>
    </row>
    <row r="144" spans="1:14" x14ac:dyDescent="0.3">
      <c r="A144" s="8" t="s">
        <v>320</v>
      </c>
      <c r="B144" s="8" t="s">
        <v>321</v>
      </c>
      <c r="C144" s="8" t="s">
        <v>282</v>
      </c>
      <c r="D144" s="8" t="s">
        <v>279</v>
      </c>
      <c r="E144" s="10">
        <f>('Stock Prices'!F145-'Stock Prices'!E145)/'Stock Prices'!E145</f>
        <v>-0.18367346938775503</v>
      </c>
      <c r="F144" s="10">
        <f>('Stock Prices'!G145-'Stock Prices'!F145)/'Stock Prices'!F145</f>
        <v>-0.18750000000000003</v>
      </c>
      <c r="G144" s="10">
        <f>('Stock Prices'!H145-'Stock Prices'!G145)/'Stock Prices'!G145</f>
        <v>0.25384615384615372</v>
      </c>
      <c r="H144" s="10">
        <f>('Stock Prices'!I145-'Stock Prices'!H145)/'Stock Prices'!H145</f>
        <v>-0.40022699386503063</v>
      </c>
      <c r="I144" s="10">
        <f>('Stock Prices'!J145-'Stock Prices'!I145)/'Stock Prices'!I145</f>
        <v>7.4025960741793975E-2</v>
      </c>
      <c r="J144" s="10">
        <f>('Stock Prices'!K145-'Stock Prices'!J145)/'Stock Prices'!J145</f>
        <v>-0.65609523809523818</v>
      </c>
      <c r="K144" s="10">
        <f>('Stock Prices'!L145-'Stock Prices'!K145)/'Stock Prices'!K145</f>
        <v>0.63888119634450302</v>
      </c>
      <c r="L144" s="10">
        <f>('Stock Prices'!M145-'Stock Prices'!L145)/'Stock Prices'!L145</f>
        <v>0.48834065562690104</v>
      </c>
      <c r="M144" s="10">
        <f>('Stock Prices'!N145-'Stock Prices'!M145)/'Stock Prices'!M145</f>
        <v>0.26021798365122623</v>
      </c>
      <c r="N144" s="10">
        <f>('Stock Prices'!O145-'Stock Prices'!N145)/'Stock Prices'!N145</f>
        <v>0.68468468468468469</v>
      </c>
    </row>
    <row r="145" spans="1:14" x14ac:dyDescent="0.3">
      <c r="A145" s="8" t="s">
        <v>322</v>
      </c>
      <c r="B145" s="8" t="s">
        <v>323</v>
      </c>
      <c r="C145" s="8" t="s">
        <v>282</v>
      </c>
      <c r="D145" s="8" t="s">
        <v>279</v>
      </c>
      <c r="E145" s="10">
        <f>('Stock Prices'!F146-'Stock Prices'!E146)/'Stock Prices'!E146</f>
        <v>-9.1387559808612448E-2</v>
      </c>
      <c r="F145" s="10">
        <f>('Stock Prices'!G146-'Stock Prices'!F146)/'Stock Prices'!F146</f>
        <v>-5.6872037914691857E-2</v>
      </c>
      <c r="G145" s="10">
        <f>('Stock Prices'!H146-'Stock Prices'!G146)/'Stock Prices'!G146</f>
        <v>7.4818537130094911E-2</v>
      </c>
      <c r="H145" s="10">
        <f>('Stock Prices'!I146-'Stock Prices'!H146)/'Stock Prices'!H146</f>
        <v>0.14337662337662346</v>
      </c>
      <c r="I145" s="10">
        <f>('Stock Prices'!J146-'Stock Prices'!I146)/'Stock Prices'!I146</f>
        <v>3.5892776010904091E-2</v>
      </c>
      <c r="J145" s="10">
        <f>('Stock Prices'!K146-'Stock Prices'!J146)/'Stock Prices'!J146</f>
        <v>-0.1644736842105263</v>
      </c>
      <c r="K145" s="10">
        <f>('Stock Prices'!L146-'Stock Prices'!K146)/'Stock Prices'!K146</f>
        <v>0.5028871391076114</v>
      </c>
      <c r="L145" s="10">
        <f>('Stock Prices'!M146-'Stock Prices'!L146)/'Stock Prices'!L146</f>
        <v>-0.15089067411805798</v>
      </c>
      <c r="M145" s="10">
        <f>('Stock Prices'!N146-'Stock Prices'!M146)/'Stock Prices'!M146</f>
        <v>0.11065405183052247</v>
      </c>
      <c r="N145" s="10">
        <f>('Stock Prices'!O146-'Stock Prices'!N146)/'Stock Prices'!N146</f>
        <v>-0.13481481481481483</v>
      </c>
    </row>
    <row r="146" spans="1:14" x14ac:dyDescent="0.3">
      <c r="A146" s="8" t="s">
        <v>324</v>
      </c>
      <c r="B146" s="8" t="s">
        <v>325</v>
      </c>
      <c r="C146" s="8" t="s">
        <v>282</v>
      </c>
      <c r="D146" s="8" t="s">
        <v>279</v>
      </c>
      <c r="E146" s="10">
        <f>('Stock Prices'!F147-'Stock Prices'!E147)/'Stock Prices'!E147</f>
        <v>0.19926873857404021</v>
      </c>
      <c r="F146" s="10">
        <f>('Stock Prices'!G147-'Stock Prices'!F147)/'Stock Prices'!F147</f>
        <v>3.0487804878049488E-3</v>
      </c>
      <c r="G146" s="10">
        <f>('Stock Prices'!H147-'Stock Prices'!G147)/'Stock Prices'!G147</f>
        <v>0.25835866261398166</v>
      </c>
      <c r="H146" s="10">
        <f>('Stock Prices'!I147-'Stock Prices'!H147)/'Stock Prices'!H147</f>
        <v>-3.2608695652173864E-2</v>
      </c>
      <c r="I146" s="10">
        <f>('Stock Prices'!J147-'Stock Prices'!I147)/'Stock Prices'!I147</f>
        <v>0.41947565543071152</v>
      </c>
      <c r="J146" s="10">
        <f>('Stock Prices'!K147-'Stock Prices'!J147)/'Stock Prices'!J147</f>
        <v>-0.29287598944591031</v>
      </c>
      <c r="K146" s="10">
        <f>('Stock Prices'!L147-'Stock Prices'!K147)/'Stock Prices'!K147</f>
        <v>2.6119402985074737E-2</v>
      </c>
      <c r="L146" s="10">
        <f>('Stock Prices'!M147-'Stock Prices'!L147)/'Stock Prices'!L147</f>
        <v>-0.27151515151515154</v>
      </c>
      <c r="M146" s="10">
        <f>('Stock Prices'!N147-'Stock Prices'!M147)/'Stock Prices'!M147</f>
        <v>8.9850249584026626E-2</v>
      </c>
      <c r="N146" s="10">
        <f>('Stock Prices'!O147-'Stock Prices'!N147)/'Stock Prices'!N147</f>
        <v>-0.21068702290076335</v>
      </c>
    </row>
    <row r="147" spans="1:14" x14ac:dyDescent="0.3">
      <c r="A147" s="8" t="s">
        <v>326</v>
      </c>
      <c r="B147" s="8" t="s">
        <v>327</v>
      </c>
      <c r="C147" s="8" t="s">
        <v>282</v>
      </c>
      <c r="D147" s="8" t="s">
        <v>279</v>
      </c>
      <c r="E147" s="10">
        <f>('Stock Prices'!F148-'Stock Prices'!E148)/'Stock Prices'!E148</f>
        <v>0.1502347417840377</v>
      </c>
      <c r="F147" s="10">
        <f>('Stock Prices'!G148-'Stock Prices'!F148)/'Stock Prices'!F148</f>
        <v>0.12244897959183665</v>
      </c>
      <c r="G147" s="10">
        <f>('Stock Prices'!H148-'Stock Prices'!G148)/'Stock Prices'!G148</f>
        <v>-0.12863636363636355</v>
      </c>
      <c r="H147" s="10">
        <f>('Stock Prices'!I148-'Stock Prices'!H148)/'Stock Prices'!H148</f>
        <v>0.14032342201356274</v>
      </c>
      <c r="I147" s="10">
        <f>('Stock Prices'!J148-'Stock Prices'!I148)/'Stock Prices'!I148</f>
        <v>-7.2278133577310083E-2</v>
      </c>
      <c r="J147" s="10">
        <f>('Stock Prices'!K148-'Stock Prices'!J148)/'Stock Prices'!J148</f>
        <v>-0.20414201183431954</v>
      </c>
      <c r="K147" s="10">
        <f>('Stock Prices'!L148-'Stock Prices'!K148)/'Stock Prices'!K148</f>
        <v>8.6121437422552696E-2</v>
      </c>
      <c r="L147" s="10">
        <f>('Stock Prices'!M148-'Stock Prices'!L148)/'Stock Prices'!L148</f>
        <v>0.34626354820308042</v>
      </c>
      <c r="M147" s="10">
        <f>('Stock Prices'!N148-'Stock Prices'!M148)/'Stock Prices'!M148</f>
        <v>3.7288135593220292E-2</v>
      </c>
      <c r="N147" s="10">
        <f>('Stock Prices'!O148-'Stock Prices'!N148)/'Stock Prices'!N148</f>
        <v>0.19444444444444436</v>
      </c>
    </row>
    <row r="148" spans="1:14" x14ac:dyDescent="0.3">
      <c r="A148" s="8" t="s">
        <v>328</v>
      </c>
      <c r="B148" s="8" t="s">
        <v>329</v>
      </c>
      <c r="C148" s="8" t="s">
        <v>282</v>
      </c>
      <c r="D148" s="8" t="s">
        <v>279</v>
      </c>
      <c r="E148" s="10">
        <f>('Stock Prices'!F149-'Stock Prices'!E149)/'Stock Prices'!E149</f>
        <v>-0.35251798561151071</v>
      </c>
      <c r="F148" s="10">
        <f>('Stock Prices'!G149-'Stock Prices'!F149)/'Stock Prices'!F149</f>
        <v>0.19444444444444436</v>
      </c>
      <c r="G148" s="10">
        <f>('Stock Prices'!H149-'Stock Prices'!G149)/'Stock Prices'!G149</f>
        <v>9.7674418604651148E-2</v>
      </c>
      <c r="H148" s="10">
        <f>('Stock Prices'!I149-'Stock Prices'!H149)/'Stock Prices'!H149</f>
        <v>-0.26694915254237284</v>
      </c>
      <c r="I148" s="10">
        <f>('Stock Prices'!J149-'Stock Prices'!I149)/'Stock Prices'!I149</f>
        <v>0.52023121387283233</v>
      </c>
      <c r="J148" s="10">
        <f>('Stock Prices'!K149-'Stock Prices'!J149)/'Stock Prices'!J149</f>
        <v>-0.21673003802281363</v>
      </c>
      <c r="K148" s="10">
        <f>('Stock Prices'!L149-'Stock Prices'!K149)/'Stock Prices'!K149</f>
        <v>0.1116504854368932</v>
      </c>
      <c r="L148" s="10">
        <f>('Stock Prices'!M149-'Stock Prices'!L149)/'Stock Prices'!L149</f>
        <v>0.13537117903930132</v>
      </c>
      <c r="M148" s="10">
        <f>('Stock Prices'!N149-'Stock Prices'!M149)/'Stock Prices'!M149</f>
        <v>0.20384615384615376</v>
      </c>
      <c r="N148" s="10">
        <f>('Stock Prices'!O149-'Stock Prices'!N149)/'Stock Prices'!N149</f>
        <v>3.194888178913812E-3</v>
      </c>
    </row>
    <row r="149" spans="1:14" x14ac:dyDescent="0.3">
      <c r="A149" s="8" t="s">
        <v>330</v>
      </c>
      <c r="B149" s="8" t="s">
        <v>331</v>
      </c>
      <c r="C149" s="8" t="s">
        <v>282</v>
      </c>
      <c r="D149" s="8" t="s">
        <v>279</v>
      </c>
      <c r="E149" s="10"/>
      <c r="F149" s="10"/>
      <c r="G149" s="10"/>
      <c r="H149" s="10">
        <f>('Stock Prices'!I150-'Stock Prices'!H150)/'Stock Prices'!H150</f>
        <v>-0.13740458015267187</v>
      </c>
      <c r="I149" s="10">
        <f>('Stock Prices'!J150-'Stock Prices'!I150)/'Stock Prices'!I150</f>
        <v>-0.15929203539823006</v>
      </c>
      <c r="J149" s="10">
        <f>('Stock Prices'!K150-'Stock Prices'!J150)/'Stock Prices'!J150</f>
        <v>-0.23894736842105263</v>
      </c>
      <c r="K149" s="10">
        <f>('Stock Prices'!L150-'Stock Prices'!K150)/'Stock Prices'!K150</f>
        <v>0.20193637621023516</v>
      </c>
      <c r="L149" s="10">
        <f>('Stock Prices'!M150-'Stock Prices'!L150)/'Stock Prices'!L150</f>
        <v>0.18527042577675493</v>
      </c>
      <c r="M149" s="10">
        <f>('Stock Prices'!N150-'Stock Prices'!M150)/'Stock Prices'!M150</f>
        <v>-0.1359223300970874</v>
      </c>
      <c r="N149" s="10">
        <f>('Stock Prices'!O150-'Stock Prices'!N150)/'Stock Prices'!N150</f>
        <v>0.42696629213483145</v>
      </c>
    </row>
    <row r="150" spans="1:14" x14ac:dyDescent="0.3">
      <c r="A150" s="8" t="s">
        <v>332</v>
      </c>
      <c r="B150" s="8" t="s">
        <v>333</v>
      </c>
      <c r="C150" s="8" t="s">
        <v>282</v>
      </c>
      <c r="D150" s="8" t="s">
        <v>279</v>
      </c>
      <c r="E150" s="10">
        <f>('Stock Prices'!F151-'Stock Prices'!E151)/'Stock Prices'!E151</f>
        <v>-4.4448189971600945E-2</v>
      </c>
      <c r="F150" s="10">
        <f>('Stock Prices'!G151-'Stock Prices'!F151)/'Stock Prices'!F151</f>
        <v>5.0387596899224875E-2</v>
      </c>
      <c r="G150" s="10">
        <f>('Stock Prices'!H151-'Stock Prices'!G151)/'Stock Prices'!G151</f>
        <v>-8.4870848708487129E-2</v>
      </c>
      <c r="H150" s="10">
        <f>('Stock Prices'!I151-'Stock Prices'!H151)/'Stock Prices'!H151</f>
        <v>-0.56048387096774188</v>
      </c>
      <c r="I150" s="41">
        <f>('Stock Prices'!J151-'Stock Prices'!I151)/'Stock Prices'!I151</f>
        <v>2.3027522935779818</v>
      </c>
      <c r="J150" s="10">
        <f>('Stock Prices'!K151-'Stock Prices'!J151)/'Stock Prices'!J151</f>
        <v>0.68981481481481466</v>
      </c>
      <c r="K150" s="10">
        <f>('Stock Prices'!L151-'Stock Prices'!K151)/'Stock Prices'!K151</f>
        <v>-0.21890410958904105</v>
      </c>
      <c r="L150" s="10">
        <f>('Stock Prices'!M151-'Stock Prices'!L151)/'Stock Prices'!L151</f>
        <v>0.12767450017537696</v>
      </c>
      <c r="M150" s="10">
        <f>('Stock Prices'!N151-'Stock Prices'!M151)/'Stock Prices'!M151</f>
        <v>-0.36111975116640749</v>
      </c>
      <c r="N150" s="10">
        <f>('Stock Prices'!O151-'Stock Prices'!N151)/'Stock Prices'!N151</f>
        <v>0.87195715676728358</v>
      </c>
    </row>
    <row r="151" spans="1:14" x14ac:dyDescent="0.3">
      <c r="A151" s="8" t="s">
        <v>334</v>
      </c>
      <c r="B151" s="8" t="s">
        <v>335</v>
      </c>
      <c r="C151" s="8" t="s">
        <v>282</v>
      </c>
      <c r="D151" s="8" t="s">
        <v>279</v>
      </c>
      <c r="E151" s="10">
        <f>('Stock Prices'!F152-'Stock Prices'!E152)/'Stock Prices'!E152</f>
        <v>-2.2403258655804545E-2</v>
      </c>
      <c r="F151" s="10">
        <f>('Stock Prices'!G152-'Stock Prices'!F152)/'Stock Prices'!F152</f>
        <v>0.11041666666666672</v>
      </c>
      <c r="G151" s="10">
        <f>('Stock Prices'!H152-'Stock Prices'!G152)/'Stock Prices'!G152</f>
        <v>7.3170731707317013E-2</v>
      </c>
      <c r="H151" s="10">
        <f>('Stock Prices'!I152-'Stock Prices'!H152)/'Stock Prices'!H152</f>
        <v>-0.13111888111888112</v>
      </c>
      <c r="I151" s="10">
        <f>('Stock Prices'!J152-'Stock Prices'!I152)/'Stock Prices'!I152</f>
        <v>-4.0241448692152952E-2</v>
      </c>
      <c r="J151" s="10">
        <f>('Stock Prices'!K152-'Stock Prices'!J152)/'Stock Prices'!J152</f>
        <v>-0.32914046121593282</v>
      </c>
      <c r="K151" s="10">
        <f>('Stock Prices'!L152-'Stock Prices'!K152)/'Stock Prices'!K152</f>
        <v>0.40937499999999988</v>
      </c>
      <c r="L151" s="10">
        <f>('Stock Prices'!M152-'Stock Prices'!L152)/'Stock Prices'!L152</f>
        <v>0.39024390243902435</v>
      </c>
      <c r="M151" s="10">
        <f>('Stock Prices'!N152-'Stock Prices'!M152)/'Stock Prices'!M152</f>
        <v>-7.4960127591706505E-2</v>
      </c>
      <c r="N151" s="10">
        <f>('Stock Prices'!O152-'Stock Prices'!N152)/'Stock Prices'!N152</f>
        <v>0.31206896551724145</v>
      </c>
    </row>
    <row r="152" spans="1:14" x14ac:dyDescent="0.3">
      <c r="A152" s="8" t="s">
        <v>336</v>
      </c>
      <c r="B152" s="8" t="s">
        <v>337</v>
      </c>
      <c r="C152" s="8" t="s">
        <v>282</v>
      </c>
      <c r="D152" s="8" t="s">
        <v>279</v>
      </c>
      <c r="E152" s="10">
        <f>('Stock Prices'!F153-'Stock Prices'!E153)/'Stock Prices'!E153</f>
        <v>-0.22788844621513951</v>
      </c>
      <c r="F152" s="10">
        <f>('Stock Prices'!G153-'Stock Prices'!F153)/'Stock Prices'!F153</f>
        <v>0.30134158926728588</v>
      </c>
      <c r="G152" s="10">
        <f>('Stock Prices'!H153-'Stock Prices'!G153)/'Stock Prices'!G153</f>
        <v>-5.4718477398889735E-2</v>
      </c>
      <c r="H152" s="10">
        <f>('Stock Prices'!I153-'Stock Prices'!H153)/'Stock Prices'!H153</f>
        <v>-0.29194630872483224</v>
      </c>
      <c r="I152" s="10">
        <f>('Stock Prices'!J153-'Stock Prices'!I153)/'Stock Prices'!I153</f>
        <v>0.19075829383886272</v>
      </c>
      <c r="J152" s="10">
        <f>('Stock Prices'!K153-'Stock Prices'!J153)/'Stock Prices'!J153</f>
        <v>-8.5572139303482703E-2</v>
      </c>
      <c r="K152" s="10">
        <f>('Stock Prices'!L153-'Stock Prices'!K153)/'Stock Prices'!K153</f>
        <v>0.23939064200217641</v>
      </c>
      <c r="L152" s="10">
        <f>('Stock Prices'!M153-'Stock Prices'!L153)/'Stock Prices'!L153</f>
        <v>-0.18876207199297632</v>
      </c>
      <c r="M152" s="10">
        <f>('Stock Prices'!N153-'Stock Prices'!M153)/'Stock Prices'!M153</f>
        <v>0.15367965367965367</v>
      </c>
      <c r="N152" s="10">
        <f>('Stock Prices'!O153-'Stock Prices'!N153)/'Stock Prices'!N153</f>
        <v>-0.12101313320825524</v>
      </c>
    </row>
    <row r="153" spans="1:14" x14ac:dyDescent="0.3">
      <c r="A153" s="8" t="s">
        <v>338</v>
      </c>
      <c r="B153" s="8" t="s">
        <v>339</v>
      </c>
      <c r="C153" s="8" t="s">
        <v>282</v>
      </c>
      <c r="D153" s="8" t="s">
        <v>279</v>
      </c>
      <c r="E153" s="10">
        <f>('Stock Prices'!F154-'Stock Prices'!E154)/'Stock Prices'!E154</f>
        <v>0.434</v>
      </c>
      <c r="F153" s="10">
        <f>('Stock Prices'!G154-'Stock Prices'!F154)/'Stock Prices'!F154</f>
        <v>-0.14016736401673638</v>
      </c>
      <c r="G153" s="10">
        <f>('Stock Prices'!H154-'Stock Prices'!G154)/'Stock Prices'!G154</f>
        <v>0.26926196269261965</v>
      </c>
      <c r="H153" s="10">
        <f>('Stock Prices'!I154-'Stock Prices'!H154)/'Stock Prices'!H154</f>
        <v>0.11501597444089449</v>
      </c>
      <c r="I153" s="10">
        <f>('Stock Prices'!J154-'Stock Prices'!I154)/'Stock Prices'!I154</f>
        <v>0.38681948424068768</v>
      </c>
      <c r="J153" s="10">
        <f>('Stock Prices'!K154-'Stock Prices'!J154)/'Stock Prices'!J154</f>
        <v>0.5826446280991735</v>
      </c>
      <c r="K153" s="10">
        <f>('Stock Prices'!L154-'Stock Prices'!K154)/'Stock Prices'!K154</f>
        <v>0.92689295039164499</v>
      </c>
      <c r="L153" s="10">
        <f>('Stock Prices'!M154-'Stock Prices'!L154)/'Stock Prices'!L154</f>
        <v>-0.51138211382113818</v>
      </c>
      <c r="M153" s="10">
        <f>('Stock Prices'!N154-'Stock Prices'!M154)/'Stock Prices'!M154</f>
        <v>0.66943982251802547</v>
      </c>
      <c r="N153" s="10">
        <f>('Stock Prices'!O154-'Stock Prices'!N154)/'Stock Prices'!N154</f>
        <v>2.5747508305647791E-2</v>
      </c>
    </row>
    <row r="154" spans="1:14" x14ac:dyDescent="0.3">
      <c r="A154" s="8" t="s">
        <v>340</v>
      </c>
      <c r="B154" s="8" t="s">
        <v>341</v>
      </c>
      <c r="C154" s="8" t="s">
        <v>282</v>
      </c>
      <c r="D154" s="8" t="s">
        <v>279</v>
      </c>
      <c r="E154" s="10">
        <f>('Stock Prices'!F155-'Stock Prices'!E155)/'Stock Prices'!E155</f>
        <v>0</v>
      </c>
      <c r="F154" s="10">
        <f>('Stock Prices'!G155-'Stock Prices'!F155)/'Stock Prices'!F155</f>
        <v>7.7464788732394443E-2</v>
      </c>
      <c r="G154" s="10">
        <f>('Stock Prices'!H155-'Stock Prices'!G155)/'Stock Prices'!G155</f>
        <v>1.1307189542483658</v>
      </c>
      <c r="H154" s="10">
        <f>('Stock Prices'!I155-'Stock Prices'!H155)/'Stock Prices'!H155</f>
        <v>1.4570552147239264</v>
      </c>
      <c r="I154" s="10">
        <f>('Stock Prices'!J155-'Stock Prices'!I155)/'Stock Prices'!I155</f>
        <v>0.70661672908863926</v>
      </c>
      <c r="J154" s="41">
        <f>('Stock Prices'!K155-'Stock Prices'!J155)/'Stock Prices'!J155</f>
        <v>2.4820773957571323</v>
      </c>
      <c r="K154" s="10">
        <f>('Stock Prices'!L155-'Stock Prices'!K155)/'Stock Prices'!K155</f>
        <v>-0.28067219666689908</v>
      </c>
      <c r="L154" s="10">
        <f>('Stock Prices'!M155-'Stock Prices'!L155)/'Stock Prices'!L155</f>
        <v>0</v>
      </c>
      <c r="M154" s="10">
        <f>('Stock Prices'!N155-'Stock Prices'!M155)/'Stock Prices'!M155</f>
        <v>8.70326467854763E-2</v>
      </c>
      <c r="N154" s="10">
        <f>('Stock Prices'!O155-'Stock Prices'!N155)/'Stock Prices'!N155</f>
        <v>-0.58033315421816234</v>
      </c>
    </row>
    <row r="155" spans="1:14" x14ac:dyDescent="0.3">
      <c r="A155" s="8" t="s">
        <v>342</v>
      </c>
      <c r="B155" s="8" t="s">
        <v>343</v>
      </c>
      <c r="C155" s="8" t="s">
        <v>282</v>
      </c>
      <c r="D155" s="8" t="s">
        <v>279</v>
      </c>
      <c r="E155" s="10">
        <f>('Stock Prices'!F156-'Stock Prices'!E156)/'Stock Prices'!E156</f>
        <v>0.13826561552456043</v>
      </c>
      <c r="F155" s="10">
        <f>('Stock Prices'!G156-'Stock Prices'!F156)/'Stock Prices'!F156</f>
        <v>7.2456046883324424E-2</v>
      </c>
      <c r="G155" s="10">
        <f>('Stock Prices'!H156-'Stock Prices'!G156)/'Stock Prices'!G156</f>
        <v>-0.11276701440635865</v>
      </c>
      <c r="H155" s="10">
        <f>('Stock Prices'!I156-'Stock Prices'!H156)/'Stock Prices'!H156</f>
        <v>0.11534154535274369</v>
      </c>
      <c r="I155" s="10">
        <f>('Stock Prices'!J156-'Stock Prices'!I156)/'Stock Prices'!I156</f>
        <v>0.2233935742971887</v>
      </c>
      <c r="J155" s="10">
        <f>('Stock Prices'!K156-'Stock Prices'!J156)/'Stock Prices'!J156</f>
        <v>-7.3040623717685729E-2</v>
      </c>
      <c r="K155" s="10">
        <f>('Stock Prices'!L156-'Stock Prices'!K156)/'Stock Prices'!K156</f>
        <v>-0.10579902611775124</v>
      </c>
      <c r="L155" s="10">
        <f>('Stock Prices'!M156-'Stock Prices'!L156)/'Stock Prices'!L156</f>
        <v>-0.12673267326732668</v>
      </c>
      <c r="M155" s="10">
        <f>('Stock Prices'!N156-'Stock Prices'!M156)/'Stock Prices'!M156</f>
        <v>4.6485260770975069E-2</v>
      </c>
      <c r="N155" s="10">
        <f>('Stock Prices'!O156-'Stock Prices'!N156)/'Stock Prices'!N156</f>
        <v>0.11809317443120258</v>
      </c>
    </row>
    <row r="156" spans="1:14" x14ac:dyDescent="0.3">
      <c r="A156" s="8" t="s">
        <v>344</v>
      </c>
      <c r="B156" s="8" t="s">
        <v>345</v>
      </c>
      <c r="C156" s="8" t="s">
        <v>282</v>
      </c>
      <c r="D156" s="8" t="s">
        <v>279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</sheetData>
  <mergeCells count="2">
    <mergeCell ref="A1:N1"/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6"/>
  <sheetViews>
    <sheetView zoomScale="70" workbookViewId="0">
      <pane xSplit="4" ySplit="3" topLeftCell="E25" activePane="bottomRight" state="frozen"/>
      <selection pane="topRight"/>
      <selection pane="bottomLeft"/>
      <selection pane="bottomRight" activeCell="E54" sqref="E54:F54"/>
    </sheetView>
  </sheetViews>
  <sheetFormatPr defaultRowHeight="14.4" x14ac:dyDescent="0.3"/>
  <cols>
    <col min="1" max="1" width="10.33203125" bestFit="1" customWidth="1"/>
    <col min="2" max="2" width="30.21875" bestFit="1" customWidth="1"/>
    <col min="3" max="3" width="9.109375" bestFit="1" customWidth="1"/>
    <col min="4" max="4" width="9.88671875" bestFit="1" customWidth="1"/>
    <col min="5" max="12" width="18.6640625" bestFit="1" customWidth="1"/>
    <col min="13" max="13" width="25" bestFit="1" customWidth="1"/>
    <col min="14" max="14" width="25.21875" bestFit="1" customWidth="1"/>
  </cols>
  <sheetData>
    <row r="1" spans="1:14" ht="30" customHeight="1" x14ac:dyDescent="0.3">
      <c r="A1" s="55" t="s">
        <v>348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9.95" customHeight="1" x14ac:dyDescent="0.3">
      <c r="A2" s="57" t="s">
        <v>28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22.05" customHeight="1" x14ac:dyDescent="0.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</row>
    <row r="4" spans="1:14" x14ac:dyDescent="0.3">
      <c r="A4" s="6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8" t="s">
        <v>44</v>
      </c>
      <c r="B5" s="8" t="s">
        <v>45</v>
      </c>
      <c r="C5" s="8" t="s">
        <v>46</v>
      </c>
      <c r="D5" s="8" t="s">
        <v>43</v>
      </c>
      <c r="E5" s="9">
        <v>3894908535.6700001</v>
      </c>
      <c r="F5" s="9">
        <v>3824296142.8800001</v>
      </c>
      <c r="G5" s="9">
        <v>4725959461.1199999</v>
      </c>
      <c r="H5" s="9">
        <v>4974694169.6000004</v>
      </c>
      <c r="I5" s="9">
        <v>5192337039.5200005</v>
      </c>
      <c r="J5" s="9">
        <v>4041939012.8000002</v>
      </c>
      <c r="K5" s="9">
        <v>5286740396.4399996</v>
      </c>
      <c r="L5" s="9">
        <v>3842107846.25</v>
      </c>
      <c r="M5" s="9">
        <v>5827203815.2200003</v>
      </c>
      <c r="N5" s="9">
        <v>6735315446.8500004</v>
      </c>
    </row>
    <row r="6" spans="1:14" x14ac:dyDescent="0.3">
      <c r="A6" s="8" t="s">
        <v>47</v>
      </c>
      <c r="B6" s="8" t="s">
        <v>48</v>
      </c>
      <c r="C6" s="8" t="s">
        <v>46</v>
      </c>
      <c r="D6" s="8" t="s">
        <v>43</v>
      </c>
      <c r="E6" s="9">
        <v>1743293368.25</v>
      </c>
      <c r="F6" s="9">
        <v>1984867321.8</v>
      </c>
      <c r="G6" s="9">
        <v>2830718304.48</v>
      </c>
      <c r="H6" s="9">
        <v>3056839956.04</v>
      </c>
      <c r="I6" s="9">
        <v>5688584319.3199997</v>
      </c>
      <c r="J6" s="9">
        <v>7618072720.8400002</v>
      </c>
      <c r="K6" s="9">
        <v>10667895336.15</v>
      </c>
      <c r="L6" s="9">
        <v>6241787506.7600002</v>
      </c>
      <c r="M6" s="9">
        <v>7066028158.4399996</v>
      </c>
      <c r="N6" s="9">
        <v>5610931200</v>
      </c>
    </row>
    <row r="7" spans="1:14" x14ac:dyDescent="0.3">
      <c r="A7" s="8" t="s">
        <v>49</v>
      </c>
      <c r="B7" s="8" t="s">
        <v>50</v>
      </c>
      <c r="C7" s="8" t="s">
        <v>46</v>
      </c>
      <c r="D7" s="8" t="s">
        <v>43</v>
      </c>
      <c r="E7" s="9">
        <v>26334773620.919998</v>
      </c>
      <c r="F7" s="9">
        <v>22006190428.400002</v>
      </c>
      <c r="G7" s="9">
        <v>23442787914.98</v>
      </c>
      <c r="H7" s="9">
        <v>22689909522.529999</v>
      </c>
      <c r="I7" s="9">
        <v>28849858640</v>
      </c>
      <c r="J7" s="9">
        <v>22380333143.02</v>
      </c>
      <c r="K7" s="9">
        <v>29308221895.139999</v>
      </c>
      <c r="L7" s="9">
        <v>26081407783.860001</v>
      </c>
      <c r="M7" s="9">
        <v>29463159630.450001</v>
      </c>
      <c r="N7" s="9">
        <v>41960103570</v>
      </c>
    </row>
    <row r="8" spans="1:14" x14ac:dyDescent="0.3">
      <c r="A8" s="8" t="s">
        <v>51</v>
      </c>
      <c r="B8" s="8" t="s">
        <v>52</v>
      </c>
      <c r="C8" s="8" t="s">
        <v>46</v>
      </c>
      <c r="D8" s="8" t="s">
        <v>43</v>
      </c>
      <c r="E8" s="9">
        <v>3063946716.6599998</v>
      </c>
      <c r="F8" s="9">
        <v>2078386317.28</v>
      </c>
      <c r="G8" s="9">
        <v>1955950306.04</v>
      </c>
      <c r="H8" s="9">
        <v>1274979810.52</v>
      </c>
      <c r="I8" s="9">
        <v>2939525905.7399998</v>
      </c>
      <c r="J8" s="9">
        <v>2428104228.48</v>
      </c>
      <c r="K8" s="9">
        <v>3385628985</v>
      </c>
      <c r="L8" s="9">
        <v>2872235639.54</v>
      </c>
      <c r="M8" s="9">
        <v>3242644849.6199999</v>
      </c>
      <c r="N8" s="9">
        <v>3371267895.5100002</v>
      </c>
    </row>
    <row r="9" spans="1:14" x14ac:dyDescent="0.3">
      <c r="A9" s="8" t="s">
        <v>53</v>
      </c>
      <c r="B9" s="8" t="s">
        <v>54</v>
      </c>
      <c r="C9" s="8" t="s">
        <v>46</v>
      </c>
      <c r="D9" s="8" t="s">
        <v>43</v>
      </c>
      <c r="E9" s="9">
        <v>3380999060</v>
      </c>
      <c r="F9" s="9">
        <v>2630078220</v>
      </c>
      <c r="G9" s="9">
        <v>3178793780</v>
      </c>
      <c r="H9" s="9">
        <v>2129267760</v>
      </c>
      <c r="I9" s="9">
        <v>3351222240</v>
      </c>
      <c r="J9" s="9">
        <v>3141861600</v>
      </c>
      <c r="K9" s="9">
        <v>4456870000</v>
      </c>
      <c r="L9" s="9">
        <v>3672921840</v>
      </c>
      <c r="M9" s="9">
        <v>3837684840</v>
      </c>
      <c r="N9" s="9">
        <v>5114398880</v>
      </c>
    </row>
    <row r="10" spans="1:14" x14ac:dyDescent="0.3">
      <c r="A10" s="8" t="s">
        <v>55</v>
      </c>
      <c r="B10" s="8" t="s">
        <v>56</v>
      </c>
      <c r="C10" s="8" t="s">
        <v>46</v>
      </c>
      <c r="D10" s="8" t="s">
        <v>43</v>
      </c>
      <c r="E10" s="9">
        <v>5394191018.6800003</v>
      </c>
      <c r="F10" s="9">
        <v>5034030415.79</v>
      </c>
      <c r="G10" s="9">
        <v>5209930888.6800003</v>
      </c>
      <c r="H10" s="9">
        <v>3702538259.6500001</v>
      </c>
      <c r="I10" s="9">
        <v>6494923144.5799999</v>
      </c>
      <c r="J10" s="9">
        <v>5213973189.1000004</v>
      </c>
      <c r="K10" s="9">
        <v>6386013196.0799999</v>
      </c>
      <c r="L10" s="9">
        <v>5750567269.1999998</v>
      </c>
      <c r="M10" s="9">
        <v>6347257676.7600002</v>
      </c>
      <c r="N10" s="9">
        <v>8471898720</v>
      </c>
    </row>
    <row r="11" spans="1:14" x14ac:dyDescent="0.3">
      <c r="A11" s="8" t="s">
        <v>57</v>
      </c>
      <c r="B11" s="8" t="s">
        <v>58</v>
      </c>
      <c r="C11" s="8" t="s">
        <v>46</v>
      </c>
      <c r="D11" s="8" t="s">
        <v>43</v>
      </c>
      <c r="E11" s="9">
        <v>4636209199.5</v>
      </c>
      <c r="F11" s="9">
        <v>1871110328.3399999</v>
      </c>
      <c r="G11" s="9">
        <v>3998380475.7600002</v>
      </c>
      <c r="H11" s="9">
        <v>3006800135.5799999</v>
      </c>
      <c r="I11" s="9">
        <v>3068018624.7199998</v>
      </c>
      <c r="J11" s="9">
        <v>2732203595.6900001</v>
      </c>
      <c r="K11" s="9">
        <v>3988573464.48</v>
      </c>
      <c r="L11" s="9">
        <v>5024271432.6000004</v>
      </c>
      <c r="M11" s="9">
        <v>7207678698.9399996</v>
      </c>
      <c r="N11" s="9">
        <v>11754058840.92</v>
      </c>
    </row>
    <row r="12" spans="1:14" x14ac:dyDescent="0.3">
      <c r="A12" s="8" t="s">
        <v>59</v>
      </c>
      <c r="B12" s="8" t="s">
        <v>60</v>
      </c>
      <c r="C12" s="8" t="s">
        <v>46</v>
      </c>
      <c r="D12" s="8" t="s">
        <v>43</v>
      </c>
      <c r="E12" s="9">
        <v>3388577347.98</v>
      </c>
      <c r="F12" s="9">
        <v>2436649478.6199999</v>
      </c>
      <c r="G12" s="9">
        <v>2003309483.8800001</v>
      </c>
      <c r="H12" s="9">
        <v>1584177670.02</v>
      </c>
      <c r="I12" s="9">
        <v>2218177132.8299999</v>
      </c>
      <c r="J12" s="9">
        <v>1011732515.39</v>
      </c>
      <c r="K12" s="39">
        <v>2570428917.4200001</v>
      </c>
      <c r="L12" s="9">
        <v>2710871506.5599999</v>
      </c>
      <c r="M12" s="9">
        <v>4287971526.6300001</v>
      </c>
      <c r="N12" s="9">
        <v>8671406050</v>
      </c>
    </row>
    <row r="13" spans="1:14" x14ac:dyDescent="0.3">
      <c r="A13" s="8" t="s">
        <v>61</v>
      </c>
      <c r="B13" s="8" t="s">
        <v>62</v>
      </c>
      <c r="C13" s="8" t="s">
        <v>46</v>
      </c>
      <c r="D13" s="8" t="s">
        <v>43</v>
      </c>
      <c r="E13" s="9">
        <v>3411828012.8000002</v>
      </c>
      <c r="F13" s="9">
        <v>4626520998.0799999</v>
      </c>
      <c r="G13" s="9">
        <v>4698569426.6400003</v>
      </c>
      <c r="H13" s="9">
        <v>3109229958.0300002</v>
      </c>
      <c r="I13" s="9">
        <v>4598549344.79</v>
      </c>
      <c r="J13" s="9">
        <v>4011117532.5</v>
      </c>
      <c r="K13" s="9">
        <v>3645701626.0500002</v>
      </c>
      <c r="L13" s="9">
        <v>3354795054</v>
      </c>
      <c r="M13" s="9">
        <v>5098531782.4200001</v>
      </c>
      <c r="N13" s="9">
        <v>6522510976.6199999</v>
      </c>
    </row>
    <row r="14" spans="1:14" x14ac:dyDescent="0.3">
      <c r="A14" s="8" t="s">
        <v>63</v>
      </c>
      <c r="B14" s="8" t="s">
        <v>64</v>
      </c>
      <c r="C14" s="8" t="s">
        <v>46</v>
      </c>
      <c r="D14" s="8" t="s">
        <v>43</v>
      </c>
      <c r="E14" s="9">
        <v>4624137592</v>
      </c>
      <c r="F14" s="9">
        <v>5370839208</v>
      </c>
      <c r="G14" s="9">
        <v>7382594756.04</v>
      </c>
      <c r="H14" s="9">
        <v>8511641389.2399998</v>
      </c>
      <c r="I14" s="9">
        <v>9314731637.6399994</v>
      </c>
      <c r="J14" s="9">
        <v>10589846745.120001</v>
      </c>
      <c r="K14" s="9">
        <v>14487932418.1</v>
      </c>
      <c r="L14" s="9">
        <v>10675063768.92</v>
      </c>
      <c r="M14" s="9">
        <v>11647316022.440001</v>
      </c>
      <c r="N14" s="9">
        <v>7226088632.9799995</v>
      </c>
    </row>
    <row r="15" spans="1:14" x14ac:dyDescent="0.3">
      <c r="A15" s="8" t="s">
        <v>65</v>
      </c>
      <c r="B15" s="8" t="s">
        <v>66</v>
      </c>
      <c r="C15" s="8" t="s">
        <v>46</v>
      </c>
      <c r="D15" s="8" t="s">
        <v>43</v>
      </c>
      <c r="E15" s="9">
        <v>10976152256</v>
      </c>
      <c r="F15" s="9">
        <v>9373572836.7999992</v>
      </c>
      <c r="G15" s="9">
        <v>11846562517.02</v>
      </c>
      <c r="H15" s="9">
        <v>18364430057.599998</v>
      </c>
      <c r="I15" s="9">
        <v>12269168944</v>
      </c>
      <c r="J15" s="9">
        <v>14879038356.290001</v>
      </c>
      <c r="K15" s="9">
        <v>17048023253.1</v>
      </c>
      <c r="L15" s="9">
        <v>22842449838</v>
      </c>
      <c r="M15" s="9">
        <v>21638969431.799999</v>
      </c>
      <c r="N15" s="9">
        <v>14207820000</v>
      </c>
    </row>
    <row r="16" spans="1:14" x14ac:dyDescent="0.3">
      <c r="A16" s="8" t="s">
        <v>67</v>
      </c>
      <c r="B16" s="8" t="s">
        <v>68</v>
      </c>
      <c r="C16" s="8" t="s">
        <v>46</v>
      </c>
      <c r="D16" s="8" t="s">
        <v>43</v>
      </c>
      <c r="E16" s="9">
        <v>2659107034.9299998</v>
      </c>
      <c r="F16" s="9">
        <v>3085306481.25</v>
      </c>
      <c r="G16" s="9">
        <v>4097308162.5</v>
      </c>
      <c r="H16" s="9">
        <v>3952533645.5999999</v>
      </c>
      <c r="I16" s="9">
        <v>6313746797.6000004</v>
      </c>
      <c r="J16" s="9">
        <v>9314274053.7000008</v>
      </c>
      <c r="K16" s="9">
        <v>9564408765.1000004</v>
      </c>
      <c r="L16" s="9">
        <v>7530710840</v>
      </c>
      <c r="M16" s="9">
        <v>5197750979.3999996</v>
      </c>
      <c r="N16" s="9">
        <v>5562288668.04</v>
      </c>
    </row>
    <row r="17" spans="1:14" x14ac:dyDescent="0.3">
      <c r="A17" s="8" t="s">
        <v>69</v>
      </c>
      <c r="B17" s="8" t="s">
        <v>70</v>
      </c>
      <c r="C17" s="8" t="s">
        <v>46</v>
      </c>
      <c r="D17" s="8" t="s">
        <v>43</v>
      </c>
      <c r="E17" s="9">
        <v>36579061822.550003</v>
      </c>
      <c r="F17" s="9">
        <v>41798809019.519997</v>
      </c>
      <c r="G17" s="9">
        <v>51951734524.059998</v>
      </c>
      <c r="H17" s="9">
        <v>51631198703.360001</v>
      </c>
      <c r="I17" s="9">
        <v>71845853564.800003</v>
      </c>
      <c r="J17" s="9">
        <v>84162990274.559998</v>
      </c>
      <c r="K17" s="9">
        <v>71646107882.699997</v>
      </c>
      <c r="L17" s="9">
        <v>51107506331.139999</v>
      </c>
      <c r="M17" s="9">
        <v>68372806135.339996</v>
      </c>
      <c r="N17" s="9">
        <v>69975880390</v>
      </c>
    </row>
    <row r="18" spans="1:14" x14ac:dyDescent="0.3">
      <c r="A18" s="8" t="s">
        <v>71</v>
      </c>
      <c r="B18" s="8" t="s">
        <v>72</v>
      </c>
      <c r="C18" s="8" t="s">
        <v>46</v>
      </c>
      <c r="D18" s="8" t="s">
        <v>43</v>
      </c>
      <c r="E18" s="9">
        <v>49655022621</v>
      </c>
      <c r="F18" s="9">
        <v>55709017000</v>
      </c>
      <c r="G18" s="9">
        <v>49695733835.400002</v>
      </c>
      <c r="H18" s="9">
        <v>49623711032.739998</v>
      </c>
      <c r="I18" s="9">
        <v>49752657001.550003</v>
      </c>
      <c r="J18" s="9">
        <v>30545302500</v>
      </c>
      <c r="K18" s="9">
        <v>43576202280</v>
      </c>
      <c r="L18" s="9">
        <v>46297495860</v>
      </c>
      <c r="M18" s="9">
        <v>50713330000</v>
      </c>
      <c r="N18" s="9">
        <v>41456108540</v>
      </c>
    </row>
    <row r="19" spans="1:14" x14ac:dyDescent="0.3">
      <c r="A19" s="8" t="s">
        <v>73</v>
      </c>
      <c r="B19" s="8" t="s">
        <v>74</v>
      </c>
      <c r="C19" s="8" t="s">
        <v>46</v>
      </c>
      <c r="D19" s="8" t="s">
        <v>43</v>
      </c>
      <c r="E19" s="9">
        <v>14800691172.48</v>
      </c>
      <c r="F19" s="9">
        <v>15496396489.559999</v>
      </c>
      <c r="G19" s="9">
        <v>15516365324.639999</v>
      </c>
      <c r="H19" s="9">
        <v>15491261874.84</v>
      </c>
      <c r="I19" s="9">
        <v>15312584344.200001</v>
      </c>
      <c r="J19" s="9">
        <v>15274166706.719999</v>
      </c>
      <c r="K19" s="9">
        <v>15320582946.719999</v>
      </c>
      <c r="L19" s="9">
        <v>15563751922.299999</v>
      </c>
      <c r="M19" s="9">
        <v>20647173994.5</v>
      </c>
      <c r="N19" s="9">
        <v>19568133200</v>
      </c>
    </row>
    <row r="20" spans="1:14" x14ac:dyDescent="0.3">
      <c r="A20" s="8" t="s">
        <v>75</v>
      </c>
      <c r="B20" s="8" t="s">
        <v>76</v>
      </c>
      <c r="C20" s="8" t="s">
        <v>46</v>
      </c>
      <c r="D20" s="8" t="s">
        <v>43</v>
      </c>
      <c r="E20" s="9">
        <v>8250267410</v>
      </c>
      <c r="F20" s="9">
        <v>10447441900</v>
      </c>
      <c r="G20" s="9">
        <v>16465303800</v>
      </c>
      <c r="H20" s="9">
        <v>16318191120</v>
      </c>
      <c r="I20" s="9">
        <v>27622839300</v>
      </c>
      <c r="J20" s="9">
        <v>34863651900</v>
      </c>
      <c r="K20" s="9">
        <v>41961465000</v>
      </c>
      <c r="L20" s="9">
        <v>36603767200</v>
      </c>
      <c r="M20" s="9">
        <v>55308344000</v>
      </c>
      <c r="N20" s="9">
        <v>74126013200</v>
      </c>
    </row>
    <row r="21" spans="1:14" x14ac:dyDescent="0.3">
      <c r="A21" s="8" t="s">
        <v>77</v>
      </c>
      <c r="B21" s="8" t="s">
        <v>78</v>
      </c>
      <c r="C21" s="8" t="s">
        <v>46</v>
      </c>
      <c r="D21" s="8" t="s">
        <v>43</v>
      </c>
      <c r="E21" s="9">
        <v>4621523022.5</v>
      </c>
      <c r="F21" s="9">
        <v>3228164484.7399998</v>
      </c>
      <c r="G21" s="9">
        <v>5130488843.3500004</v>
      </c>
      <c r="H21" s="9">
        <v>5316281775</v>
      </c>
      <c r="I21" s="9">
        <v>6496530477.3599997</v>
      </c>
      <c r="J21" s="9">
        <v>8160146088.3999996</v>
      </c>
      <c r="K21" s="9">
        <v>9413654268.9599991</v>
      </c>
      <c r="L21" s="9">
        <v>9466147728.4799995</v>
      </c>
      <c r="M21" s="9">
        <v>8310934629.1800003</v>
      </c>
      <c r="N21" s="9">
        <v>10255830495.1</v>
      </c>
    </row>
    <row r="22" spans="1:14" x14ac:dyDescent="0.3">
      <c r="A22" s="8" t="s">
        <v>79</v>
      </c>
      <c r="B22" s="8" t="s">
        <v>80</v>
      </c>
      <c r="C22" s="8" t="s">
        <v>46</v>
      </c>
      <c r="D22" s="8" t="s">
        <v>43</v>
      </c>
      <c r="E22" s="9">
        <v>3610657886.8499999</v>
      </c>
      <c r="F22" s="9">
        <v>3223292133.48</v>
      </c>
      <c r="G22" s="9">
        <v>4324752445.0200005</v>
      </c>
      <c r="H22" s="9">
        <v>3992869385.9200001</v>
      </c>
      <c r="I22" s="9">
        <v>5742816198.6000004</v>
      </c>
      <c r="J22" s="9">
        <v>4374561694.54</v>
      </c>
      <c r="K22" s="9">
        <v>5348132752.6199999</v>
      </c>
      <c r="L22" s="9">
        <v>3665682800.6399999</v>
      </c>
      <c r="M22" s="9">
        <v>4294827115.9200001</v>
      </c>
      <c r="N22" s="9">
        <v>4945807233.0100002</v>
      </c>
    </row>
    <row r="23" spans="1:14" x14ac:dyDescent="0.3">
      <c r="A23" s="8" t="s">
        <v>81</v>
      </c>
      <c r="B23" s="8" t="s">
        <v>82</v>
      </c>
      <c r="C23" s="8" t="s">
        <v>46</v>
      </c>
      <c r="D23" s="8" t="s">
        <v>43</v>
      </c>
      <c r="E23" s="9">
        <v>2369285331.8400002</v>
      </c>
      <c r="F23" s="9">
        <v>2640000000</v>
      </c>
      <c r="G23" s="9">
        <v>3684000000</v>
      </c>
      <c r="H23" s="9">
        <v>3659798022.9000001</v>
      </c>
      <c r="I23" s="9">
        <v>5236060909.8599997</v>
      </c>
      <c r="J23" s="9">
        <v>8652155209.3199997</v>
      </c>
      <c r="K23" s="9">
        <v>10254033849.719999</v>
      </c>
      <c r="L23" s="9">
        <v>9032796677.7099991</v>
      </c>
      <c r="M23" s="9">
        <v>10946421362.85</v>
      </c>
      <c r="N23" s="9">
        <v>9156036549.4799995</v>
      </c>
    </row>
    <row r="24" spans="1:14" x14ac:dyDescent="0.3">
      <c r="A24" s="8" t="s">
        <v>83</v>
      </c>
      <c r="B24" s="8" t="s">
        <v>84</v>
      </c>
      <c r="C24" s="8" t="s">
        <v>46</v>
      </c>
      <c r="D24" s="8" t="s">
        <v>43</v>
      </c>
      <c r="E24" s="9">
        <v>1530150239.4400001</v>
      </c>
      <c r="F24" s="9">
        <v>1651353398</v>
      </c>
      <c r="G24" s="9">
        <v>2850853822.0500002</v>
      </c>
      <c r="H24" s="9">
        <v>2812224842.46</v>
      </c>
      <c r="I24" s="9">
        <v>2977975324.1599998</v>
      </c>
      <c r="J24" s="9">
        <v>4320577255.9799995</v>
      </c>
      <c r="K24" s="9">
        <v>6874537145.9099998</v>
      </c>
      <c r="L24" s="9">
        <v>4451814413.3599997</v>
      </c>
      <c r="M24" s="9">
        <v>5011691221.9499998</v>
      </c>
      <c r="N24" s="9">
        <v>4569094650.0600004</v>
      </c>
    </row>
    <row r="25" spans="1:14" x14ac:dyDescent="0.3">
      <c r="A25" s="8" t="s">
        <v>85</v>
      </c>
      <c r="B25" s="8" t="s">
        <v>86</v>
      </c>
      <c r="C25" s="8" t="s">
        <v>46</v>
      </c>
      <c r="D25" s="8" t="s">
        <v>43</v>
      </c>
      <c r="E25" s="9">
        <v>48922378452.239998</v>
      </c>
      <c r="F25" s="9">
        <v>38494794657.690002</v>
      </c>
      <c r="G25" s="9">
        <v>43552445763.75</v>
      </c>
      <c r="H25" s="9">
        <v>32035238169.549999</v>
      </c>
      <c r="I25" s="9">
        <v>41064031600</v>
      </c>
      <c r="J25" s="9">
        <v>34839337810</v>
      </c>
      <c r="K25" s="9">
        <v>43987036230</v>
      </c>
      <c r="L25" s="9">
        <v>40176327360</v>
      </c>
      <c r="M25" s="9">
        <v>48497924640</v>
      </c>
      <c r="N25" s="9">
        <v>69546932400</v>
      </c>
    </row>
    <row r="26" spans="1:14" x14ac:dyDescent="0.3">
      <c r="A26" s="8" t="s">
        <v>87</v>
      </c>
      <c r="B26" s="8" t="s">
        <v>88</v>
      </c>
      <c r="C26" s="8" t="s">
        <v>46</v>
      </c>
      <c r="D26" s="8" t="s">
        <v>43</v>
      </c>
      <c r="E26" s="9">
        <v>3212267942.9400001</v>
      </c>
      <c r="F26" s="9">
        <v>3000685110.2800002</v>
      </c>
      <c r="G26" s="9">
        <v>4045677510</v>
      </c>
      <c r="H26" s="9">
        <v>4069991534.1799998</v>
      </c>
      <c r="I26" s="9">
        <v>4401697130.8800001</v>
      </c>
      <c r="J26" s="9">
        <v>4207504610.4000001</v>
      </c>
      <c r="K26" s="9">
        <v>4899098541.6999998</v>
      </c>
      <c r="L26" s="9">
        <v>4205175276.4200001</v>
      </c>
      <c r="M26" s="9">
        <v>4199660239.5999999</v>
      </c>
      <c r="N26" s="9">
        <v>4388820891.6899996</v>
      </c>
    </row>
    <row r="27" spans="1:14" x14ac:dyDescent="0.3">
      <c r="A27" s="8" t="s">
        <v>89</v>
      </c>
      <c r="B27" s="8" t="s">
        <v>90</v>
      </c>
      <c r="C27" s="8" t="s">
        <v>46</v>
      </c>
      <c r="D27" s="8" t="s">
        <v>43</v>
      </c>
      <c r="E27" s="9" t="s">
        <v>349</v>
      </c>
      <c r="F27" s="9" t="s">
        <v>349</v>
      </c>
      <c r="G27" s="9" t="s">
        <v>349</v>
      </c>
      <c r="H27" s="9">
        <v>2738384217.0300002</v>
      </c>
      <c r="I27" s="9">
        <v>2738384217.0300002</v>
      </c>
      <c r="J27" s="9">
        <v>2738384217.0300002</v>
      </c>
      <c r="K27" s="9">
        <v>2739810000</v>
      </c>
      <c r="L27" s="9">
        <v>1506760000</v>
      </c>
      <c r="M27" s="9">
        <v>2192350000</v>
      </c>
      <c r="N27" s="9">
        <v>2493780000</v>
      </c>
    </row>
    <row r="28" spans="1:14" x14ac:dyDescent="0.3">
      <c r="A28" s="8" t="s">
        <v>91</v>
      </c>
      <c r="B28" s="8" t="s">
        <v>92</v>
      </c>
      <c r="C28" s="8" t="s">
        <v>46</v>
      </c>
      <c r="D28" s="8" t="s">
        <v>43</v>
      </c>
      <c r="E28" s="9">
        <v>7411604700</v>
      </c>
      <c r="F28" s="9">
        <v>7664403620</v>
      </c>
      <c r="G28" s="9">
        <v>5790204000</v>
      </c>
      <c r="H28" s="9">
        <v>4412966400</v>
      </c>
      <c r="I28" s="9">
        <v>6007851300</v>
      </c>
      <c r="J28" s="9">
        <v>3397741740</v>
      </c>
      <c r="K28" s="9">
        <v>3623942700</v>
      </c>
      <c r="L28" s="9">
        <v>4636974420</v>
      </c>
      <c r="M28" s="9">
        <v>8595086580</v>
      </c>
      <c r="N28" s="9">
        <v>14917710510</v>
      </c>
    </row>
    <row r="29" spans="1:14" x14ac:dyDescent="0.3">
      <c r="A29" s="8" t="s">
        <v>93</v>
      </c>
      <c r="B29" s="8" t="s">
        <v>94</v>
      </c>
      <c r="C29" s="8" t="s">
        <v>46</v>
      </c>
      <c r="D29" s="8" t="s">
        <v>43</v>
      </c>
      <c r="E29" s="9">
        <v>7457248735.1999998</v>
      </c>
      <c r="F29" s="9">
        <v>4385458881.1199999</v>
      </c>
      <c r="G29" s="9">
        <v>7382412826.5600004</v>
      </c>
      <c r="H29" s="9">
        <v>6986372990.04</v>
      </c>
      <c r="I29" s="9">
        <v>7802781804.1999998</v>
      </c>
      <c r="J29" s="9">
        <v>5499305165.4300003</v>
      </c>
      <c r="K29" s="9">
        <v>8494235007.3999996</v>
      </c>
      <c r="L29" s="9">
        <v>6928853951.04</v>
      </c>
      <c r="M29" s="9">
        <v>9214743212.3199997</v>
      </c>
      <c r="N29" s="9">
        <v>11646907607.67</v>
      </c>
    </row>
    <row r="30" spans="1:14" x14ac:dyDescent="0.3">
      <c r="A30" s="8" t="s">
        <v>95</v>
      </c>
      <c r="B30" s="8" t="s">
        <v>96</v>
      </c>
      <c r="C30" s="8" t="s">
        <v>46</v>
      </c>
      <c r="D30" s="8" t="s">
        <v>43</v>
      </c>
      <c r="E30" s="9">
        <v>3231112786.6799998</v>
      </c>
      <c r="F30" s="9">
        <v>4120400519.3699999</v>
      </c>
      <c r="G30" s="9">
        <v>6503150425.1999998</v>
      </c>
      <c r="H30" s="9">
        <v>7340270702.7600002</v>
      </c>
      <c r="I30" s="9">
        <v>10086579117.27</v>
      </c>
      <c r="J30" s="9">
        <v>12669105697.5</v>
      </c>
      <c r="K30" s="9">
        <v>17001835637.82</v>
      </c>
      <c r="L30" s="9">
        <v>13314227008.5</v>
      </c>
      <c r="M30" s="9">
        <v>15044930713.200001</v>
      </c>
      <c r="N30" s="9">
        <v>13791256065.540001</v>
      </c>
    </row>
    <row r="31" spans="1:14" x14ac:dyDescent="0.3">
      <c r="A31" s="8" t="s">
        <v>97</v>
      </c>
      <c r="B31" s="8" t="s">
        <v>98</v>
      </c>
      <c r="C31" s="8" t="s">
        <v>46</v>
      </c>
      <c r="D31" s="8" t="s">
        <v>43</v>
      </c>
      <c r="E31" s="9" t="s">
        <v>349</v>
      </c>
      <c r="F31" s="9">
        <v>5248529410.3000002</v>
      </c>
      <c r="G31" s="9">
        <v>5248529410.3000002</v>
      </c>
      <c r="H31" s="9">
        <v>5210555549.1000004</v>
      </c>
      <c r="I31" s="9">
        <v>7577401840</v>
      </c>
      <c r="J31" s="9">
        <v>10257892520</v>
      </c>
      <c r="K31" s="9">
        <v>11678208460</v>
      </c>
      <c r="L31" s="9">
        <v>9655013964</v>
      </c>
      <c r="M31" s="9">
        <v>9717162780</v>
      </c>
      <c r="N31" s="9">
        <v>6865934880</v>
      </c>
    </row>
    <row r="32" spans="1:14" x14ac:dyDescent="0.3">
      <c r="A32" s="8" t="s">
        <v>99</v>
      </c>
      <c r="B32" s="8" t="s">
        <v>100</v>
      </c>
      <c r="C32" s="8" t="s">
        <v>46</v>
      </c>
      <c r="D32" s="8" t="s">
        <v>43</v>
      </c>
      <c r="E32" s="9">
        <v>3152388199.6700001</v>
      </c>
      <c r="F32" s="9">
        <v>4570822080</v>
      </c>
      <c r="G32" s="9">
        <v>6262722880</v>
      </c>
      <c r="H32" s="9">
        <v>5550000000</v>
      </c>
      <c r="I32" s="9">
        <v>5140000000</v>
      </c>
      <c r="J32" s="9">
        <v>4430000000</v>
      </c>
      <c r="K32" s="9">
        <v>6110000000</v>
      </c>
      <c r="L32" s="9">
        <v>4000000000</v>
      </c>
      <c r="M32" s="9">
        <v>4930000000</v>
      </c>
      <c r="N32" s="9">
        <v>5831951065.1099997</v>
      </c>
    </row>
    <row r="33" spans="1:14" x14ac:dyDescent="0.3">
      <c r="A33" s="8" t="s">
        <v>101</v>
      </c>
      <c r="B33" s="8" t="s">
        <v>102</v>
      </c>
      <c r="C33" s="8" t="s">
        <v>46</v>
      </c>
      <c r="D33" s="8" t="s">
        <v>43</v>
      </c>
      <c r="E33" s="9">
        <v>9265248226.8999996</v>
      </c>
      <c r="F33" s="9">
        <v>8241554100</v>
      </c>
      <c r="G33" s="9">
        <v>8221022724.6000004</v>
      </c>
      <c r="H33" s="9">
        <v>9103586700</v>
      </c>
      <c r="I33" s="9">
        <v>13164622594.200001</v>
      </c>
      <c r="J33" s="9">
        <v>10823088931.200001</v>
      </c>
      <c r="K33" s="9">
        <v>15012121491.66</v>
      </c>
      <c r="L33" s="9">
        <v>11855980702.17</v>
      </c>
      <c r="M33" s="9">
        <v>13439743763.860001</v>
      </c>
      <c r="N33" s="9">
        <v>17635246755.900002</v>
      </c>
    </row>
    <row r="34" spans="1:14" x14ac:dyDescent="0.3">
      <c r="A34" s="8" t="s">
        <v>103</v>
      </c>
      <c r="B34" s="8" t="s">
        <v>104</v>
      </c>
      <c r="C34" s="8" t="s">
        <v>46</v>
      </c>
      <c r="D34" s="8" t="s">
        <v>43</v>
      </c>
      <c r="E34" s="9">
        <v>4334505430.96</v>
      </c>
      <c r="F34" s="9">
        <v>5223028237.0699997</v>
      </c>
      <c r="G34" s="9">
        <v>5524952400</v>
      </c>
      <c r="H34" s="9">
        <v>4274499650</v>
      </c>
      <c r="I34" s="9">
        <v>5654857110</v>
      </c>
      <c r="J34" s="9">
        <v>7656007920</v>
      </c>
      <c r="K34" s="9">
        <v>8721438880</v>
      </c>
      <c r="L34" s="9">
        <v>9132806020</v>
      </c>
      <c r="M34" s="9">
        <v>11359865963.92</v>
      </c>
      <c r="N34" s="9">
        <v>17359756400</v>
      </c>
    </row>
    <row r="35" spans="1:14" x14ac:dyDescent="0.3">
      <c r="A35" s="8" t="s">
        <v>105</v>
      </c>
      <c r="B35" s="8" t="s">
        <v>106</v>
      </c>
      <c r="C35" s="8" t="s">
        <v>46</v>
      </c>
      <c r="D35" s="8" t="s">
        <v>43</v>
      </c>
      <c r="E35" s="9">
        <v>3291169633.7399998</v>
      </c>
      <c r="F35" s="9">
        <v>2354607752.9699998</v>
      </c>
      <c r="G35" s="9">
        <v>2017954421.8399999</v>
      </c>
      <c r="H35" s="9">
        <v>1721633016.9100001</v>
      </c>
      <c r="I35" s="9">
        <v>2286620880.48</v>
      </c>
      <c r="J35" s="9">
        <v>1151601032.54</v>
      </c>
      <c r="K35" s="9">
        <v>914294693.27999997</v>
      </c>
      <c r="L35" s="9">
        <v>1062586446.4400001</v>
      </c>
      <c r="M35" s="39">
        <v>2932867405.6500001</v>
      </c>
      <c r="N35" s="9">
        <v>4938721180</v>
      </c>
    </row>
    <row r="36" spans="1:14" x14ac:dyDescent="0.3">
      <c r="A36" s="8" t="s">
        <v>107</v>
      </c>
      <c r="B36" s="8" t="s">
        <v>108</v>
      </c>
      <c r="C36" s="8" t="s">
        <v>46</v>
      </c>
      <c r="D36" s="8" t="s">
        <v>43</v>
      </c>
      <c r="E36" s="9">
        <v>17042618784.280001</v>
      </c>
      <c r="F36" s="9">
        <v>13570566475.74</v>
      </c>
      <c r="G36" s="9">
        <v>13792299065.48</v>
      </c>
      <c r="H36" s="9">
        <v>13229755970.959999</v>
      </c>
      <c r="I36" s="9">
        <v>15479782140.83</v>
      </c>
      <c r="J36" s="9">
        <v>15051296094</v>
      </c>
      <c r="K36" s="9">
        <v>17335418270.799999</v>
      </c>
      <c r="L36" s="9">
        <v>15114782933.219999</v>
      </c>
      <c r="M36" s="9">
        <v>15625537196.200001</v>
      </c>
      <c r="N36" s="9">
        <v>14354873681.719999</v>
      </c>
    </row>
    <row r="37" spans="1:14" x14ac:dyDescent="0.3">
      <c r="A37" s="8" t="s">
        <v>109</v>
      </c>
      <c r="B37" s="8" t="s">
        <v>110</v>
      </c>
      <c r="C37" s="8" t="s">
        <v>46</v>
      </c>
      <c r="D37" s="8" t="s">
        <v>43</v>
      </c>
      <c r="E37" s="9">
        <v>12960561900</v>
      </c>
      <c r="F37" s="9">
        <v>13102744540</v>
      </c>
      <c r="G37" s="9">
        <v>23285578080</v>
      </c>
      <c r="H37" s="9">
        <v>19463878230</v>
      </c>
      <c r="I37" s="9">
        <v>20630663660</v>
      </c>
      <c r="J37" s="9">
        <v>22635069320</v>
      </c>
      <c r="K37" s="9">
        <v>51059449960</v>
      </c>
      <c r="L37" s="9">
        <v>41637580140</v>
      </c>
      <c r="M37" s="9">
        <v>65790538250</v>
      </c>
      <c r="N37" s="9">
        <v>37172650120.019997</v>
      </c>
    </row>
    <row r="38" spans="1:14" x14ac:dyDescent="0.3">
      <c r="A38" s="8" t="s">
        <v>111</v>
      </c>
      <c r="B38" s="8" t="s">
        <v>112</v>
      </c>
      <c r="C38" s="8" t="s">
        <v>46</v>
      </c>
      <c r="D38" s="8" t="s">
        <v>43</v>
      </c>
      <c r="E38" s="9">
        <v>5884419159.1800003</v>
      </c>
      <c r="F38" s="9">
        <v>9991363045.3199997</v>
      </c>
      <c r="G38" s="9">
        <v>19604405667.540001</v>
      </c>
      <c r="H38" s="9">
        <v>12855996478.41</v>
      </c>
      <c r="I38" s="9">
        <v>24139694250.82</v>
      </c>
      <c r="J38" s="9">
        <v>33089688168.91</v>
      </c>
      <c r="K38" s="9">
        <v>44678949795.199997</v>
      </c>
      <c r="L38" s="9">
        <v>31965496557.41</v>
      </c>
      <c r="M38" s="9">
        <v>44764893031.989998</v>
      </c>
      <c r="N38" s="9">
        <v>22657950743.810001</v>
      </c>
    </row>
    <row r="39" spans="1:14" x14ac:dyDescent="0.3">
      <c r="A39" s="8" t="s">
        <v>113</v>
      </c>
      <c r="B39" s="8" t="s">
        <v>114</v>
      </c>
      <c r="C39" s="8" t="s">
        <v>46</v>
      </c>
      <c r="D39" s="8" t="s">
        <v>43</v>
      </c>
      <c r="E39" s="9">
        <v>14029904035.01</v>
      </c>
      <c r="F39" s="9">
        <v>21070257194.93</v>
      </c>
      <c r="G39" s="9">
        <v>18786803394.52</v>
      </c>
      <c r="H39" s="9">
        <v>12862481384.440001</v>
      </c>
      <c r="I39" s="9">
        <v>13314580159.65</v>
      </c>
      <c r="J39" s="9">
        <v>9546758820.0599995</v>
      </c>
      <c r="K39" s="9">
        <v>12376990147.280001</v>
      </c>
      <c r="L39" s="9">
        <v>20575960214.240002</v>
      </c>
      <c r="M39" s="9">
        <v>20489951176.119999</v>
      </c>
      <c r="N39" s="9">
        <v>21052233181.16</v>
      </c>
    </row>
    <row r="40" spans="1:14" x14ac:dyDescent="0.3">
      <c r="A40" s="8" t="s">
        <v>115</v>
      </c>
      <c r="B40" s="8" t="s">
        <v>116</v>
      </c>
      <c r="C40" s="8" t="s">
        <v>46</v>
      </c>
      <c r="D40" s="8" t="s">
        <v>43</v>
      </c>
      <c r="E40" s="9">
        <v>9576283782.2399998</v>
      </c>
      <c r="F40" s="9">
        <v>8742809520.1499996</v>
      </c>
      <c r="G40" s="9">
        <v>9660350875.2000008</v>
      </c>
      <c r="H40" s="9">
        <v>10177448860.41</v>
      </c>
      <c r="I40" s="9">
        <v>11952082224.25</v>
      </c>
      <c r="J40" s="9">
        <v>12555946287.5</v>
      </c>
      <c r="K40" s="9">
        <v>14053649228.370001</v>
      </c>
      <c r="L40" s="9">
        <v>13528049886</v>
      </c>
      <c r="M40" s="9">
        <v>15002716305.280001</v>
      </c>
      <c r="N40" s="9">
        <v>15316445203.98</v>
      </c>
    </row>
    <row r="41" spans="1:14" x14ac:dyDescent="0.3">
      <c r="A41" s="8" t="s">
        <v>117</v>
      </c>
      <c r="B41" s="8" t="s">
        <v>118</v>
      </c>
      <c r="C41" s="8" t="s">
        <v>46</v>
      </c>
      <c r="D41" s="8" t="s">
        <v>43</v>
      </c>
      <c r="E41" s="9">
        <v>43297578060.639999</v>
      </c>
      <c r="F41" s="9">
        <v>23055657896.900002</v>
      </c>
      <c r="G41" s="9">
        <v>30594426774.900002</v>
      </c>
      <c r="H41" s="9">
        <v>21683595066.57</v>
      </c>
      <c r="I41" s="9">
        <v>28941910620</v>
      </c>
      <c r="J41" s="9">
        <v>17034014353.950001</v>
      </c>
      <c r="K41" s="9">
        <v>30081804460</v>
      </c>
      <c r="L41" s="9">
        <v>27462158840</v>
      </c>
      <c r="M41" s="9">
        <v>42074257680</v>
      </c>
      <c r="N41" s="9">
        <v>65239227180</v>
      </c>
    </row>
    <row r="42" spans="1:14" x14ac:dyDescent="0.3">
      <c r="A42" s="8" t="s">
        <v>119</v>
      </c>
      <c r="B42" s="8" t="s">
        <v>120</v>
      </c>
      <c r="C42" s="8" t="s">
        <v>46</v>
      </c>
      <c r="D42" s="8" t="s">
        <v>43</v>
      </c>
      <c r="E42" s="9">
        <v>3371482800</v>
      </c>
      <c r="F42" s="9">
        <v>2426588800</v>
      </c>
      <c r="G42" s="9">
        <v>2868191400</v>
      </c>
      <c r="H42" s="9">
        <v>2468710000</v>
      </c>
      <c r="I42" s="9">
        <v>3660192000</v>
      </c>
      <c r="J42" s="9">
        <v>2799951000</v>
      </c>
      <c r="K42" s="9">
        <v>3422241900</v>
      </c>
      <c r="L42" s="9">
        <v>3260337400</v>
      </c>
      <c r="M42" s="9">
        <v>3694560000</v>
      </c>
      <c r="N42" s="9">
        <v>8613480000</v>
      </c>
    </row>
    <row r="43" spans="1:14" x14ac:dyDescent="0.3">
      <c r="A43" s="6" t="s">
        <v>121</v>
      </c>
      <c r="B43" s="7"/>
      <c r="C43" s="7"/>
      <c r="D43" s="7"/>
      <c r="E43" s="47"/>
      <c r="F43" s="47"/>
      <c r="G43" s="47"/>
      <c r="H43" s="47"/>
      <c r="I43" s="47"/>
      <c r="J43" s="47"/>
      <c r="K43" s="47"/>
      <c r="L43" s="47"/>
      <c r="M43" s="47"/>
      <c r="N43" s="47"/>
    </row>
    <row r="44" spans="1:14" x14ac:dyDescent="0.3">
      <c r="A44" s="8" t="s">
        <v>122</v>
      </c>
      <c r="B44" s="8" t="s">
        <v>123</v>
      </c>
      <c r="C44" s="8" t="s">
        <v>124</v>
      </c>
      <c r="D44" s="8" t="s">
        <v>121</v>
      </c>
      <c r="E44" s="9">
        <v>18120139342.380001</v>
      </c>
      <c r="F44" s="9">
        <v>30058269641.400002</v>
      </c>
      <c r="G44" s="9">
        <v>33829768141.950001</v>
      </c>
      <c r="H44" s="9">
        <v>37204361812.800003</v>
      </c>
      <c r="I44" s="9">
        <v>57266249808.599998</v>
      </c>
      <c r="J44" s="9">
        <v>58136949759.599998</v>
      </c>
      <c r="K44" s="9">
        <v>49164599548.800003</v>
      </c>
      <c r="L44" s="9">
        <v>23358782152.34</v>
      </c>
      <c r="M44" s="9">
        <v>32534214063.119999</v>
      </c>
      <c r="N44" s="9">
        <v>42280423091.199997</v>
      </c>
    </row>
    <row r="45" spans="1:14" x14ac:dyDescent="0.3">
      <c r="A45" s="8" t="s">
        <v>125</v>
      </c>
      <c r="B45" s="8" t="s">
        <v>126</v>
      </c>
      <c r="C45" s="8" t="s">
        <v>124</v>
      </c>
      <c r="D45" s="8" t="s">
        <v>121</v>
      </c>
      <c r="E45" s="9">
        <v>49297723962.25</v>
      </c>
      <c r="F45" s="9">
        <v>48524925068.269997</v>
      </c>
      <c r="G45" s="9">
        <v>64083855179.639999</v>
      </c>
      <c r="H45" s="9">
        <v>65238133914.559998</v>
      </c>
      <c r="I45" s="9">
        <v>102678046836.12</v>
      </c>
      <c r="J45" s="9">
        <v>71519832402.119995</v>
      </c>
      <c r="K45" s="9">
        <v>87736628987.279999</v>
      </c>
      <c r="L45" s="9">
        <v>87665034889.020004</v>
      </c>
      <c r="M45" s="9">
        <v>110484006722.32001</v>
      </c>
      <c r="N45" s="9">
        <v>122270267437.38</v>
      </c>
    </row>
    <row r="46" spans="1:14" x14ac:dyDescent="0.3">
      <c r="A46" s="8" t="s">
        <v>127</v>
      </c>
      <c r="B46" s="8" t="s">
        <v>128</v>
      </c>
      <c r="C46" s="8" t="s">
        <v>124</v>
      </c>
      <c r="D46" s="8" t="s">
        <v>121</v>
      </c>
      <c r="E46" s="9">
        <v>74311768153.350006</v>
      </c>
      <c r="F46" s="9">
        <v>71387801090</v>
      </c>
      <c r="G46" s="9">
        <v>85493399220.5</v>
      </c>
      <c r="H46" s="9">
        <v>74918710300</v>
      </c>
      <c r="I46" s="9">
        <v>91433903215.199997</v>
      </c>
      <c r="J46" s="9">
        <v>82874546440.199997</v>
      </c>
      <c r="K46" s="9">
        <v>85328383966.100006</v>
      </c>
      <c r="L46" s="9">
        <v>81322940218.800003</v>
      </c>
      <c r="M46" s="9">
        <v>95858195662.800003</v>
      </c>
      <c r="N46" s="9">
        <v>114945905800</v>
      </c>
    </row>
    <row r="47" spans="1:14" x14ac:dyDescent="0.3">
      <c r="A47" s="8" t="s">
        <v>129</v>
      </c>
      <c r="B47" s="8" t="s">
        <v>130</v>
      </c>
      <c r="C47" s="8" t="s">
        <v>124</v>
      </c>
      <c r="D47" s="8" t="s">
        <v>121</v>
      </c>
      <c r="E47" s="9">
        <v>64954834880</v>
      </c>
      <c r="F47" s="9">
        <v>81110880490</v>
      </c>
      <c r="G47" s="9">
        <v>83866317490</v>
      </c>
      <c r="H47" s="9">
        <v>55770044880</v>
      </c>
      <c r="I47" s="9">
        <v>61859560650</v>
      </c>
      <c r="J47" s="9">
        <v>59443960880</v>
      </c>
      <c r="K47" s="9">
        <v>56743632620</v>
      </c>
      <c r="L47" s="9">
        <v>41832368060</v>
      </c>
      <c r="M47" s="9">
        <v>43543027980</v>
      </c>
      <c r="N47" s="9">
        <v>38009003120</v>
      </c>
    </row>
    <row r="48" spans="1:14" x14ac:dyDescent="0.3">
      <c r="A48" s="8" t="s">
        <v>131</v>
      </c>
      <c r="B48" s="8" t="s">
        <v>132</v>
      </c>
      <c r="C48" s="8" t="s">
        <v>124</v>
      </c>
      <c r="D48" s="8" t="s">
        <v>121</v>
      </c>
      <c r="E48" s="9">
        <v>64093573265.279999</v>
      </c>
      <c r="F48" s="9">
        <v>58291405676.25</v>
      </c>
      <c r="G48" s="9">
        <v>56774259590.400002</v>
      </c>
      <c r="H48" s="9">
        <v>45861064170.239998</v>
      </c>
      <c r="I48" s="9">
        <v>48134754396.419998</v>
      </c>
      <c r="J48" s="9">
        <v>47632866368.709999</v>
      </c>
      <c r="K48" s="9">
        <v>58392811994.519997</v>
      </c>
      <c r="L48" s="9">
        <v>54788877015.620003</v>
      </c>
      <c r="M48" s="9">
        <v>65028613689.059998</v>
      </c>
      <c r="N48" s="9">
        <v>45065914153.699997</v>
      </c>
    </row>
    <row r="49" spans="1:14" x14ac:dyDescent="0.3">
      <c r="A49" s="8" t="s">
        <v>133</v>
      </c>
      <c r="B49" s="8" t="s">
        <v>134</v>
      </c>
      <c r="C49" s="8" t="s">
        <v>124</v>
      </c>
      <c r="D49" s="8" t="s">
        <v>121</v>
      </c>
      <c r="E49" s="9">
        <v>94238972199.679993</v>
      </c>
      <c r="F49" s="9">
        <v>81210648920.399994</v>
      </c>
      <c r="G49" s="9">
        <v>88231166865.850006</v>
      </c>
      <c r="H49" s="9">
        <v>57254653600</v>
      </c>
      <c r="I49" s="9">
        <v>71476848900</v>
      </c>
      <c r="J49" s="9">
        <v>47303523000</v>
      </c>
      <c r="K49" s="9">
        <v>46173740000</v>
      </c>
      <c r="L49" s="9">
        <v>47480358600</v>
      </c>
      <c r="M49" s="9">
        <v>33038784600</v>
      </c>
      <c r="N49" s="9">
        <v>18970530200</v>
      </c>
    </row>
    <row r="50" spans="1:14" x14ac:dyDescent="0.3">
      <c r="A50" s="8" t="s">
        <v>135</v>
      </c>
      <c r="B50" s="8" t="s">
        <v>136</v>
      </c>
      <c r="C50" s="8" t="s">
        <v>124</v>
      </c>
      <c r="D50" s="8" t="s">
        <v>121</v>
      </c>
      <c r="E50" s="9">
        <v>19089085693.439999</v>
      </c>
      <c r="F50" s="9">
        <v>18281610110.400002</v>
      </c>
      <c r="G50" s="9">
        <v>21819986260.799999</v>
      </c>
      <c r="H50" s="9">
        <v>20835591870.240002</v>
      </c>
      <c r="I50" s="9">
        <v>24190244643.599998</v>
      </c>
      <c r="J50" s="9">
        <v>21420784848.959999</v>
      </c>
      <c r="K50" s="9">
        <v>20499899773.919998</v>
      </c>
      <c r="L50" s="9">
        <v>24314995084.799999</v>
      </c>
      <c r="M50" s="9">
        <v>30779336128.799999</v>
      </c>
      <c r="N50" s="9">
        <v>27894968576</v>
      </c>
    </row>
    <row r="51" spans="1:14" x14ac:dyDescent="0.3">
      <c r="A51" s="8" t="s">
        <v>137</v>
      </c>
      <c r="B51" s="8" t="s">
        <v>138</v>
      </c>
      <c r="C51" s="8" t="s">
        <v>124</v>
      </c>
      <c r="D51" s="8" t="s">
        <v>121</v>
      </c>
      <c r="E51" s="9">
        <v>7459260000</v>
      </c>
      <c r="F51" s="9">
        <v>8157600000</v>
      </c>
      <c r="G51" s="9">
        <v>8152965000</v>
      </c>
      <c r="H51" s="9">
        <v>5911170000</v>
      </c>
      <c r="I51" s="9">
        <v>7490160000</v>
      </c>
      <c r="J51" s="9">
        <v>9786030000</v>
      </c>
      <c r="K51" s="9">
        <v>12295110000</v>
      </c>
      <c r="L51" s="9">
        <v>9226740000</v>
      </c>
      <c r="M51" s="9">
        <v>12574542000</v>
      </c>
      <c r="N51" s="9">
        <v>8375236000</v>
      </c>
    </row>
    <row r="52" spans="1:14" x14ac:dyDescent="0.3">
      <c r="A52" s="8" t="s">
        <v>139</v>
      </c>
      <c r="B52" s="8" t="s">
        <v>140</v>
      </c>
      <c r="C52" s="8" t="s">
        <v>124</v>
      </c>
      <c r="D52" s="8" t="s">
        <v>121</v>
      </c>
      <c r="E52" s="9">
        <v>11566004430.42</v>
      </c>
      <c r="F52" s="9">
        <v>9079592846.5</v>
      </c>
      <c r="G52" s="9">
        <v>15842324070.1</v>
      </c>
      <c r="H52" s="9">
        <v>7226103548.1800003</v>
      </c>
      <c r="I52" s="9">
        <v>6913014139.6800003</v>
      </c>
      <c r="J52" s="9">
        <v>6599924731.1800003</v>
      </c>
      <c r="K52" s="9">
        <v>8378272571.46</v>
      </c>
      <c r="L52" s="9">
        <v>11070841484.559999</v>
      </c>
      <c r="M52" s="9">
        <v>13403724564.84</v>
      </c>
      <c r="N52" s="9">
        <v>18679563760</v>
      </c>
    </row>
    <row r="53" spans="1:14" x14ac:dyDescent="0.3">
      <c r="A53" s="8" t="s">
        <v>141</v>
      </c>
      <c r="B53" s="8" t="s">
        <v>142</v>
      </c>
      <c r="C53" s="8" t="s">
        <v>124</v>
      </c>
      <c r="D53" s="8" t="s">
        <v>121</v>
      </c>
      <c r="E53" s="9">
        <v>39938000000</v>
      </c>
      <c r="F53" s="9">
        <v>32672000000</v>
      </c>
      <c r="G53" s="9">
        <v>40018000000</v>
      </c>
      <c r="H53" s="9">
        <v>21450000000</v>
      </c>
      <c r="I53" s="9">
        <v>20500000000</v>
      </c>
      <c r="J53" s="9">
        <v>21564000000</v>
      </c>
      <c r="K53" s="9">
        <v>18622000000</v>
      </c>
      <c r="L53" s="9">
        <v>11196000000</v>
      </c>
      <c r="M53" s="9">
        <v>15500000000</v>
      </c>
      <c r="N53" s="9">
        <v>12964000000</v>
      </c>
    </row>
    <row r="54" spans="1:14" x14ac:dyDescent="0.3">
      <c r="A54" s="8" t="s">
        <v>143</v>
      </c>
      <c r="B54" s="8" t="s">
        <v>144</v>
      </c>
      <c r="C54" s="8" t="s">
        <v>124</v>
      </c>
      <c r="D54" s="8" t="s">
        <v>121</v>
      </c>
      <c r="E54" s="9">
        <v>5209194853.8000002</v>
      </c>
      <c r="F54" s="39">
        <v>13198950000</v>
      </c>
      <c r="G54" s="9">
        <v>17333229066.240002</v>
      </c>
      <c r="H54" s="9">
        <v>8269782635.3999996</v>
      </c>
      <c r="I54" s="9">
        <v>7574105609.8000002</v>
      </c>
      <c r="J54" s="9">
        <v>9334368209.3600006</v>
      </c>
      <c r="K54" s="9">
        <v>10469564463.200001</v>
      </c>
      <c r="L54" s="9">
        <v>6978617158.8999996</v>
      </c>
      <c r="M54" s="9">
        <v>9970332274.5599995</v>
      </c>
      <c r="N54" s="9">
        <v>10599656932.799999</v>
      </c>
    </row>
    <row r="55" spans="1:14" x14ac:dyDescent="0.3">
      <c r="A55" s="8" t="s">
        <v>145</v>
      </c>
      <c r="B55" s="8" t="s">
        <v>146</v>
      </c>
      <c r="C55" s="8" t="s">
        <v>124</v>
      </c>
      <c r="D55" s="8" t="s">
        <v>121</v>
      </c>
      <c r="E55" s="9" t="s">
        <v>349</v>
      </c>
      <c r="F55" s="9" t="s">
        <v>349</v>
      </c>
      <c r="G55" s="9" t="s">
        <v>349</v>
      </c>
      <c r="H55" s="9">
        <v>24506018045.959999</v>
      </c>
      <c r="I55" s="9">
        <v>24507507045.959999</v>
      </c>
      <c r="J55" s="9">
        <v>24507507045.959999</v>
      </c>
      <c r="K55" s="9">
        <v>26573116269.779999</v>
      </c>
      <c r="L55" s="9">
        <v>23824456983.900002</v>
      </c>
      <c r="M55" s="9">
        <v>27828360000</v>
      </c>
      <c r="N55" s="9">
        <v>29332600000</v>
      </c>
    </row>
    <row r="56" spans="1:14" x14ac:dyDescent="0.3">
      <c r="A56" s="8" t="s">
        <v>147</v>
      </c>
      <c r="B56" s="8" t="s">
        <v>148</v>
      </c>
      <c r="C56" s="8" t="s">
        <v>124</v>
      </c>
      <c r="D56" s="8" t="s">
        <v>121</v>
      </c>
      <c r="E56" s="9">
        <v>35056981142.68</v>
      </c>
      <c r="F56" s="9">
        <v>23966878299.16</v>
      </c>
      <c r="G56" s="9">
        <v>31247076000</v>
      </c>
      <c r="H56" s="9">
        <v>15030729992.85</v>
      </c>
      <c r="I56" s="9">
        <v>14601200000</v>
      </c>
      <c r="J56" s="9">
        <v>18868389991.049999</v>
      </c>
      <c r="K56" s="9">
        <v>23103430000</v>
      </c>
      <c r="L56" s="9">
        <v>22079091000</v>
      </c>
      <c r="M56" s="9">
        <v>25512276000</v>
      </c>
      <c r="N56" s="9">
        <v>33173504000</v>
      </c>
    </row>
    <row r="57" spans="1:14" x14ac:dyDescent="0.3">
      <c r="A57" s="8" t="s">
        <v>149</v>
      </c>
      <c r="B57" s="8" t="s">
        <v>150</v>
      </c>
      <c r="C57" s="8" t="s">
        <v>124</v>
      </c>
      <c r="D57" s="8" t="s">
        <v>121</v>
      </c>
      <c r="E57" s="9">
        <v>15056980952.969999</v>
      </c>
      <c r="F57" s="9">
        <v>14272509312.360001</v>
      </c>
      <c r="G57" s="9">
        <v>17910067613.779999</v>
      </c>
      <c r="H57" s="9">
        <v>19588807421.950001</v>
      </c>
      <c r="I57" s="9">
        <v>25700874619.400002</v>
      </c>
      <c r="J57" s="9">
        <v>25545751713</v>
      </c>
      <c r="K57" s="9">
        <v>26999632192.599998</v>
      </c>
      <c r="L57" s="9">
        <v>29637997401</v>
      </c>
      <c r="M57" s="9">
        <v>34076862357.299999</v>
      </c>
      <c r="N57" s="9">
        <v>40881568000</v>
      </c>
    </row>
    <row r="58" spans="1:14" x14ac:dyDescent="0.3">
      <c r="A58" s="8" t="s">
        <v>151</v>
      </c>
      <c r="B58" s="8" t="s">
        <v>152</v>
      </c>
      <c r="C58" s="8" t="s">
        <v>124</v>
      </c>
      <c r="D58" s="8" t="s">
        <v>121</v>
      </c>
      <c r="E58" s="9">
        <v>31427698626.720001</v>
      </c>
      <c r="F58" s="9">
        <v>37584613011.440002</v>
      </c>
      <c r="G58" s="9">
        <v>47726258139.120003</v>
      </c>
      <c r="H58" s="9">
        <v>29510543894.549999</v>
      </c>
      <c r="I58" s="9">
        <v>41972072835.57</v>
      </c>
      <c r="J58" s="9">
        <v>50094453888</v>
      </c>
      <c r="K58" s="9">
        <v>69682794466.559998</v>
      </c>
      <c r="L58" s="9">
        <v>42709397072.580002</v>
      </c>
      <c r="M58" s="9">
        <v>53333390834.620003</v>
      </c>
      <c r="N58" s="9">
        <v>39626189075.459999</v>
      </c>
    </row>
    <row r="59" spans="1:14" x14ac:dyDescent="0.3">
      <c r="A59" s="8" t="s">
        <v>153</v>
      </c>
      <c r="B59" s="8" t="s">
        <v>154</v>
      </c>
      <c r="C59" s="8" t="s">
        <v>124</v>
      </c>
      <c r="D59" s="8" t="s">
        <v>121</v>
      </c>
      <c r="E59" s="9" t="s">
        <v>349</v>
      </c>
      <c r="F59" s="9" t="s">
        <v>349</v>
      </c>
      <c r="G59" s="9" t="s">
        <v>349</v>
      </c>
      <c r="H59" s="9">
        <v>75157500000</v>
      </c>
      <c r="I59" s="9">
        <v>75157500000</v>
      </c>
      <c r="J59" s="9">
        <v>75157500000</v>
      </c>
      <c r="K59" s="9">
        <v>75157500000</v>
      </c>
      <c r="L59" s="9">
        <v>85889936880.25</v>
      </c>
      <c r="M59" s="9">
        <v>72428558910.100006</v>
      </c>
      <c r="N59" s="9">
        <v>53220620000</v>
      </c>
    </row>
    <row r="60" spans="1:14" x14ac:dyDescent="0.3">
      <c r="A60" s="8" t="s">
        <v>155</v>
      </c>
      <c r="B60" s="8" t="s">
        <v>156</v>
      </c>
      <c r="C60" s="8" t="s">
        <v>124</v>
      </c>
      <c r="D60" s="8" t="s">
        <v>121</v>
      </c>
      <c r="E60" s="9">
        <v>75989570000</v>
      </c>
      <c r="F60" s="9">
        <v>75665000000</v>
      </c>
      <c r="G60" s="9">
        <v>69604400000</v>
      </c>
      <c r="H60" s="9">
        <v>70276440000</v>
      </c>
      <c r="I60" s="9">
        <v>69105510000</v>
      </c>
      <c r="J60" s="9">
        <v>70955280000</v>
      </c>
      <c r="K60" s="9">
        <v>78451900000</v>
      </c>
      <c r="L60" s="9">
        <v>92678080000</v>
      </c>
      <c r="M60" s="9">
        <v>108228000000</v>
      </c>
      <c r="N60" s="9">
        <v>142658820000</v>
      </c>
    </row>
    <row r="61" spans="1:14" x14ac:dyDescent="0.3">
      <c r="A61" s="8" t="s">
        <v>157</v>
      </c>
      <c r="B61" s="8" t="s">
        <v>158</v>
      </c>
      <c r="C61" s="8" t="s">
        <v>124</v>
      </c>
      <c r="D61" s="8" t="s">
        <v>121</v>
      </c>
      <c r="E61" s="9">
        <v>15104880000</v>
      </c>
      <c r="F61" s="9">
        <v>13078400000</v>
      </c>
      <c r="G61" s="9">
        <v>19331320000</v>
      </c>
      <c r="H61" s="9">
        <v>19286300000</v>
      </c>
      <c r="I61" s="9">
        <v>21829360000</v>
      </c>
      <c r="J61" s="9">
        <v>23619420000</v>
      </c>
      <c r="K61" s="9">
        <v>31791520000</v>
      </c>
      <c r="L61" s="9">
        <v>24341970000</v>
      </c>
      <c r="M61" s="9">
        <v>31828090000</v>
      </c>
      <c r="N61" s="9">
        <v>29385000000</v>
      </c>
    </row>
    <row r="62" spans="1:14" x14ac:dyDescent="0.3">
      <c r="A62" s="8" t="s">
        <v>159</v>
      </c>
      <c r="B62" s="8" t="s">
        <v>160</v>
      </c>
      <c r="C62" s="8" t="s">
        <v>124</v>
      </c>
      <c r="D62" s="8" t="s">
        <v>121</v>
      </c>
      <c r="E62" s="9">
        <v>35946519896.43</v>
      </c>
      <c r="F62" s="9">
        <v>40649762335.980003</v>
      </c>
      <c r="G62" s="9">
        <v>36123055713.18</v>
      </c>
      <c r="H62" s="9">
        <v>24032406618.860001</v>
      </c>
      <c r="I62" s="9">
        <v>27941265837.16</v>
      </c>
      <c r="J62" s="9">
        <v>21093974560.560001</v>
      </c>
      <c r="K62" s="9">
        <v>19755390481.200001</v>
      </c>
      <c r="L62" s="9">
        <v>14733188006.25</v>
      </c>
      <c r="M62" s="9">
        <v>15810070365.389999</v>
      </c>
      <c r="N62" s="9">
        <v>18890978270.580002</v>
      </c>
    </row>
    <row r="63" spans="1:14" x14ac:dyDescent="0.3">
      <c r="A63" s="8" t="s">
        <v>161</v>
      </c>
      <c r="B63" s="8" t="s">
        <v>162</v>
      </c>
      <c r="C63" s="8" t="s">
        <v>124</v>
      </c>
      <c r="D63" s="8" t="s">
        <v>121</v>
      </c>
      <c r="E63" s="9">
        <v>12743617207.65</v>
      </c>
      <c r="F63" s="9">
        <v>12399829136.799999</v>
      </c>
      <c r="G63" s="9">
        <v>12710922113.6</v>
      </c>
      <c r="H63" s="9">
        <v>14037490683.6</v>
      </c>
      <c r="I63" s="9">
        <v>20778862583.099998</v>
      </c>
      <c r="J63" s="9">
        <v>15719181826.1</v>
      </c>
      <c r="K63" s="9">
        <v>20158420878.450001</v>
      </c>
      <c r="L63" s="9">
        <v>22386151315.5</v>
      </c>
      <c r="M63" s="9">
        <v>26087524026.900002</v>
      </c>
      <c r="N63" s="9">
        <v>29112118455.400002</v>
      </c>
    </row>
    <row r="64" spans="1:14" x14ac:dyDescent="0.3">
      <c r="A64" s="8" t="s">
        <v>163</v>
      </c>
      <c r="B64" s="8" t="s">
        <v>164</v>
      </c>
      <c r="C64" s="8" t="s">
        <v>124</v>
      </c>
      <c r="D64" s="8" t="s">
        <v>121</v>
      </c>
      <c r="E64" s="9">
        <v>14210207920</v>
      </c>
      <c r="F64" s="9">
        <v>17107628490</v>
      </c>
      <c r="G64" s="9">
        <v>17857440000</v>
      </c>
      <c r="H64" s="9">
        <v>10571604480</v>
      </c>
      <c r="I64" s="9">
        <v>12889103360</v>
      </c>
      <c r="J64" s="9">
        <v>12147027520</v>
      </c>
      <c r="K64" s="9">
        <v>11743772160</v>
      </c>
      <c r="L64" s="9">
        <v>10071411840</v>
      </c>
      <c r="M64" s="9">
        <v>14974547520</v>
      </c>
      <c r="N64" s="9">
        <v>21982223607.099998</v>
      </c>
    </row>
    <row r="65" spans="1:14" x14ac:dyDescent="0.3">
      <c r="A65" s="8" t="s">
        <v>165</v>
      </c>
      <c r="B65" s="8" t="s">
        <v>166</v>
      </c>
      <c r="C65" s="8" t="s">
        <v>124</v>
      </c>
      <c r="D65" s="8" t="s">
        <v>121</v>
      </c>
      <c r="E65" s="9">
        <v>44817508898.400002</v>
      </c>
      <c r="F65" s="9">
        <v>49182005923.5</v>
      </c>
      <c r="G65" s="9">
        <v>47314609672.099998</v>
      </c>
      <c r="H65" s="9">
        <v>41569109112.559998</v>
      </c>
      <c r="I65" s="9">
        <v>40040449855.599998</v>
      </c>
      <c r="J65" s="9">
        <v>40083877675.400002</v>
      </c>
      <c r="K65" s="9">
        <v>30894551005.720001</v>
      </c>
      <c r="L65" s="9">
        <v>27855643885.939999</v>
      </c>
      <c r="M65" s="9">
        <v>30680345049.32</v>
      </c>
      <c r="N65" s="9">
        <v>35563368201.900002</v>
      </c>
    </row>
    <row r="66" spans="1:14" x14ac:dyDescent="0.3">
      <c r="A66" s="8" t="s">
        <v>167</v>
      </c>
      <c r="B66" s="8" t="s">
        <v>168</v>
      </c>
      <c r="C66" s="8" t="s">
        <v>124</v>
      </c>
      <c r="D66" s="8" t="s">
        <v>121</v>
      </c>
      <c r="E66" s="9">
        <v>11293356000</v>
      </c>
      <c r="F66" s="9">
        <v>17868176000</v>
      </c>
      <c r="G66" s="9">
        <v>24005322000</v>
      </c>
      <c r="H66" s="9">
        <v>22598695000</v>
      </c>
      <c r="I66" s="9">
        <v>19207734000</v>
      </c>
      <c r="J66" s="9">
        <v>30499740000</v>
      </c>
      <c r="K66" s="9">
        <v>46231636000</v>
      </c>
      <c r="L66" s="9">
        <v>29563878000</v>
      </c>
      <c r="M66" s="9">
        <v>40862080000</v>
      </c>
      <c r="N66" s="9">
        <v>40929460000</v>
      </c>
    </row>
    <row r="67" spans="1:14" x14ac:dyDescent="0.3">
      <c r="A67" s="8" t="s">
        <v>169</v>
      </c>
      <c r="B67" s="8" t="s">
        <v>170</v>
      </c>
      <c r="C67" s="8" t="s">
        <v>124</v>
      </c>
      <c r="D67" s="8" t="s">
        <v>121</v>
      </c>
      <c r="E67" s="9">
        <v>68905818000</v>
      </c>
      <c r="F67" s="9">
        <v>62807958000</v>
      </c>
      <c r="G67" s="9">
        <v>62722374000</v>
      </c>
      <c r="H67" s="9">
        <v>40192386000</v>
      </c>
      <c r="I67" s="9">
        <v>43851102000</v>
      </c>
      <c r="J67" s="9">
        <v>51329004000</v>
      </c>
      <c r="K67" s="9">
        <v>72307782000</v>
      </c>
      <c r="L67" s="9">
        <v>65685720000</v>
      </c>
      <c r="M67" s="9">
        <v>67104467936.669998</v>
      </c>
      <c r="N67" s="9">
        <v>53907600000</v>
      </c>
    </row>
    <row r="68" spans="1:14" x14ac:dyDescent="0.3">
      <c r="A68" s="8" t="s">
        <v>171</v>
      </c>
      <c r="B68" s="8" t="s">
        <v>172</v>
      </c>
      <c r="C68" s="8" t="s">
        <v>124</v>
      </c>
      <c r="D68" s="8" t="s">
        <v>121</v>
      </c>
      <c r="E68" s="9">
        <v>38943054532.459999</v>
      </c>
      <c r="F68" s="9">
        <v>43070760000</v>
      </c>
      <c r="G68" s="9">
        <v>39121313462.440002</v>
      </c>
      <c r="H68" s="9">
        <v>39295224613.639999</v>
      </c>
      <c r="I68" s="9">
        <v>45803849447.300003</v>
      </c>
      <c r="J68" s="9">
        <v>61021075177.300003</v>
      </c>
      <c r="K68" s="9">
        <v>98694578306</v>
      </c>
      <c r="L68" s="9">
        <v>78651318130.199997</v>
      </c>
      <c r="M68" s="9">
        <v>62651492219.800003</v>
      </c>
      <c r="N68" s="9">
        <v>60825425132.199997</v>
      </c>
    </row>
    <row r="69" spans="1:14" x14ac:dyDescent="0.3">
      <c r="A69" s="8" t="s">
        <v>173</v>
      </c>
      <c r="B69" s="8" t="s">
        <v>174</v>
      </c>
      <c r="C69" s="8" t="s">
        <v>124</v>
      </c>
      <c r="D69" s="8" t="s">
        <v>121</v>
      </c>
      <c r="E69" s="9">
        <v>4601706672.6000004</v>
      </c>
      <c r="F69" s="9">
        <v>5628591756</v>
      </c>
      <c r="G69" s="9">
        <v>7680364503.5</v>
      </c>
      <c r="H69" s="9">
        <v>8763407378</v>
      </c>
      <c r="I69" s="9">
        <v>13191723719.6</v>
      </c>
      <c r="J69" s="9">
        <v>11307119997.799999</v>
      </c>
      <c r="K69" s="9">
        <v>9566558461.2000008</v>
      </c>
      <c r="L69" s="9">
        <v>10790709939.6</v>
      </c>
      <c r="M69" s="9">
        <v>10483252293.25</v>
      </c>
      <c r="N69" s="9">
        <v>17563636188</v>
      </c>
    </row>
    <row r="70" spans="1:14" x14ac:dyDescent="0.3">
      <c r="A70" s="8" t="s">
        <v>175</v>
      </c>
      <c r="B70" s="8" t="s">
        <v>176</v>
      </c>
      <c r="C70" s="8" t="s">
        <v>124</v>
      </c>
      <c r="D70" s="8" t="s">
        <v>121</v>
      </c>
      <c r="E70" s="9">
        <v>30615718322.25</v>
      </c>
      <c r="F70" s="9">
        <v>28739536595.75</v>
      </c>
      <c r="G70" s="9">
        <v>27761790578.200001</v>
      </c>
      <c r="H70" s="9">
        <v>28015751646</v>
      </c>
      <c r="I70" s="9">
        <v>37776934968</v>
      </c>
      <c r="J70" s="9">
        <v>34061252630</v>
      </c>
      <c r="K70" s="9">
        <v>36495771525.5</v>
      </c>
      <c r="L70" s="9">
        <v>42366789152</v>
      </c>
      <c r="M70" s="9">
        <v>51004902181.199997</v>
      </c>
      <c r="N70" s="9">
        <v>64728867045.800003</v>
      </c>
    </row>
    <row r="71" spans="1:14" x14ac:dyDescent="0.3">
      <c r="A71" s="8" t="s">
        <v>177</v>
      </c>
      <c r="B71" s="8" t="s">
        <v>178</v>
      </c>
      <c r="C71" s="8" t="s">
        <v>124</v>
      </c>
      <c r="D71" s="8" t="s">
        <v>121</v>
      </c>
      <c r="E71" s="9">
        <v>15315562500</v>
      </c>
      <c r="F71" s="9">
        <v>15845375000</v>
      </c>
      <c r="G71" s="9">
        <v>21364000000</v>
      </c>
      <c r="H71" s="9">
        <v>15612625000</v>
      </c>
      <c r="I71" s="9">
        <v>20408500000</v>
      </c>
      <c r="J71" s="9">
        <v>17272500000</v>
      </c>
      <c r="K71" s="9">
        <v>25553500000</v>
      </c>
      <c r="L71" s="9">
        <v>15692250000</v>
      </c>
      <c r="M71" s="9">
        <v>14185500000</v>
      </c>
      <c r="N71" s="9">
        <v>11132187500</v>
      </c>
    </row>
    <row r="72" spans="1:14" x14ac:dyDescent="0.3">
      <c r="A72" s="8" t="s">
        <v>179</v>
      </c>
      <c r="B72" s="8" t="s">
        <v>180</v>
      </c>
      <c r="C72" s="8" t="s">
        <v>124</v>
      </c>
      <c r="D72" s="8" t="s">
        <v>121</v>
      </c>
      <c r="E72" s="9">
        <v>6832247403.4499998</v>
      </c>
      <c r="F72" s="9">
        <v>6968187140.25</v>
      </c>
      <c r="G72" s="9">
        <v>7480827200</v>
      </c>
      <c r="H72" s="9">
        <v>8237854217.5799999</v>
      </c>
      <c r="I72" s="9">
        <v>7883855616</v>
      </c>
      <c r="J72" s="9">
        <v>12417015366</v>
      </c>
      <c r="K72" s="9">
        <v>13034196121.799999</v>
      </c>
      <c r="L72" s="9">
        <v>11673241492</v>
      </c>
      <c r="M72" s="9">
        <v>10015256916.9</v>
      </c>
      <c r="N72" s="9">
        <v>9912723000</v>
      </c>
    </row>
    <row r="73" spans="1:14" x14ac:dyDescent="0.3">
      <c r="A73" s="8" t="s">
        <v>181</v>
      </c>
      <c r="B73" s="8" t="s">
        <v>182</v>
      </c>
      <c r="C73" s="8" t="s">
        <v>124</v>
      </c>
      <c r="D73" s="8" t="s">
        <v>121</v>
      </c>
      <c r="E73" s="9">
        <v>2396490400</v>
      </c>
      <c r="F73" s="9">
        <v>2722779000</v>
      </c>
      <c r="G73" s="9">
        <v>4541080000</v>
      </c>
      <c r="H73" s="9">
        <v>3439436000</v>
      </c>
      <c r="I73" s="9">
        <v>4409344000</v>
      </c>
      <c r="J73" s="9">
        <v>3737658600</v>
      </c>
      <c r="K73" s="9">
        <v>3594836800</v>
      </c>
      <c r="L73" s="9">
        <v>8067128000</v>
      </c>
      <c r="M73" s="9">
        <v>12458670000</v>
      </c>
      <c r="N73" s="9">
        <v>24713435989.200001</v>
      </c>
    </row>
    <row r="74" spans="1:14" x14ac:dyDescent="0.3">
      <c r="A74" s="8" t="s">
        <v>183</v>
      </c>
      <c r="B74" s="8" t="s">
        <v>184</v>
      </c>
      <c r="C74" s="8" t="s">
        <v>124</v>
      </c>
      <c r="D74" s="8" t="s">
        <v>121</v>
      </c>
      <c r="E74" s="9">
        <v>7198663950</v>
      </c>
      <c r="F74" s="9">
        <v>7266285900</v>
      </c>
      <c r="G74" s="9">
        <v>10635088500</v>
      </c>
      <c r="H74" s="9">
        <v>11864578500</v>
      </c>
      <c r="I74" s="9">
        <v>16813275750</v>
      </c>
      <c r="J74" s="9">
        <v>22030977020</v>
      </c>
      <c r="K74" s="9">
        <v>24154578400</v>
      </c>
      <c r="L74" s="9">
        <v>28748962730</v>
      </c>
      <c r="M74" s="9">
        <v>30631372380</v>
      </c>
      <c r="N74" s="9">
        <v>21436661820</v>
      </c>
    </row>
    <row r="75" spans="1:14" x14ac:dyDescent="0.3">
      <c r="A75" s="8" t="s">
        <v>185</v>
      </c>
      <c r="B75" s="8" t="s">
        <v>186</v>
      </c>
      <c r="C75" s="8" t="s">
        <v>124</v>
      </c>
      <c r="D75" s="8" t="s">
        <v>121</v>
      </c>
      <c r="E75" s="9">
        <v>87835860000</v>
      </c>
      <c r="F75" s="9">
        <v>99206380000</v>
      </c>
      <c r="G75" s="9">
        <v>111081600000</v>
      </c>
      <c r="H75" s="9">
        <v>103889940000</v>
      </c>
      <c r="I75" s="9">
        <v>143662080000</v>
      </c>
      <c r="J75" s="9">
        <v>126734040000</v>
      </c>
      <c r="K75" s="9">
        <v>147329459566</v>
      </c>
      <c r="L75" s="9">
        <v>112776300000</v>
      </c>
      <c r="M75" s="9">
        <v>162773160000</v>
      </c>
      <c r="N75" s="9">
        <v>275525800000</v>
      </c>
    </row>
    <row r="76" spans="1:14" x14ac:dyDescent="0.3">
      <c r="A76" s="8" t="s">
        <v>187</v>
      </c>
      <c r="B76" s="8" t="s">
        <v>188</v>
      </c>
      <c r="C76" s="8" t="s">
        <v>124</v>
      </c>
      <c r="D76" s="8" t="s">
        <v>121</v>
      </c>
      <c r="E76" s="9">
        <v>4099193515.48</v>
      </c>
      <c r="F76" s="9">
        <v>4821374586</v>
      </c>
      <c r="G76" s="9">
        <v>5481321603.8000002</v>
      </c>
      <c r="H76" s="9">
        <v>7474840315.6000004</v>
      </c>
      <c r="I76" s="9">
        <v>13048486113.6</v>
      </c>
      <c r="J76" s="9">
        <v>23507690183.200001</v>
      </c>
      <c r="K76" s="9">
        <v>40721121062.400002</v>
      </c>
      <c r="L76" s="9">
        <v>25272819422.799999</v>
      </c>
      <c r="M76" s="9">
        <v>23624000601.599998</v>
      </c>
      <c r="N76" s="9">
        <v>14843491231.200001</v>
      </c>
    </row>
    <row r="77" spans="1:14" x14ac:dyDescent="0.3">
      <c r="A77" s="8" t="s">
        <v>189</v>
      </c>
      <c r="B77" s="8" t="s">
        <v>190</v>
      </c>
      <c r="C77" s="8" t="s">
        <v>124</v>
      </c>
      <c r="D77" s="8" t="s">
        <v>121</v>
      </c>
      <c r="E77" s="9">
        <v>65823235520</v>
      </c>
      <c r="F77" s="9">
        <v>84265081200</v>
      </c>
      <c r="G77" s="9">
        <v>96811856000</v>
      </c>
      <c r="H77" s="9">
        <v>89934051420</v>
      </c>
      <c r="I77" s="9">
        <v>79314572250</v>
      </c>
      <c r="J77" s="9">
        <v>86987419800</v>
      </c>
      <c r="K77" s="9">
        <v>113795571680</v>
      </c>
      <c r="L77" s="9">
        <v>81095405600</v>
      </c>
      <c r="M77" s="9">
        <v>107380045080</v>
      </c>
      <c r="N77" s="9">
        <v>142868174980</v>
      </c>
    </row>
    <row r="78" spans="1:14" x14ac:dyDescent="0.3">
      <c r="A78" s="8" t="s">
        <v>191</v>
      </c>
      <c r="B78" s="8" t="s">
        <v>192</v>
      </c>
      <c r="C78" s="8" t="s">
        <v>124</v>
      </c>
      <c r="D78" s="8" t="s">
        <v>121</v>
      </c>
      <c r="E78" s="9" t="s">
        <v>349</v>
      </c>
      <c r="F78" s="9" t="s">
        <v>349</v>
      </c>
      <c r="G78" s="9">
        <v>8476679495.7600002</v>
      </c>
      <c r="H78" s="9">
        <v>8476679495.7600002</v>
      </c>
      <c r="I78" s="9">
        <v>15412144543.530001</v>
      </c>
      <c r="J78" s="9">
        <v>16703980000</v>
      </c>
      <c r="K78" s="9">
        <v>16603572810</v>
      </c>
      <c r="L78" s="9">
        <v>8210219530</v>
      </c>
      <c r="M78" s="9">
        <v>10261806760</v>
      </c>
      <c r="N78" s="39">
        <v>28532928280</v>
      </c>
    </row>
    <row r="79" spans="1:14" x14ac:dyDescent="0.3">
      <c r="A79" s="8" t="s">
        <v>193</v>
      </c>
      <c r="B79" s="8" t="s">
        <v>194</v>
      </c>
      <c r="C79" s="8" t="s">
        <v>124</v>
      </c>
      <c r="D79" s="8" t="s">
        <v>121</v>
      </c>
      <c r="E79" s="9">
        <v>30200000000</v>
      </c>
      <c r="F79" s="9">
        <v>30200000000</v>
      </c>
      <c r="G79" s="9">
        <v>30200000000</v>
      </c>
      <c r="H79" s="9">
        <v>37956241960</v>
      </c>
      <c r="I79" s="9">
        <v>36072744500</v>
      </c>
      <c r="J79" s="9">
        <v>38371199700</v>
      </c>
      <c r="K79" s="9">
        <v>61780584200</v>
      </c>
      <c r="L79" s="9">
        <v>49717318320</v>
      </c>
      <c r="M79" s="9">
        <v>53734656000</v>
      </c>
      <c r="N79" s="9">
        <v>60112712642.440002</v>
      </c>
    </row>
    <row r="80" spans="1:14" x14ac:dyDescent="0.3">
      <c r="A80" s="8" t="s">
        <v>195</v>
      </c>
      <c r="B80" s="8" t="s">
        <v>196</v>
      </c>
      <c r="C80" s="8" t="s">
        <v>124</v>
      </c>
      <c r="D80" s="8" t="s">
        <v>121</v>
      </c>
      <c r="E80" s="9">
        <v>7961405163.4200001</v>
      </c>
      <c r="F80" s="9">
        <v>7507061154.4200001</v>
      </c>
      <c r="G80" s="9">
        <v>9297176549.8799992</v>
      </c>
      <c r="H80" s="9">
        <v>8583207392.8800001</v>
      </c>
      <c r="I80" s="9">
        <v>12644505266.4</v>
      </c>
      <c r="J80" s="9">
        <v>14680244524</v>
      </c>
      <c r="K80" s="9">
        <v>17803368113.099998</v>
      </c>
      <c r="L80" s="9">
        <v>14207829289.1</v>
      </c>
      <c r="M80" s="9">
        <v>13728411143.879999</v>
      </c>
      <c r="N80" s="9">
        <v>14352991186.65</v>
      </c>
    </row>
    <row r="81" spans="1:14" x14ac:dyDescent="0.3">
      <c r="A81" s="8" t="s">
        <v>197</v>
      </c>
      <c r="B81" s="8" t="s">
        <v>198</v>
      </c>
      <c r="C81" s="8" t="s">
        <v>124</v>
      </c>
      <c r="D81" s="8" t="s">
        <v>121</v>
      </c>
      <c r="E81" s="9">
        <v>67048241426.25</v>
      </c>
      <c r="F81" s="9">
        <v>66847723321.050003</v>
      </c>
      <c r="G81" s="9">
        <v>83064625079.100006</v>
      </c>
      <c r="H81" s="9">
        <v>68306492536.379997</v>
      </c>
      <c r="I81" s="9">
        <v>88348277151.119995</v>
      </c>
      <c r="J81" s="9">
        <v>76407423986.460007</v>
      </c>
      <c r="K81" s="9">
        <v>88969883277.240005</v>
      </c>
      <c r="L81" s="9">
        <v>58360794518.459999</v>
      </c>
      <c r="M81" s="9">
        <v>56044810403.400002</v>
      </c>
      <c r="N81" s="9">
        <v>44635306800</v>
      </c>
    </row>
    <row r="82" spans="1:14" x14ac:dyDescent="0.3">
      <c r="A82" s="8" t="s">
        <v>199</v>
      </c>
      <c r="B82" s="8" t="s">
        <v>200</v>
      </c>
      <c r="C82" s="8" t="s">
        <v>124</v>
      </c>
      <c r="D82" s="8" t="s">
        <v>121</v>
      </c>
      <c r="E82" s="9">
        <v>13625937631.6</v>
      </c>
      <c r="F82" s="9">
        <v>17017948632.450001</v>
      </c>
      <c r="G82" s="9">
        <v>23013708146.73</v>
      </c>
      <c r="H82" s="9">
        <v>23839997400.220001</v>
      </c>
      <c r="I82" s="9">
        <v>30214053954.080002</v>
      </c>
      <c r="J82" s="9">
        <v>38837534520.419998</v>
      </c>
      <c r="K82" s="9">
        <v>30383627238.5</v>
      </c>
      <c r="L82" s="9">
        <v>17288406434.16</v>
      </c>
      <c r="M82" s="9">
        <v>23010421063.560001</v>
      </c>
      <c r="N82" s="9">
        <v>24023472913.799999</v>
      </c>
    </row>
    <row r="83" spans="1:14" x14ac:dyDescent="0.3">
      <c r="A83" s="8" t="s">
        <v>201</v>
      </c>
      <c r="B83" s="8" t="s">
        <v>202</v>
      </c>
      <c r="C83" s="8" t="s">
        <v>124</v>
      </c>
      <c r="D83" s="8" t="s">
        <v>121</v>
      </c>
      <c r="E83" s="9">
        <v>8961680000</v>
      </c>
      <c r="F83" s="9">
        <v>8970888000</v>
      </c>
      <c r="G83" s="9">
        <v>10868835000</v>
      </c>
      <c r="H83" s="9">
        <v>5678008000</v>
      </c>
      <c r="I83" s="9">
        <v>11186568000</v>
      </c>
      <c r="J83" s="9">
        <v>22810530000</v>
      </c>
      <c r="K83" s="9">
        <v>18325664000</v>
      </c>
      <c r="L83" s="9">
        <v>8539068966.8900003</v>
      </c>
      <c r="M83" s="9">
        <v>5443312000</v>
      </c>
      <c r="N83" s="9">
        <v>8392249000</v>
      </c>
    </row>
    <row r="84" spans="1:14" x14ac:dyDescent="0.3">
      <c r="A84" s="6" t="s">
        <v>203</v>
      </c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3">
      <c r="A85" s="8" t="s">
        <v>204</v>
      </c>
      <c r="B85" s="8" t="s">
        <v>205</v>
      </c>
      <c r="C85" s="8" t="s">
        <v>206</v>
      </c>
      <c r="D85" s="8" t="s">
        <v>203</v>
      </c>
      <c r="E85" s="9">
        <v>72797106645.899994</v>
      </c>
      <c r="F85" s="9">
        <v>91228078075</v>
      </c>
      <c r="G85" s="9">
        <v>123292075107.60001</v>
      </c>
      <c r="H85" s="9">
        <v>129829534030.2</v>
      </c>
      <c r="I85" s="9">
        <v>208433248084.20001</v>
      </c>
      <c r="J85" s="9">
        <v>257329740064.79999</v>
      </c>
      <c r="K85" s="9">
        <v>366137343716</v>
      </c>
      <c r="L85" s="9">
        <v>341391859850.59998</v>
      </c>
      <c r="M85" s="9">
        <v>366841511489.59998</v>
      </c>
      <c r="N85" s="9">
        <v>317376961500</v>
      </c>
    </row>
    <row r="86" spans="1:14" x14ac:dyDescent="0.3">
      <c r="A86" s="8" t="s">
        <v>207</v>
      </c>
      <c r="B86" s="8" t="s">
        <v>208</v>
      </c>
      <c r="C86" s="8" t="s">
        <v>206</v>
      </c>
      <c r="D86" s="8" t="s">
        <v>203</v>
      </c>
      <c r="E86" s="9">
        <v>29872265760</v>
      </c>
      <c r="F86" s="9">
        <v>37102386420</v>
      </c>
      <c r="G86" s="9">
        <v>39052324620</v>
      </c>
      <c r="H86" s="9">
        <v>33085238320</v>
      </c>
      <c r="I86" s="9">
        <v>50422630500</v>
      </c>
      <c r="J86" s="9">
        <v>65510636100</v>
      </c>
      <c r="K86" s="9">
        <v>95962262720</v>
      </c>
      <c r="L86" s="9">
        <v>72958622880</v>
      </c>
      <c r="M86" s="9">
        <v>101768805880</v>
      </c>
      <c r="N86" s="9">
        <v>135076484400</v>
      </c>
    </row>
    <row r="87" spans="1:14" x14ac:dyDescent="0.3">
      <c r="A87" s="8" t="s">
        <v>209</v>
      </c>
      <c r="B87" s="8" t="s">
        <v>126</v>
      </c>
      <c r="C87" s="8" t="s">
        <v>206</v>
      </c>
      <c r="D87" s="8" t="s">
        <v>203</v>
      </c>
      <c r="E87" s="9">
        <v>48708508138</v>
      </c>
      <c r="F87" s="9">
        <v>48625518917.080002</v>
      </c>
      <c r="G87" s="9">
        <v>64223134266</v>
      </c>
      <c r="H87" s="9">
        <v>65083100326.360001</v>
      </c>
      <c r="I87" s="9">
        <v>101388160671.84</v>
      </c>
      <c r="J87" s="9">
        <v>70313737987.979996</v>
      </c>
      <c r="K87" s="9">
        <v>88239237674.639999</v>
      </c>
      <c r="L87" s="9">
        <v>87381685880.580002</v>
      </c>
      <c r="M87" s="9">
        <v>110247390488.62</v>
      </c>
      <c r="N87" s="9">
        <v>122270267437.38</v>
      </c>
    </row>
    <row r="88" spans="1:14" x14ac:dyDescent="0.3">
      <c r="A88" s="8" t="s">
        <v>210</v>
      </c>
      <c r="B88" s="8" t="s">
        <v>211</v>
      </c>
      <c r="C88" s="8" t="s">
        <v>206</v>
      </c>
      <c r="D88" s="8" t="s">
        <v>203</v>
      </c>
      <c r="E88" s="9">
        <v>102867188074.11</v>
      </c>
      <c r="F88" s="9">
        <v>121911132254.17</v>
      </c>
      <c r="G88" s="9">
        <v>137293079599.58</v>
      </c>
      <c r="H88" s="9">
        <v>137809539160.04999</v>
      </c>
      <c r="I88" s="9">
        <v>143645208032.81</v>
      </c>
      <c r="J88" s="9">
        <v>112203090896.89</v>
      </c>
      <c r="K88" s="9">
        <v>133688269952.88</v>
      </c>
      <c r="L88" s="9">
        <v>160312950037.10001</v>
      </c>
      <c r="M88" s="9">
        <v>165479598592</v>
      </c>
      <c r="N88" s="9">
        <v>126998120597.63</v>
      </c>
    </row>
    <row r="89" spans="1:14" x14ac:dyDescent="0.3">
      <c r="A89" s="8" t="s">
        <v>212</v>
      </c>
      <c r="B89" s="8" t="s">
        <v>213</v>
      </c>
      <c r="C89" s="8" t="s">
        <v>206</v>
      </c>
      <c r="D89" s="8" t="s">
        <v>203</v>
      </c>
      <c r="E89" s="9">
        <v>103803772405.2</v>
      </c>
      <c r="F89" s="9">
        <v>98939540000</v>
      </c>
      <c r="G89" s="9">
        <v>90855865732.320007</v>
      </c>
      <c r="H89" s="9">
        <v>94355586000</v>
      </c>
      <c r="I89" s="9">
        <v>112016038000</v>
      </c>
      <c r="J89" s="9">
        <v>98658320000</v>
      </c>
      <c r="K89" s="9">
        <v>110946450000</v>
      </c>
      <c r="L89" s="9">
        <v>112470696000</v>
      </c>
      <c r="M89" s="9">
        <v>112352592000</v>
      </c>
      <c r="N89" s="9">
        <v>117306236000</v>
      </c>
    </row>
    <row r="90" spans="1:14" x14ac:dyDescent="0.3">
      <c r="A90" s="8" t="s">
        <v>214</v>
      </c>
      <c r="B90" s="8" t="s">
        <v>215</v>
      </c>
      <c r="C90" s="8" t="s">
        <v>206</v>
      </c>
      <c r="D90" s="8" t="s">
        <v>203</v>
      </c>
      <c r="E90" s="9">
        <v>26389051485.279999</v>
      </c>
      <c r="F90" s="9">
        <v>28484964573.560001</v>
      </c>
      <c r="G90" s="9">
        <v>34952536863.599998</v>
      </c>
      <c r="H90" s="9">
        <v>45418104774</v>
      </c>
      <c r="I90" s="9">
        <v>59151422155.800003</v>
      </c>
      <c r="J90" s="9">
        <v>49398843125.400002</v>
      </c>
      <c r="K90" s="9">
        <v>45933184755.5</v>
      </c>
      <c r="L90" s="9">
        <v>49887502416.440002</v>
      </c>
      <c r="M90" s="9">
        <v>66880702359.360001</v>
      </c>
      <c r="N90" s="9">
        <v>88265315313</v>
      </c>
    </row>
    <row r="91" spans="1:14" x14ac:dyDescent="0.3">
      <c r="A91" s="8" t="s">
        <v>216</v>
      </c>
      <c r="B91" s="8" t="s">
        <v>217</v>
      </c>
      <c r="C91" s="8" t="s">
        <v>206</v>
      </c>
      <c r="D91" s="8" t="s">
        <v>203</v>
      </c>
      <c r="E91" s="9">
        <v>35350275741.199997</v>
      </c>
      <c r="F91" s="9">
        <v>38113243516.480003</v>
      </c>
      <c r="G91" s="9">
        <v>44558395093.68</v>
      </c>
      <c r="H91" s="9">
        <v>46393163065.199997</v>
      </c>
      <c r="I91" s="9">
        <v>59468743307.400002</v>
      </c>
      <c r="J91" s="9">
        <v>63312522756.349998</v>
      </c>
      <c r="K91" s="9">
        <v>72593608435.690002</v>
      </c>
      <c r="L91" s="9">
        <v>69119850573.720001</v>
      </c>
      <c r="M91" s="9">
        <v>91317051720</v>
      </c>
      <c r="N91" s="9">
        <v>90457720942.880005</v>
      </c>
    </row>
    <row r="92" spans="1:14" x14ac:dyDescent="0.3">
      <c r="A92" s="8" t="s">
        <v>218</v>
      </c>
      <c r="B92" s="8" t="s">
        <v>219</v>
      </c>
      <c r="C92" s="8" t="s">
        <v>206</v>
      </c>
      <c r="D92" s="8" t="s">
        <v>203</v>
      </c>
      <c r="E92" s="9">
        <v>86556646950.800003</v>
      </c>
      <c r="F92" s="9">
        <v>96963604782.600006</v>
      </c>
      <c r="G92" s="9">
        <v>101864408254.60001</v>
      </c>
      <c r="H92" s="9">
        <v>112592161425.60001</v>
      </c>
      <c r="I92" s="9">
        <v>147771285552</v>
      </c>
      <c r="J92" s="9">
        <v>173768690877.60001</v>
      </c>
      <c r="K92" s="9">
        <v>232491611031.10001</v>
      </c>
      <c r="L92" s="9">
        <v>178775792308.79999</v>
      </c>
      <c r="M92" s="9">
        <v>241911444541.29999</v>
      </c>
      <c r="N92" s="9">
        <v>182712955777.35001</v>
      </c>
    </row>
    <row r="93" spans="1:14" x14ac:dyDescent="0.3">
      <c r="A93" s="8" t="s">
        <v>220</v>
      </c>
      <c r="B93" s="8" t="s">
        <v>221</v>
      </c>
      <c r="C93" s="8" t="s">
        <v>206</v>
      </c>
      <c r="D93" s="8" t="s">
        <v>203</v>
      </c>
      <c r="E93" s="9">
        <v>24416697021.599998</v>
      </c>
      <c r="F93" s="9">
        <v>23038848003.450001</v>
      </c>
      <c r="G93" s="9">
        <v>25350278580.549999</v>
      </c>
      <c r="H93" s="9">
        <v>28794283079.950001</v>
      </c>
      <c r="I93" s="9">
        <v>58948709321.599998</v>
      </c>
      <c r="J93" s="9">
        <v>55595066843.050003</v>
      </c>
      <c r="K93" s="9">
        <v>82163897354.559998</v>
      </c>
      <c r="L93" s="9">
        <v>74794829882.399994</v>
      </c>
      <c r="M93" s="9">
        <v>81791196817.520004</v>
      </c>
      <c r="N93" s="9">
        <v>106945144891.60001</v>
      </c>
    </row>
    <row r="94" spans="1:14" x14ac:dyDescent="0.3">
      <c r="A94" s="8" t="s">
        <v>222</v>
      </c>
      <c r="B94" s="8" t="s">
        <v>223</v>
      </c>
      <c r="C94" s="8" t="s">
        <v>206</v>
      </c>
      <c r="D94" s="8" t="s">
        <v>203</v>
      </c>
      <c r="E94" s="9">
        <v>64921330042.169998</v>
      </c>
      <c r="F94" s="9">
        <v>75352658318.350006</v>
      </c>
      <c r="G94" s="9">
        <v>77388156846.630005</v>
      </c>
      <c r="H94" s="9">
        <v>49271764767.440002</v>
      </c>
      <c r="I94" s="9">
        <v>65931513087.959999</v>
      </c>
      <c r="J94" s="9">
        <v>53793594219.870003</v>
      </c>
      <c r="K94" s="9">
        <v>75781083562.080002</v>
      </c>
      <c r="L94" s="9">
        <v>65656803072.75</v>
      </c>
      <c r="M94" s="9">
        <v>75130991622.830002</v>
      </c>
      <c r="N94" s="9">
        <v>67114144440</v>
      </c>
    </row>
    <row r="95" spans="1:14" x14ac:dyDescent="0.3">
      <c r="A95" s="8" t="s">
        <v>224</v>
      </c>
      <c r="B95" s="8" t="s">
        <v>225</v>
      </c>
      <c r="C95" s="8" t="s">
        <v>206</v>
      </c>
      <c r="D95" s="8" t="s">
        <v>203</v>
      </c>
      <c r="E95" s="9">
        <v>61283670000</v>
      </c>
      <c r="F95" s="9">
        <v>57959840000</v>
      </c>
      <c r="G95" s="9">
        <v>59300200000</v>
      </c>
      <c r="H95" s="9">
        <v>44943380000</v>
      </c>
      <c r="I95" s="9">
        <v>59837130000</v>
      </c>
      <c r="J95" s="9">
        <v>46453310000</v>
      </c>
      <c r="K95" s="9">
        <v>62308400000</v>
      </c>
      <c r="L95" s="9">
        <v>59677400000</v>
      </c>
      <c r="M95" s="9">
        <v>65650759469.309998</v>
      </c>
      <c r="N95" s="9">
        <v>77327862852.240005</v>
      </c>
    </row>
    <row r="96" spans="1:14" x14ac:dyDescent="0.3">
      <c r="A96" s="8" t="s">
        <v>226</v>
      </c>
      <c r="B96" s="8" t="s">
        <v>227</v>
      </c>
      <c r="C96" s="8" t="s">
        <v>206</v>
      </c>
      <c r="D96" s="8" t="s">
        <v>203</v>
      </c>
      <c r="E96" s="9">
        <v>32545416837</v>
      </c>
      <c r="F96" s="9">
        <v>40762371000</v>
      </c>
      <c r="G96" s="9">
        <v>46604455668.75</v>
      </c>
      <c r="H96" s="9">
        <v>50529286929.599998</v>
      </c>
      <c r="I96" s="9">
        <v>69440179824.600006</v>
      </c>
      <c r="J96" s="9">
        <v>91857307051.199997</v>
      </c>
      <c r="K96" s="9">
        <v>160701434880</v>
      </c>
      <c r="L96" s="9">
        <v>151096033405</v>
      </c>
      <c r="M96" s="9">
        <v>198559265094.60001</v>
      </c>
      <c r="N96" s="9">
        <v>243299930904</v>
      </c>
    </row>
    <row r="97" spans="1:14" x14ac:dyDescent="0.3">
      <c r="A97" s="8" t="s">
        <v>228</v>
      </c>
      <c r="B97" s="8" t="s">
        <v>229</v>
      </c>
      <c r="C97" s="8" t="s">
        <v>206</v>
      </c>
      <c r="D97" s="8" t="s">
        <v>203</v>
      </c>
      <c r="E97" s="9">
        <v>32762365845.119999</v>
      </c>
      <c r="F97" s="9">
        <v>35893930077.599998</v>
      </c>
      <c r="G97" s="9">
        <v>47095232093.800003</v>
      </c>
      <c r="H97" s="9">
        <v>39955002737.779999</v>
      </c>
      <c r="I97" s="9">
        <v>54899701857</v>
      </c>
      <c r="J97" s="9">
        <v>45362431859.040001</v>
      </c>
      <c r="K97" s="9">
        <v>52913202158.82</v>
      </c>
      <c r="L97" s="9">
        <v>52647786004.309998</v>
      </c>
      <c r="M97" s="9">
        <v>64605251987.699997</v>
      </c>
      <c r="N97" s="9">
        <v>56865963080</v>
      </c>
    </row>
    <row r="98" spans="1:14" x14ac:dyDescent="0.3">
      <c r="A98" s="8" t="s">
        <v>230</v>
      </c>
      <c r="B98" s="8" t="s">
        <v>231</v>
      </c>
      <c r="C98" s="8" t="s">
        <v>206</v>
      </c>
      <c r="D98" s="8" t="s">
        <v>203</v>
      </c>
      <c r="E98" s="9">
        <v>37968847981.559998</v>
      </c>
      <c r="F98" s="9">
        <v>37109810868.199997</v>
      </c>
      <c r="G98" s="9">
        <v>43241069866.169998</v>
      </c>
      <c r="H98" s="9">
        <v>39533773384.760002</v>
      </c>
      <c r="I98" s="9">
        <v>47905715127.699997</v>
      </c>
      <c r="J98" s="9">
        <v>34908066385.919998</v>
      </c>
      <c r="K98" s="9">
        <v>35273639608.410004</v>
      </c>
      <c r="L98" s="9">
        <v>31460471917.830002</v>
      </c>
      <c r="M98" s="9">
        <v>37615688400.239998</v>
      </c>
      <c r="N98" s="9">
        <v>41890648609.919998</v>
      </c>
    </row>
    <row r="99" spans="1:14" x14ac:dyDescent="0.3">
      <c r="A99" s="8" t="s">
        <v>232</v>
      </c>
      <c r="B99" s="8" t="s">
        <v>233</v>
      </c>
      <c r="C99" s="8" t="s">
        <v>206</v>
      </c>
      <c r="D99" s="8" t="s">
        <v>203</v>
      </c>
      <c r="E99" s="9">
        <v>33736866417.540001</v>
      </c>
      <c r="F99" s="9">
        <v>37334407392.660004</v>
      </c>
      <c r="G99" s="9">
        <v>34561735018.440002</v>
      </c>
      <c r="H99" s="9">
        <v>22309121538.860001</v>
      </c>
      <c r="I99" s="9">
        <v>25735252492.25</v>
      </c>
      <c r="J99" s="9">
        <v>14473547151.48</v>
      </c>
      <c r="K99" s="9">
        <v>25565559612.900002</v>
      </c>
      <c r="L99" s="9">
        <v>19310830739</v>
      </c>
      <c r="M99" s="9">
        <v>19207541132.099998</v>
      </c>
      <c r="N99" s="9">
        <v>21596790040</v>
      </c>
    </row>
    <row r="100" spans="1:14" x14ac:dyDescent="0.3">
      <c r="A100" s="8" t="s">
        <v>234</v>
      </c>
      <c r="B100" s="8" t="s">
        <v>235</v>
      </c>
      <c r="C100" s="8" t="s">
        <v>206</v>
      </c>
      <c r="D100" s="8" t="s">
        <v>203</v>
      </c>
      <c r="E100" s="9">
        <v>39061360000</v>
      </c>
      <c r="F100" s="9">
        <v>29039520000</v>
      </c>
      <c r="G100" s="9">
        <v>34095080000</v>
      </c>
      <c r="H100" s="9">
        <v>30025748712.68</v>
      </c>
      <c r="I100" s="9">
        <v>34747200000</v>
      </c>
      <c r="J100" s="9">
        <v>30248320000</v>
      </c>
      <c r="K100" s="9">
        <v>31471190000</v>
      </c>
      <c r="L100" s="9">
        <v>32403800000</v>
      </c>
      <c r="M100" s="9">
        <v>38549478332.480003</v>
      </c>
      <c r="N100" s="9">
        <v>37126750000</v>
      </c>
    </row>
    <row r="101" spans="1:14" x14ac:dyDescent="0.3">
      <c r="A101" s="8" t="s">
        <v>236</v>
      </c>
      <c r="B101" s="8" t="s">
        <v>237</v>
      </c>
      <c r="C101" s="8" t="s">
        <v>206</v>
      </c>
      <c r="D101" s="8" t="s">
        <v>203</v>
      </c>
      <c r="E101" s="9">
        <v>22395747341.799999</v>
      </c>
      <c r="F101" s="9">
        <v>24547670854.099998</v>
      </c>
      <c r="G101" s="9">
        <v>25228769083.240002</v>
      </c>
      <c r="H101" s="9">
        <v>15959081582.450001</v>
      </c>
      <c r="I101" s="9">
        <v>19785911641.5</v>
      </c>
      <c r="J101" s="9">
        <v>20116957312.5</v>
      </c>
      <c r="K101" s="9">
        <v>32558747586.220001</v>
      </c>
      <c r="L101" s="9">
        <v>23481100653.450001</v>
      </c>
      <c r="M101" s="9">
        <v>33571982454.360001</v>
      </c>
      <c r="N101" s="9">
        <v>42825584755.599998</v>
      </c>
    </row>
    <row r="102" spans="1:14" x14ac:dyDescent="0.3">
      <c r="A102" s="8" t="s">
        <v>238</v>
      </c>
      <c r="B102" s="8" t="s">
        <v>239</v>
      </c>
      <c r="C102" s="8" t="s">
        <v>206</v>
      </c>
      <c r="D102" s="8" t="s">
        <v>203</v>
      </c>
      <c r="E102" s="9">
        <v>13904812845</v>
      </c>
      <c r="F102" s="9">
        <v>14372029618.049999</v>
      </c>
      <c r="G102" s="9">
        <v>17078354018</v>
      </c>
      <c r="H102" s="9">
        <v>13157127896.6</v>
      </c>
      <c r="I102" s="9">
        <v>19382820089.279999</v>
      </c>
      <c r="J102" s="9">
        <v>19503589142</v>
      </c>
      <c r="K102" s="9">
        <v>27463633591.799999</v>
      </c>
      <c r="L102" s="9">
        <v>19947641535.48</v>
      </c>
      <c r="M102" s="9">
        <v>24944318298.5</v>
      </c>
      <c r="N102" s="9">
        <v>24636231691.68</v>
      </c>
    </row>
    <row r="103" spans="1:14" x14ac:dyDescent="0.3">
      <c r="A103" s="8" t="s">
        <v>240</v>
      </c>
      <c r="B103" s="8" t="s">
        <v>241</v>
      </c>
      <c r="C103" s="8" t="s">
        <v>206</v>
      </c>
      <c r="D103" s="8" t="s">
        <v>203</v>
      </c>
      <c r="E103" s="9">
        <v>41027138561.970001</v>
      </c>
      <c r="F103" s="9">
        <v>38324409901.080002</v>
      </c>
      <c r="G103" s="9">
        <v>38508427186.160004</v>
      </c>
      <c r="H103" s="9">
        <v>37618643400.959999</v>
      </c>
      <c r="I103" s="9">
        <v>34801227239.68</v>
      </c>
      <c r="J103" s="9">
        <v>25844072255.82</v>
      </c>
      <c r="K103" s="9">
        <v>25002196310.220001</v>
      </c>
      <c r="L103" s="9">
        <v>24669287264.32</v>
      </c>
      <c r="M103" s="9">
        <v>27389597424.799999</v>
      </c>
      <c r="N103" s="9">
        <v>25602375780</v>
      </c>
    </row>
    <row r="104" spans="1:14" x14ac:dyDescent="0.3">
      <c r="A104" s="8" t="s">
        <v>242</v>
      </c>
      <c r="B104" s="8" t="s">
        <v>243</v>
      </c>
      <c r="C104" s="8" t="s">
        <v>206</v>
      </c>
      <c r="D104" s="8" t="s">
        <v>203</v>
      </c>
      <c r="E104" s="9">
        <v>19901119849.650002</v>
      </c>
      <c r="F104" s="9">
        <v>26875841380.200001</v>
      </c>
      <c r="G104" s="9">
        <v>48346012370.699997</v>
      </c>
      <c r="H104" s="9">
        <v>51843505240.800003</v>
      </c>
      <c r="I104" s="9">
        <v>73441877863.199997</v>
      </c>
      <c r="J104" s="9">
        <v>74307100108</v>
      </c>
      <c r="K104" s="9">
        <v>88068789412.100006</v>
      </c>
      <c r="L104" s="9">
        <v>58562159658</v>
      </c>
      <c r="M104" s="9">
        <v>48830789070</v>
      </c>
      <c r="N104" s="9">
        <v>29213988186</v>
      </c>
    </row>
    <row r="105" spans="1:14" x14ac:dyDescent="0.3">
      <c r="A105" s="8" t="s">
        <v>244</v>
      </c>
      <c r="B105" s="8" t="s">
        <v>245</v>
      </c>
      <c r="C105" s="8" t="s">
        <v>206</v>
      </c>
      <c r="D105" s="8" t="s">
        <v>203</v>
      </c>
      <c r="E105" s="9">
        <v>13667922669.059999</v>
      </c>
      <c r="F105" s="9">
        <v>14637648256.200001</v>
      </c>
      <c r="G105" s="9">
        <v>12451158885</v>
      </c>
      <c r="H105" s="9">
        <v>11479922384.16</v>
      </c>
      <c r="I105" s="9">
        <v>9456066852.2399998</v>
      </c>
      <c r="J105" s="9">
        <v>9775811023.7199993</v>
      </c>
      <c r="K105" s="9">
        <v>14718313353.6</v>
      </c>
      <c r="L105" s="9">
        <v>14912762776.200001</v>
      </c>
      <c r="M105" s="9">
        <v>21059344740</v>
      </c>
      <c r="N105" s="9">
        <v>25819778586</v>
      </c>
    </row>
    <row r="106" spans="1:14" x14ac:dyDescent="0.3">
      <c r="A106" s="8" t="s">
        <v>246</v>
      </c>
      <c r="B106" s="8" t="s">
        <v>247</v>
      </c>
      <c r="C106" s="8" t="s">
        <v>206</v>
      </c>
      <c r="D106" s="8" t="s">
        <v>203</v>
      </c>
      <c r="E106" s="9">
        <v>14380539200</v>
      </c>
      <c r="F106" s="9">
        <v>19427637360</v>
      </c>
      <c r="G106" s="9">
        <v>19365848080</v>
      </c>
      <c r="H106" s="9">
        <v>21668676000</v>
      </c>
      <c r="I106" s="9">
        <v>19660685040</v>
      </c>
      <c r="J106" s="9">
        <v>15931529600</v>
      </c>
      <c r="K106" s="9">
        <v>15921329600</v>
      </c>
      <c r="L106" s="9">
        <v>25271676900</v>
      </c>
      <c r="M106" s="9">
        <v>27929512650</v>
      </c>
      <c r="N106" s="9">
        <v>28495763950</v>
      </c>
    </row>
    <row r="107" spans="1:14" x14ac:dyDescent="0.3">
      <c r="A107" s="8" t="s">
        <v>248</v>
      </c>
      <c r="B107" s="8" t="s">
        <v>249</v>
      </c>
      <c r="C107" s="8" t="s">
        <v>206</v>
      </c>
      <c r="D107" s="8" t="s">
        <v>203</v>
      </c>
      <c r="E107" s="9">
        <v>15205411421.6</v>
      </c>
      <c r="F107" s="9">
        <v>14048261594.5</v>
      </c>
      <c r="G107" s="9">
        <v>16637698539</v>
      </c>
      <c r="H107" s="9">
        <v>14503269908.4</v>
      </c>
      <c r="I107" s="9">
        <v>18096043462.200001</v>
      </c>
      <c r="J107" s="9">
        <v>21254228806.799999</v>
      </c>
      <c r="K107" s="9">
        <v>36327709499</v>
      </c>
      <c r="L107" s="9">
        <v>26550653742.700001</v>
      </c>
      <c r="M107" s="9">
        <v>33623840241.900002</v>
      </c>
      <c r="N107" s="9">
        <v>26917352833.349998</v>
      </c>
    </row>
    <row r="108" spans="1:14" x14ac:dyDescent="0.3">
      <c r="A108" s="8" t="s">
        <v>250</v>
      </c>
      <c r="B108" s="8" t="s">
        <v>251</v>
      </c>
      <c r="C108" s="8" t="s">
        <v>206</v>
      </c>
      <c r="D108" s="8" t="s">
        <v>203</v>
      </c>
      <c r="E108" s="9">
        <v>16241813280</v>
      </c>
      <c r="F108" s="9">
        <v>19102018200</v>
      </c>
      <c r="G108" s="9">
        <v>21593875560</v>
      </c>
      <c r="H108" s="9">
        <v>15514853200</v>
      </c>
      <c r="I108" s="9">
        <v>19588349440</v>
      </c>
      <c r="J108" s="9">
        <v>18715417600</v>
      </c>
      <c r="K108" s="9">
        <v>25712665920</v>
      </c>
      <c r="L108" s="9">
        <v>18514340360</v>
      </c>
      <c r="M108" s="9">
        <v>23291955173.549999</v>
      </c>
      <c r="N108" s="9">
        <v>22573230000</v>
      </c>
    </row>
    <row r="109" spans="1:14" x14ac:dyDescent="0.3">
      <c r="A109" s="8" t="s">
        <v>252</v>
      </c>
      <c r="B109" s="8" t="s">
        <v>253</v>
      </c>
      <c r="C109" s="8" t="s">
        <v>206</v>
      </c>
      <c r="D109" s="8" t="s">
        <v>203</v>
      </c>
      <c r="E109" s="9">
        <v>11562380000</v>
      </c>
      <c r="F109" s="9">
        <v>8842599994.7999992</v>
      </c>
      <c r="G109" s="9">
        <v>11716701101.280001</v>
      </c>
      <c r="H109" s="9">
        <v>9894030343.5599995</v>
      </c>
      <c r="I109" s="9">
        <v>13120831464.66</v>
      </c>
      <c r="J109" s="9">
        <v>11101787975.879999</v>
      </c>
      <c r="K109" s="9">
        <v>19126954000</v>
      </c>
      <c r="L109" s="9">
        <v>16519200000</v>
      </c>
      <c r="M109" s="9">
        <v>20022000000</v>
      </c>
      <c r="N109" s="9">
        <v>19519200000</v>
      </c>
    </row>
    <row r="110" spans="1:14" x14ac:dyDescent="0.3">
      <c r="A110" s="8" t="s">
        <v>254</v>
      </c>
      <c r="B110" s="8" t="s">
        <v>110</v>
      </c>
      <c r="C110" s="8" t="s">
        <v>206</v>
      </c>
      <c r="D110" s="8" t="s">
        <v>203</v>
      </c>
      <c r="E110" s="9">
        <v>12809506400</v>
      </c>
      <c r="F110" s="9">
        <v>13102744540</v>
      </c>
      <c r="G110" s="9">
        <v>23285578080</v>
      </c>
      <c r="H110" s="9">
        <v>19463878230</v>
      </c>
      <c r="I110" s="9">
        <v>20630663660</v>
      </c>
      <c r="J110" s="9">
        <v>10097773080</v>
      </c>
      <c r="K110" s="39">
        <v>51028857120</v>
      </c>
      <c r="L110" s="9">
        <v>41668981030</v>
      </c>
      <c r="M110" s="9">
        <v>65728383750</v>
      </c>
      <c r="N110" s="9">
        <v>37172650120.019997</v>
      </c>
    </row>
    <row r="111" spans="1:14" x14ac:dyDescent="0.3">
      <c r="A111" s="8" t="s">
        <v>255</v>
      </c>
      <c r="B111" s="8" t="s">
        <v>256</v>
      </c>
      <c r="C111" s="8" t="s">
        <v>206</v>
      </c>
      <c r="D111" s="8" t="s">
        <v>203</v>
      </c>
      <c r="E111" s="9">
        <v>27348402074</v>
      </c>
      <c r="F111" s="9">
        <v>26425814214.799999</v>
      </c>
      <c r="G111" s="9">
        <v>30981275046.75</v>
      </c>
      <c r="H111" s="9">
        <v>36949533071.099998</v>
      </c>
      <c r="I111" s="9">
        <v>43020653986.449997</v>
      </c>
      <c r="J111" s="9">
        <v>36813274944.300003</v>
      </c>
      <c r="K111" s="9">
        <v>48821025427.199997</v>
      </c>
      <c r="L111" s="9">
        <v>45408262794.900002</v>
      </c>
      <c r="M111" s="9">
        <v>51824171669.599998</v>
      </c>
      <c r="N111" s="9">
        <v>32067062200</v>
      </c>
    </row>
    <row r="112" spans="1:14" x14ac:dyDescent="0.3">
      <c r="A112" s="8" t="s">
        <v>257</v>
      </c>
      <c r="B112" s="8" t="s">
        <v>258</v>
      </c>
      <c r="C112" s="8" t="s">
        <v>206</v>
      </c>
      <c r="D112" s="8" t="s">
        <v>203</v>
      </c>
      <c r="E112" s="9">
        <v>18620456197.5</v>
      </c>
      <c r="F112" s="9">
        <v>18383537658.400002</v>
      </c>
      <c r="G112" s="9">
        <v>22511083059.900002</v>
      </c>
      <c r="H112" s="9">
        <v>26792347837</v>
      </c>
      <c r="I112" s="9">
        <v>38014772063.849998</v>
      </c>
      <c r="J112" s="9">
        <v>43272979118.25</v>
      </c>
      <c r="K112" s="9">
        <v>68514621145.910004</v>
      </c>
      <c r="L112" s="9">
        <v>43947452368.32</v>
      </c>
      <c r="M112" s="9">
        <v>58179454365.760002</v>
      </c>
      <c r="N112" s="9">
        <v>43985500000</v>
      </c>
    </row>
    <row r="113" spans="1:14" x14ac:dyDescent="0.3">
      <c r="A113" s="8" t="s">
        <v>259</v>
      </c>
      <c r="B113" s="8" t="s">
        <v>260</v>
      </c>
      <c r="C113" s="8" t="s">
        <v>206</v>
      </c>
      <c r="D113" s="8" t="s">
        <v>203</v>
      </c>
      <c r="E113" s="9">
        <v>27374228591.799999</v>
      </c>
      <c r="F113" s="9">
        <v>31046311267.150002</v>
      </c>
      <c r="G113" s="9">
        <v>38253493332.230003</v>
      </c>
      <c r="H113" s="9">
        <v>26910434227.119999</v>
      </c>
      <c r="I113" s="9">
        <v>37138882412.5</v>
      </c>
      <c r="J113" s="9">
        <v>29776492565.040001</v>
      </c>
      <c r="K113" s="9">
        <v>37524881984.349998</v>
      </c>
      <c r="L113" s="9">
        <v>29384927875.990002</v>
      </c>
      <c r="M113" s="9">
        <v>39585582648.980003</v>
      </c>
      <c r="N113" s="9">
        <v>40070439780</v>
      </c>
    </row>
    <row r="114" spans="1:14" x14ac:dyDescent="0.3">
      <c r="A114" s="8" t="s">
        <v>261</v>
      </c>
      <c r="B114" s="8" t="s">
        <v>262</v>
      </c>
      <c r="C114" s="8" t="s">
        <v>206</v>
      </c>
      <c r="D114" s="8" t="s">
        <v>203</v>
      </c>
      <c r="E114" s="9">
        <v>23085711432</v>
      </c>
      <c r="F114" s="9">
        <v>22482954541</v>
      </c>
      <c r="G114" s="9">
        <v>20946436140</v>
      </c>
      <c r="H114" s="9">
        <v>16573658122.4</v>
      </c>
      <c r="I114" s="9">
        <v>19459030315.150002</v>
      </c>
      <c r="J114" s="9">
        <v>8940279154.9200001</v>
      </c>
      <c r="K114" s="9">
        <v>8537165083.1999998</v>
      </c>
      <c r="L114" s="9">
        <v>6745829836.6499996</v>
      </c>
      <c r="M114" s="9">
        <v>9299585781.6399994</v>
      </c>
      <c r="N114" s="9">
        <v>10144245255.84</v>
      </c>
    </row>
    <row r="115" spans="1:14" x14ac:dyDescent="0.3">
      <c r="A115" s="8" t="s">
        <v>263</v>
      </c>
      <c r="B115" s="8" t="s">
        <v>264</v>
      </c>
      <c r="C115" s="8" t="s">
        <v>206</v>
      </c>
      <c r="D115" s="8" t="s">
        <v>203</v>
      </c>
      <c r="E115" s="9">
        <v>4416396568.54</v>
      </c>
      <c r="F115" s="9">
        <v>5457192585.3000002</v>
      </c>
      <c r="G115" s="9">
        <v>6868544454.5</v>
      </c>
      <c r="H115" s="9">
        <v>8055831867.1999998</v>
      </c>
      <c r="I115" s="9">
        <v>12664091760.799999</v>
      </c>
      <c r="J115" s="9">
        <v>15928889260.9</v>
      </c>
      <c r="K115" s="9">
        <v>23021194896</v>
      </c>
      <c r="L115" s="9">
        <v>13115722528.299999</v>
      </c>
      <c r="M115" s="9">
        <v>7738588081.4499998</v>
      </c>
      <c r="N115" s="9">
        <v>4962827054.8800001</v>
      </c>
    </row>
    <row r="116" spans="1:14" x14ac:dyDescent="0.3">
      <c r="A116" s="8" t="s">
        <v>265</v>
      </c>
      <c r="B116" s="8" t="s">
        <v>266</v>
      </c>
      <c r="C116" s="8" t="s">
        <v>206</v>
      </c>
      <c r="D116" s="8" t="s">
        <v>203</v>
      </c>
      <c r="E116" s="9">
        <v>776945748</v>
      </c>
      <c r="F116" s="9">
        <v>1496707408.78</v>
      </c>
      <c r="G116" s="9">
        <v>2911583416.0999999</v>
      </c>
      <c r="H116" s="9">
        <v>1746837569.55</v>
      </c>
      <c r="I116" s="9">
        <v>1216117734.96</v>
      </c>
      <c r="J116" s="9">
        <v>1137651383.1600001</v>
      </c>
      <c r="K116" s="9">
        <v>2055729066.3</v>
      </c>
      <c r="L116" s="9">
        <v>2404375355.8499999</v>
      </c>
      <c r="M116" s="9">
        <v>2069274373.3</v>
      </c>
      <c r="N116" s="9">
        <v>1541770821.3</v>
      </c>
    </row>
    <row r="117" spans="1:14" x14ac:dyDescent="0.3">
      <c r="A117" s="8" t="s">
        <v>267</v>
      </c>
      <c r="B117" s="8" t="s">
        <v>112</v>
      </c>
      <c r="C117" s="8" t="s">
        <v>206</v>
      </c>
      <c r="D117" s="8" t="s">
        <v>203</v>
      </c>
      <c r="E117" s="9">
        <v>6650324596.8800001</v>
      </c>
      <c r="F117" s="9">
        <v>6040297415.5699997</v>
      </c>
      <c r="G117" s="9">
        <v>9986728832.3999996</v>
      </c>
      <c r="H117" s="9">
        <v>19344076161.380001</v>
      </c>
      <c r="I117" s="9">
        <v>12956877274.32</v>
      </c>
      <c r="J117" s="9">
        <v>24139693243.740002</v>
      </c>
      <c r="K117" s="9">
        <v>33089689261.700001</v>
      </c>
      <c r="L117" s="9">
        <v>44647107577.900002</v>
      </c>
      <c r="M117" s="9">
        <v>31970340313.619999</v>
      </c>
      <c r="N117" s="9">
        <v>22657950743.810001</v>
      </c>
    </row>
    <row r="118" spans="1:14" x14ac:dyDescent="0.3">
      <c r="A118" s="8" t="s">
        <v>269</v>
      </c>
      <c r="B118" s="8" t="s">
        <v>270</v>
      </c>
      <c r="C118" s="8" t="s">
        <v>206</v>
      </c>
      <c r="D118" s="8" t="s">
        <v>203</v>
      </c>
      <c r="E118" s="9">
        <v>25260942040</v>
      </c>
      <c r="F118" s="9">
        <v>22984015680</v>
      </c>
      <c r="G118" s="9">
        <v>22716504000</v>
      </c>
      <c r="H118" s="9">
        <v>14720317500</v>
      </c>
      <c r="I118" s="9">
        <v>11457733020</v>
      </c>
      <c r="J118" s="9">
        <v>9703440240</v>
      </c>
      <c r="K118" s="9">
        <v>8312716100</v>
      </c>
      <c r="L118" s="9">
        <v>8511194160</v>
      </c>
      <c r="M118" s="9">
        <v>10000232100</v>
      </c>
      <c r="N118" s="9">
        <v>12815196700</v>
      </c>
    </row>
    <row r="119" spans="1:14" x14ac:dyDescent="0.3">
      <c r="A119" s="8" t="s">
        <v>271</v>
      </c>
      <c r="B119" s="8" t="s">
        <v>272</v>
      </c>
      <c r="C119" s="8" t="s">
        <v>206</v>
      </c>
      <c r="D119" s="8" t="s">
        <v>203</v>
      </c>
      <c r="E119" s="9">
        <v>8962512249.8999996</v>
      </c>
      <c r="F119" s="9">
        <v>11805661684.360001</v>
      </c>
      <c r="G119" s="9">
        <v>10975263467.26</v>
      </c>
      <c r="H119" s="9">
        <v>9983403657.9200001</v>
      </c>
      <c r="I119" s="9">
        <v>11289047238.98</v>
      </c>
      <c r="J119" s="9">
        <v>6568800072.7799997</v>
      </c>
      <c r="K119" s="9">
        <v>7682755948.0799999</v>
      </c>
      <c r="L119" s="9">
        <v>8403217885.4399996</v>
      </c>
      <c r="M119" s="9">
        <v>10873356204.200001</v>
      </c>
      <c r="N119" s="9">
        <v>11789381411.5</v>
      </c>
    </row>
    <row r="120" spans="1:14" x14ac:dyDescent="0.3">
      <c r="A120" s="8" t="s">
        <v>273</v>
      </c>
      <c r="B120" s="8" t="s">
        <v>274</v>
      </c>
      <c r="C120" s="8" t="s">
        <v>206</v>
      </c>
      <c r="D120" s="8" t="s">
        <v>203</v>
      </c>
      <c r="E120" s="9">
        <v>19276552380.150002</v>
      </c>
      <c r="F120" s="9">
        <v>16939298969.040001</v>
      </c>
      <c r="G120" s="9">
        <v>13536745682.4</v>
      </c>
      <c r="H120" s="9">
        <v>11556143645.76</v>
      </c>
      <c r="I120" s="9">
        <v>11820577645.5</v>
      </c>
      <c r="J120" s="9">
        <v>11304163393.389999</v>
      </c>
      <c r="K120" s="9">
        <v>12677708018.34</v>
      </c>
      <c r="L120" s="9">
        <v>11595144913.280001</v>
      </c>
      <c r="M120" s="9">
        <v>21309807207.560001</v>
      </c>
      <c r="N120" s="9">
        <v>9195153284.0400009</v>
      </c>
    </row>
    <row r="121" spans="1:14" x14ac:dyDescent="0.3">
      <c r="A121" s="8" t="s">
        <v>275</v>
      </c>
      <c r="B121" s="8" t="s">
        <v>276</v>
      </c>
      <c r="C121" s="8" t="s">
        <v>206</v>
      </c>
      <c r="D121" s="8" t="s">
        <v>203</v>
      </c>
      <c r="E121" s="9">
        <v>3974638850</v>
      </c>
      <c r="F121" s="9">
        <v>4333028844.4799995</v>
      </c>
      <c r="G121" s="9">
        <v>5560907040</v>
      </c>
      <c r="H121" s="9">
        <v>7592441610</v>
      </c>
      <c r="I121" s="9">
        <v>11099347636</v>
      </c>
      <c r="J121" s="9">
        <v>11339734376.879999</v>
      </c>
      <c r="K121" s="9">
        <v>10050416851.049999</v>
      </c>
      <c r="L121" s="9">
        <v>12668760736.32</v>
      </c>
      <c r="M121" s="9">
        <v>13482611591.42</v>
      </c>
      <c r="N121" s="9">
        <v>7787841644.25</v>
      </c>
    </row>
    <row r="122" spans="1:14" x14ac:dyDescent="0.3">
      <c r="A122" s="8" t="s">
        <v>277</v>
      </c>
      <c r="B122" s="8" t="s">
        <v>278</v>
      </c>
      <c r="C122" s="8" t="s">
        <v>206</v>
      </c>
      <c r="D122" s="8" t="s">
        <v>203</v>
      </c>
      <c r="E122" s="9">
        <v>4336730351.9099998</v>
      </c>
      <c r="F122" s="9">
        <v>5583372504.6000004</v>
      </c>
      <c r="G122" s="9">
        <v>8746049495.3999996</v>
      </c>
      <c r="H122" s="9">
        <v>6773027177.5</v>
      </c>
      <c r="I122" s="9">
        <v>9387271952.3999996</v>
      </c>
      <c r="J122" s="9">
        <v>13634110485.200001</v>
      </c>
      <c r="K122" s="9">
        <v>14771345587.299999</v>
      </c>
      <c r="L122" s="9">
        <v>11549286616.32</v>
      </c>
      <c r="M122" s="9">
        <v>11886315839.799999</v>
      </c>
      <c r="N122" s="9">
        <v>12188746638</v>
      </c>
    </row>
    <row r="123" spans="1:14" x14ac:dyDescent="0.3">
      <c r="A123" s="6" t="s">
        <v>279</v>
      </c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x14ac:dyDescent="0.3">
      <c r="A124" s="8" t="s">
        <v>280</v>
      </c>
      <c r="B124" s="8" t="s">
        <v>281</v>
      </c>
      <c r="C124" s="8" t="s">
        <v>282</v>
      </c>
      <c r="D124" s="8" t="s">
        <v>279</v>
      </c>
      <c r="E124" s="9">
        <v>81394035891.800003</v>
      </c>
      <c r="F124" s="9">
        <v>94857741440</v>
      </c>
      <c r="G124" s="9">
        <v>95090779471.619995</v>
      </c>
      <c r="H124" s="9">
        <v>89878609809.309998</v>
      </c>
      <c r="I124" s="9">
        <v>75818640217.949997</v>
      </c>
      <c r="J124" s="9">
        <v>94583842080</v>
      </c>
      <c r="K124" s="9">
        <v>76656629859.429993</v>
      </c>
      <c r="L124" s="9">
        <v>83256887924.979996</v>
      </c>
      <c r="M124" s="9">
        <v>89078462100</v>
      </c>
      <c r="N124" s="9">
        <v>123512276470</v>
      </c>
    </row>
    <row r="125" spans="1:14" x14ac:dyDescent="0.3">
      <c r="A125" s="8" t="s">
        <v>283</v>
      </c>
      <c r="B125" s="8" t="s">
        <v>284</v>
      </c>
      <c r="C125" s="8" t="s">
        <v>282</v>
      </c>
      <c r="D125" s="8" t="s">
        <v>279</v>
      </c>
      <c r="E125" s="9">
        <v>64385972600</v>
      </c>
      <c r="F125" s="9">
        <v>70247508310</v>
      </c>
      <c r="G125" s="9">
        <v>84013564170</v>
      </c>
      <c r="H125" s="9">
        <v>61531846710</v>
      </c>
      <c r="I125" s="9">
        <v>60901422540</v>
      </c>
      <c r="J125" s="9">
        <v>43983374060</v>
      </c>
      <c r="K125" s="9">
        <v>50779841700</v>
      </c>
      <c r="L125" s="9">
        <v>47175366000</v>
      </c>
      <c r="M125" s="9">
        <v>62262527250</v>
      </c>
      <c r="N125" s="9">
        <v>69119327220</v>
      </c>
    </row>
    <row r="126" spans="1:14" x14ac:dyDescent="0.3">
      <c r="A126" s="8" t="s">
        <v>285</v>
      </c>
      <c r="B126" s="8" t="s">
        <v>286</v>
      </c>
      <c r="C126" s="8" t="s">
        <v>282</v>
      </c>
      <c r="D126" s="8" t="s">
        <v>279</v>
      </c>
      <c r="E126" s="9">
        <v>41600517645.400002</v>
      </c>
      <c r="F126" s="9">
        <v>41279623027.230003</v>
      </c>
      <c r="G126" s="9">
        <v>42753629497.599998</v>
      </c>
      <c r="H126" s="9">
        <v>47313725118.660004</v>
      </c>
      <c r="I126" s="9">
        <v>61268843880</v>
      </c>
      <c r="J126" s="9">
        <v>75314116800</v>
      </c>
      <c r="K126" s="9">
        <v>67035528120</v>
      </c>
      <c r="L126" s="9">
        <v>72769677490</v>
      </c>
      <c r="M126" s="9">
        <v>76342807120</v>
      </c>
      <c r="N126" s="9">
        <v>85655524500</v>
      </c>
    </row>
    <row r="127" spans="1:14" x14ac:dyDescent="0.3">
      <c r="A127" s="8" t="s">
        <v>287</v>
      </c>
      <c r="B127" s="8" t="s">
        <v>288</v>
      </c>
      <c r="C127" s="8" t="s">
        <v>282</v>
      </c>
      <c r="D127" s="8" t="s">
        <v>279</v>
      </c>
      <c r="E127" s="9">
        <v>43924580000</v>
      </c>
      <c r="F127" s="9">
        <v>44549500000</v>
      </c>
      <c r="G127" s="9">
        <v>51905250000</v>
      </c>
      <c r="H127" s="9">
        <v>30791040000</v>
      </c>
      <c r="I127" s="9">
        <v>33107040000</v>
      </c>
      <c r="J127" s="9">
        <v>26880277360</v>
      </c>
      <c r="K127" s="9">
        <v>33605250000</v>
      </c>
      <c r="L127" s="9">
        <v>34844070000</v>
      </c>
      <c r="M127" s="9">
        <v>49009650000</v>
      </c>
      <c r="N127" s="9">
        <v>56950207650</v>
      </c>
    </row>
    <row r="128" spans="1:14" x14ac:dyDescent="0.3">
      <c r="A128" s="8" t="s">
        <v>289</v>
      </c>
      <c r="B128" s="8" t="s">
        <v>290</v>
      </c>
      <c r="C128" s="8" t="s">
        <v>282</v>
      </c>
      <c r="D128" s="8" t="s">
        <v>279</v>
      </c>
      <c r="E128" s="9">
        <v>50462720000</v>
      </c>
      <c r="F128" s="9">
        <v>43299620280</v>
      </c>
      <c r="G128" s="9">
        <v>41852439720</v>
      </c>
      <c r="H128" s="9">
        <v>37629060500</v>
      </c>
      <c r="I128" s="9">
        <v>31892229740</v>
      </c>
      <c r="J128" s="9">
        <v>17781270000</v>
      </c>
      <c r="K128" s="9">
        <v>22047529350</v>
      </c>
      <c r="L128" s="9">
        <v>19458955950</v>
      </c>
      <c r="M128" s="9">
        <v>20008541260</v>
      </c>
      <c r="N128" s="9">
        <v>22204638300</v>
      </c>
    </row>
    <row r="129" spans="1:14" x14ac:dyDescent="0.3">
      <c r="A129" s="8" t="s">
        <v>291</v>
      </c>
      <c r="B129" s="8" t="s">
        <v>292</v>
      </c>
      <c r="C129" s="8" t="s">
        <v>282</v>
      </c>
      <c r="D129" s="8" t="s">
        <v>279</v>
      </c>
      <c r="E129" s="9">
        <v>15266599600</v>
      </c>
      <c r="F129" s="9">
        <v>12910344000</v>
      </c>
      <c r="G129" s="9">
        <v>13945419360</v>
      </c>
      <c r="H129" s="9">
        <v>14326167600</v>
      </c>
      <c r="I129" s="9">
        <v>19733382630</v>
      </c>
      <c r="J129" s="9">
        <v>16879171600</v>
      </c>
      <c r="K129" s="9">
        <v>20167636320</v>
      </c>
      <c r="L129" s="9">
        <v>17703482190</v>
      </c>
      <c r="M129" s="9">
        <v>24046980100</v>
      </c>
      <c r="N129" s="9">
        <v>29402154600</v>
      </c>
    </row>
    <row r="130" spans="1:14" x14ac:dyDescent="0.3">
      <c r="A130" s="8" t="s">
        <v>293</v>
      </c>
      <c r="B130" s="8" t="s">
        <v>294</v>
      </c>
      <c r="C130" s="8" t="s">
        <v>282</v>
      </c>
      <c r="D130" s="8" t="s">
        <v>279</v>
      </c>
      <c r="E130" s="9">
        <v>18683371650</v>
      </c>
      <c r="F130" s="9">
        <v>18343770100</v>
      </c>
      <c r="G130" s="9">
        <v>23731909670</v>
      </c>
      <c r="H130" s="9">
        <v>18892508720</v>
      </c>
      <c r="I130" s="9">
        <v>16738400000</v>
      </c>
      <c r="J130" s="9">
        <v>12551700000</v>
      </c>
      <c r="K130" s="9">
        <v>18255750000</v>
      </c>
      <c r="L130" s="9">
        <v>28695730000</v>
      </c>
      <c r="M130" s="9">
        <v>27863100000</v>
      </c>
      <c r="N130" s="9">
        <v>38052880000</v>
      </c>
    </row>
    <row r="131" spans="1:14" x14ac:dyDescent="0.3">
      <c r="A131" s="8" t="s">
        <v>295</v>
      </c>
      <c r="B131" s="8" t="s">
        <v>296</v>
      </c>
      <c r="C131" s="8" t="s">
        <v>282</v>
      </c>
      <c r="D131" s="8" t="s">
        <v>279</v>
      </c>
      <c r="E131" s="9">
        <v>17763978734.709999</v>
      </c>
      <c r="F131" s="9">
        <v>18857509902.599998</v>
      </c>
      <c r="G131" s="9">
        <v>26325087788.700001</v>
      </c>
      <c r="H131" s="9">
        <v>26183560281.84</v>
      </c>
      <c r="I131" s="9">
        <v>31363175116</v>
      </c>
      <c r="J131" s="9">
        <v>26516528920</v>
      </c>
      <c r="K131" s="9">
        <v>26839952792.52</v>
      </c>
      <c r="L131" s="9">
        <v>21845025260.849998</v>
      </c>
      <c r="M131" s="9">
        <v>29029846083.040001</v>
      </c>
      <c r="N131" s="9">
        <v>29739937308.400002</v>
      </c>
    </row>
    <row r="132" spans="1:14" x14ac:dyDescent="0.3">
      <c r="A132" s="8" t="s">
        <v>297</v>
      </c>
      <c r="B132" s="8" t="s">
        <v>298</v>
      </c>
      <c r="C132" s="8" t="s">
        <v>282</v>
      </c>
      <c r="D132" s="8" t="s">
        <v>279</v>
      </c>
      <c r="E132" s="9">
        <v>15048440000</v>
      </c>
      <c r="F132" s="9">
        <v>20639960000</v>
      </c>
      <c r="G132" s="9">
        <v>24313780000</v>
      </c>
      <c r="H132" s="9">
        <v>23527680000</v>
      </c>
      <c r="I132" s="9">
        <v>22797322590</v>
      </c>
      <c r="J132" s="9">
        <v>12969000000</v>
      </c>
      <c r="K132" s="9">
        <v>15566040000</v>
      </c>
      <c r="L132" s="9">
        <v>20997900000</v>
      </c>
      <c r="M132" s="9">
        <v>17000800000</v>
      </c>
      <c r="N132" s="9">
        <v>13829270000</v>
      </c>
    </row>
    <row r="133" spans="1:14" x14ac:dyDescent="0.3">
      <c r="A133" s="8" t="s">
        <v>299</v>
      </c>
      <c r="B133" s="8" t="s">
        <v>300</v>
      </c>
      <c r="C133" s="8" t="s">
        <v>282</v>
      </c>
      <c r="D133" s="8" t="s">
        <v>279</v>
      </c>
      <c r="E133" s="9">
        <v>15810000000</v>
      </c>
      <c r="F133" s="9">
        <v>19447500000</v>
      </c>
      <c r="G133" s="9">
        <v>25575000000</v>
      </c>
      <c r="H133" s="9">
        <v>20362500000</v>
      </c>
      <c r="I133" s="9">
        <v>25575000000</v>
      </c>
      <c r="J133" s="9">
        <v>21330000000</v>
      </c>
      <c r="K133" s="9">
        <v>20820000000</v>
      </c>
      <c r="L133" s="9">
        <v>17595000000</v>
      </c>
      <c r="M133" s="9">
        <v>24619740356.700001</v>
      </c>
      <c r="N133" s="39">
        <v>2962108756.3200002</v>
      </c>
    </row>
    <row r="134" spans="1:14" x14ac:dyDescent="0.3">
      <c r="A134" s="8" t="s">
        <v>301</v>
      </c>
      <c r="B134" s="8" t="s">
        <v>302</v>
      </c>
      <c r="C134" s="8" t="s">
        <v>282</v>
      </c>
      <c r="D134" s="8" t="s">
        <v>279</v>
      </c>
      <c r="E134" s="9">
        <v>6207084000</v>
      </c>
      <c r="F134" s="9">
        <v>5753219380</v>
      </c>
      <c r="G134" s="9">
        <v>5691228620</v>
      </c>
      <c r="H134" s="9">
        <v>5629237860</v>
      </c>
      <c r="I134" s="9">
        <v>5433222720</v>
      </c>
      <c r="J134" s="9">
        <v>4698939360</v>
      </c>
      <c r="K134" s="9">
        <v>5334355200</v>
      </c>
      <c r="L134" s="9">
        <v>4058672320</v>
      </c>
      <c r="M134" s="9">
        <v>3992673714.1199999</v>
      </c>
      <c r="N134" s="9">
        <v>3074921620</v>
      </c>
    </row>
    <row r="135" spans="1:14" x14ac:dyDescent="0.3">
      <c r="A135" s="8" t="s">
        <v>303</v>
      </c>
      <c r="B135" s="8" t="s">
        <v>304</v>
      </c>
      <c r="C135" s="8" t="s">
        <v>282</v>
      </c>
      <c r="D135" s="8" t="s">
        <v>279</v>
      </c>
      <c r="E135" s="9">
        <v>10406284448.32</v>
      </c>
      <c r="F135" s="9">
        <v>9661294863.3600006</v>
      </c>
      <c r="G135" s="9">
        <v>9949264196.3999996</v>
      </c>
      <c r="H135" s="9">
        <v>10508371555.5</v>
      </c>
      <c r="I135" s="9">
        <v>9668219079.6800003</v>
      </c>
      <c r="J135" s="9">
        <v>9036347957.1299992</v>
      </c>
      <c r="K135" s="9">
        <v>10252335022.620001</v>
      </c>
      <c r="L135" s="9">
        <v>8769150811.6800003</v>
      </c>
      <c r="M135" s="9">
        <v>8045884000.7700005</v>
      </c>
      <c r="N135" s="9">
        <v>8903895775.5</v>
      </c>
    </row>
    <row r="136" spans="1:14" x14ac:dyDescent="0.3">
      <c r="A136" s="8" t="s">
        <v>305</v>
      </c>
      <c r="B136" s="8" t="s">
        <v>306</v>
      </c>
      <c r="C136" s="8" t="s">
        <v>282</v>
      </c>
      <c r="D136" s="8" t="s">
        <v>279</v>
      </c>
      <c r="E136" s="9">
        <v>7111428802.1700001</v>
      </c>
      <c r="F136" s="9">
        <v>8845191223.1000004</v>
      </c>
      <c r="G136" s="9">
        <v>8182153007.5600004</v>
      </c>
      <c r="H136" s="9">
        <v>7085883200</v>
      </c>
      <c r="I136" s="9">
        <v>7202436800</v>
      </c>
      <c r="J136" s="9">
        <v>4848228000</v>
      </c>
      <c r="K136" s="9">
        <v>5519414000</v>
      </c>
      <c r="L136" s="9">
        <v>5528826000</v>
      </c>
      <c r="M136" s="9">
        <v>6036474000</v>
      </c>
      <c r="N136" s="9">
        <v>7515130000</v>
      </c>
    </row>
    <row r="137" spans="1:14" x14ac:dyDescent="0.3">
      <c r="A137" s="8" t="s">
        <v>307</v>
      </c>
      <c r="B137" s="8" t="s">
        <v>308</v>
      </c>
      <c r="C137" s="8" t="s">
        <v>282</v>
      </c>
      <c r="D137" s="8" t="s">
        <v>279</v>
      </c>
      <c r="E137" s="9">
        <v>4491341561.8800001</v>
      </c>
      <c r="F137" s="9">
        <v>3986741327.9400001</v>
      </c>
      <c r="G137" s="9">
        <v>3910248578.04</v>
      </c>
      <c r="H137" s="9">
        <v>4108026287.0999999</v>
      </c>
      <c r="I137" s="9">
        <v>5106353530.6000004</v>
      </c>
      <c r="J137" s="9">
        <v>6362947882.5</v>
      </c>
      <c r="K137" s="9">
        <v>9183036225.2999992</v>
      </c>
      <c r="L137" s="9">
        <v>9400325886.8999996</v>
      </c>
      <c r="M137" s="9">
        <v>7294701335.3000002</v>
      </c>
      <c r="N137" s="9">
        <v>5921649900</v>
      </c>
    </row>
    <row r="138" spans="1:14" x14ac:dyDescent="0.3">
      <c r="A138" s="8" t="s">
        <v>309</v>
      </c>
      <c r="B138" s="8" t="s">
        <v>310</v>
      </c>
      <c r="C138" s="8" t="s">
        <v>282</v>
      </c>
      <c r="D138" s="8" t="s">
        <v>279</v>
      </c>
      <c r="E138" s="9">
        <v>8396423135</v>
      </c>
      <c r="F138" s="9">
        <v>14058366000</v>
      </c>
      <c r="G138" s="9">
        <v>15691747900</v>
      </c>
      <c r="H138" s="9">
        <v>15787073970</v>
      </c>
      <c r="I138" s="9">
        <v>15604646700</v>
      </c>
      <c r="J138" s="9">
        <v>7977973200</v>
      </c>
      <c r="K138" s="9">
        <v>7586004500</v>
      </c>
      <c r="L138" s="9">
        <v>7591650760</v>
      </c>
      <c r="M138" s="9">
        <v>10454451200</v>
      </c>
      <c r="N138" s="9">
        <v>12530459200</v>
      </c>
    </row>
    <row r="139" spans="1:14" x14ac:dyDescent="0.3">
      <c r="A139" s="8" t="s">
        <v>311</v>
      </c>
      <c r="B139" s="8" t="s">
        <v>312</v>
      </c>
      <c r="C139" s="8" t="s">
        <v>282</v>
      </c>
      <c r="D139" s="8" t="s">
        <v>279</v>
      </c>
      <c r="E139" s="9">
        <v>14606826438.280001</v>
      </c>
      <c r="F139" s="9">
        <v>12899302703.969999</v>
      </c>
      <c r="G139" s="9">
        <v>16872304826.16</v>
      </c>
      <c r="H139" s="9">
        <v>15679844733.299999</v>
      </c>
      <c r="I139" s="9">
        <v>21533190725.48</v>
      </c>
      <c r="J139" s="9">
        <v>16346880042.18</v>
      </c>
      <c r="K139" s="9">
        <v>11450361622.5</v>
      </c>
      <c r="L139" s="9">
        <v>7306483174.3800001</v>
      </c>
      <c r="M139" s="9">
        <v>10498766633.34</v>
      </c>
      <c r="N139" s="9">
        <v>6221237942.25</v>
      </c>
    </row>
    <row r="140" spans="1:14" x14ac:dyDescent="0.3">
      <c r="A140" s="8" t="s">
        <v>313</v>
      </c>
      <c r="B140" s="8" t="s">
        <v>314</v>
      </c>
      <c r="C140" s="8" t="s">
        <v>282</v>
      </c>
      <c r="D140" s="8" t="s">
        <v>279</v>
      </c>
      <c r="E140" s="9">
        <v>4002651782.9000001</v>
      </c>
      <c r="F140" s="9">
        <v>3173549074.9200001</v>
      </c>
      <c r="G140" s="9">
        <v>5022766703.2399998</v>
      </c>
      <c r="H140" s="9">
        <v>5192964257.6000004</v>
      </c>
      <c r="I140" s="9">
        <v>11372789327.040001</v>
      </c>
      <c r="J140" s="9">
        <v>18930089677.599998</v>
      </c>
      <c r="K140" s="9">
        <v>31247581015.799999</v>
      </c>
      <c r="L140" s="9">
        <v>20802129905.119999</v>
      </c>
      <c r="M140" s="9">
        <v>23846305829.619999</v>
      </c>
      <c r="N140" s="9">
        <v>16749530153.280001</v>
      </c>
    </row>
    <row r="141" spans="1:14" x14ac:dyDescent="0.3">
      <c r="A141" s="8" t="s">
        <v>315</v>
      </c>
      <c r="B141" s="8" t="s">
        <v>316</v>
      </c>
      <c r="C141" s="8" t="s">
        <v>282</v>
      </c>
      <c r="D141" s="8" t="s">
        <v>279</v>
      </c>
      <c r="E141" s="9">
        <v>11663024136.389999</v>
      </c>
      <c r="F141" s="9">
        <v>7417500166.3999996</v>
      </c>
      <c r="G141" s="9">
        <v>10782818515.26</v>
      </c>
      <c r="H141" s="9">
        <v>9638905446</v>
      </c>
      <c r="I141" s="9">
        <v>9747301196.9899998</v>
      </c>
      <c r="J141" s="9">
        <v>6314165817.2299995</v>
      </c>
      <c r="K141" s="9">
        <v>8436717426.8999996</v>
      </c>
      <c r="L141" s="9">
        <v>6892203800</v>
      </c>
      <c r="M141" s="9">
        <v>8780083180</v>
      </c>
      <c r="N141" s="9">
        <v>17799534390</v>
      </c>
    </row>
    <row r="142" spans="1:14" x14ac:dyDescent="0.3">
      <c r="A142" s="8" t="s">
        <v>317</v>
      </c>
      <c r="B142" s="8" t="s">
        <v>318</v>
      </c>
      <c r="C142" s="8" t="s">
        <v>282</v>
      </c>
      <c r="D142" s="8" t="s">
        <v>279</v>
      </c>
      <c r="E142" s="9">
        <v>2580009639.9000001</v>
      </c>
      <c r="F142" s="9">
        <v>3717460756.8200002</v>
      </c>
      <c r="G142" s="9">
        <v>5291939115.0600004</v>
      </c>
      <c r="H142" s="9">
        <v>5047693443.7799997</v>
      </c>
      <c r="I142" s="9">
        <v>5940372824.7799997</v>
      </c>
      <c r="J142" s="9">
        <v>3653877000</v>
      </c>
      <c r="K142" s="9">
        <v>4463414734.6800003</v>
      </c>
      <c r="L142" s="9">
        <v>4108082980</v>
      </c>
      <c r="M142" s="9">
        <v>4711339440</v>
      </c>
      <c r="N142" s="9">
        <v>5180147120</v>
      </c>
    </row>
    <row r="143" spans="1:14" x14ac:dyDescent="0.3">
      <c r="A143" s="8" t="s">
        <v>319</v>
      </c>
      <c r="B143" s="8" t="s">
        <v>268</v>
      </c>
      <c r="C143" s="8" t="s">
        <v>282</v>
      </c>
      <c r="D143" s="8" t="s">
        <v>279</v>
      </c>
      <c r="E143" s="9">
        <v>7594181557.54</v>
      </c>
      <c r="F143" s="39">
        <v>21105946634.029999</v>
      </c>
      <c r="G143" s="9">
        <v>34338454224</v>
      </c>
      <c r="H143" s="9">
        <v>21072280208</v>
      </c>
      <c r="I143" s="9">
        <v>17779849003.599998</v>
      </c>
      <c r="J143" s="9">
        <v>26292095424</v>
      </c>
      <c r="K143" s="9">
        <v>35409230512.5</v>
      </c>
      <c r="L143" s="9">
        <v>29139430721.599998</v>
      </c>
      <c r="M143" s="9">
        <v>23994488819.200001</v>
      </c>
      <c r="N143" s="9">
        <v>18302120071.599998</v>
      </c>
    </row>
    <row r="144" spans="1:14" x14ac:dyDescent="0.3">
      <c r="A144" s="8" t="s">
        <v>320</v>
      </c>
      <c r="B144" s="8" t="s">
        <v>321</v>
      </c>
      <c r="C144" s="8" t="s">
        <v>282</v>
      </c>
      <c r="D144" s="8" t="s">
        <v>279</v>
      </c>
      <c r="E144" s="9">
        <v>7891491755.5799999</v>
      </c>
      <c r="F144" s="9">
        <v>7194629310.6999998</v>
      </c>
      <c r="G144" s="9">
        <v>9385915063.6599998</v>
      </c>
      <c r="H144" s="9">
        <v>5567487431.5200005</v>
      </c>
      <c r="I144" s="9">
        <v>5759647681.8400002</v>
      </c>
      <c r="J144" s="39">
        <v>1976199448.5699999</v>
      </c>
      <c r="K144" s="9">
        <v>3306057804.21</v>
      </c>
      <c r="L144" s="9">
        <v>4927094768.54</v>
      </c>
      <c r="M144" s="9">
        <v>5995110000</v>
      </c>
      <c r="N144" s="9">
        <v>10107726827.200001</v>
      </c>
    </row>
    <row r="145" spans="1:14" x14ac:dyDescent="0.3">
      <c r="A145" s="8" t="s">
        <v>322</v>
      </c>
      <c r="B145" s="8" t="s">
        <v>323</v>
      </c>
      <c r="C145" s="8" t="s">
        <v>282</v>
      </c>
      <c r="D145" s="8" t="s">
        <v>279</v>
      </c>
      <c r="E145" s="9">
        <v>18851793397.619999</v>
      </c>
      <c r="F145" s="9">
        <v>17918388005.220001</v>
      </c>
      <c r="G145" s="9">
        <v>19929525943.200001</v>
      </c>
      <c r="H145" s="9">
        <v>22207996544.16</v>
      </c>
      <c r="I145" s="9">
        <v>21899053321.599998</v>
      </c>
      <c r="J145" s="9">
        <v>18250037623.919998</v>
      </c>
      <c r="K145" s="9">
        <v>27511567790.279999</v>
      </c>
      <c r="L145" s="9">
        <v>23359681648.16</v>
      </c>
      <c r="M145" s="9">
        <v>25939823562</v>
      </c>
      <c r="N145" s="9">
        <v>22461965736.279999</v>
      </c>
    </row>
    <row r="146" spans="1:14" x14ac:dyDescent="0.3">
      <c r="A146" s="8" t="s">
        <v>324</v>
      </c>
      <c r="B146" s="8" t="s">
        <v>325</v>
      </c>
      <c r="C146" s="8" t="s">
        <v>282</v>
      </c>
      <c r="D146" s="8" t="s">
        <v>279</v>
      </c>
      <c r="E146" s="9">
        <v>2045307354</v>
      </c>
      <c r="F146" s="9">
        <v>2212459200</v>
      </c>
      <c r="G146" s="9">
        <v>3068624640</v>
      </c>
      <c r="H146" s="9">
        <v>3648461960</v>
      </c>
      <c r="I146" s="9">
        <v>5767028960</v>
      </c>
      <c r="J146" s="9">
        <v>4072326170</v>
      </c>
      <c r="K146" s="9">
        <v>4254566250</v>
      </c>
      <c r="L146" s="9">
        <v>3193888290</v>
      </c>
      <c r="M146" s="9">
        <v>3481167800</v>
      </c>
      <c r="N146" s="9">
        <v>2988150340</v>
      </c>
    </row>
    <row r="147" spans="1:14" x14ac:dyDescent="0.3">
      <c r="A147" s="8" t="s">
        <v>326</v>
      </c>
      <c r="B147" s="8" t="s">
        <v>327</v>
      </c>
      <c r="C147" s="8" t="s">
        <v>282</v>
      </c>
      <c r="D147" s="8" t="s">
        <v>279</v>
      </c>
      <c r="E147" s="9">
        <v>2238148140</v>
      </c>
      <c r="F147" s="9">
        <v>2632462840.1399999</v>
      </c>
      <c r="G147" s="9">
        <v>2692283760</v>
      </c>
      <c r="H147" s="9">
        <v>2945799360</v>
      </c>
      <c r="I147" s="9">
        <v>2364969720</v>
      </c>
      <c r="J147" s="9">
        <v>1930528800</v>
      </c>
      <c r="K147" s="9">
        <v>2403392220</v>
      </c>
      <c r="L147" s="9">
        <v>2459095731.3499999</v>
      </c>
      <c r="M147" s="9">
        <v>3190552200</v>
      </c>
      <c r="N147" s="9">
        <v>3570242252.9400001</v>
      </c>
    </row>
    <row r="148" spans="1:14" x14ac:dyDescent="0.3">
      <c r="A148" s="8" t="s">
        <v>328</v>
      </c>
      <c r="B148" s="8" t="s">
        <v>329</v>
      </c>
      <c r="C148" s="8" t="s">
        <v>282</v>
      </c>
      <c r="D148" s="8" t="s">
        <v>279</v>
      </c>
      <c r="E148" s="9">
        <v>952786338.24000001</v>
      </c>
      <c r="F148" s="9">
        <v>1126383527.25</v>
      </c>
      <c r="G148" s="9">
        <v>1306157500</v>
      </c>
      <c r="H148" s="9">
        <v>1025448120</v>
      </c>
      <c r="I148" s="9">
        <v>1447365400</v>
      </c>
      <c r="J148" s="9">
        <v>1164855220</v>
      </c>
      <c r="K148" s="9">
        <v>1385946930</v>
      </c>
      <c r="L148" s="9">
        <v>1635917400</v>
      </c>
      <c r="M148" s="9">
        <v>2043486230</v>
      </c>
      <c r="N148" s="9">
        <v>2336097960</v>
      </c>
    </row>
    <row r="149" spans="1:14" x14ac:dyDescent="0.3">
      <c r="A149" s="8" t="s">
        <v>330</v>
      </c>
      <c r="B149" s="8" t="s">
        <v>331</v>
      </c>
      <c r="C149" s="8" t="s">
        <v>282</v>
      </c>
      <c r="D149" s="8" t="s">
        <v>279</v>
      </c>
      <c r="E149" s="9">
        <v>1079678340</v>
      </c>
      <c r="F149" s="9">
        <v>1079678340</v>
      </c>
      <c r="G149" s="9">
        <v>1657277070</v>
      </c>
      <c r="H149" s="9">
        <v>1847708450</v>
      </c>
      <c r="I149" s="9">
        <v>1553428008</v>
      </c>
      <c r="J149" s="9">
        <v>1131807105</v>
      </c>
      <c r="K149" s="9">
        <v>1767293121</v>
      </c>
      <c r="L149" s="9">
        <v>2732699180</v>
      </c>
      <c r="M149" s="9">
        <v>2363055020</v>
      </c>
      <c r="N149" s="9">
        <v>3262830044.0500002</v>
      </c>
    </row>
    <row r="150" spans="1:14" x14ac:dyDescent="0.3">
      <c r="A150" s="8" t="s">
        <v>332</v>
      </c>
      <c r="B150" s="8" t="s">
        <v>333</v>
      </c>
      <c r="C150" s="8" t="s">
        <v>282</v>
      </c>
      <c r="D150" s="8" t="s">
        <v>279</v>
      </c>
      <c r="E150" s="9">
        <v>553656081.12</v>
      </c>
      <c r="F150" s="9">
        <v>597807322.67999995</v>
      </c>
      <c r="G150" s="9">
        <v>567137607.84000003</v>
      </c>
      <c r="H150" s="9">
        <v>240845427.72</v>
      </c>
      <c r="I150" s="39">
        <v>789841037.15999997</v>
      </c>
      <c r="J150" s="9">
        <v>1298803000</v>
      </c>
      <c r="K150" s="9">
        <v>1030351400</v>
      </c>
      <c r="L150" s="9">
        <v>1160615000</v>
      </c>
      <c r="M150" s="9">
        <v>755738000</v>
      </c>
      <c r="N150" s="9">
        <v>1399612200</v>
      </c>
    </row>
    <row r="151" spans="1:14" x14ac:dyDescent="0.3">
      <c r="A151" s="8" t="s">
        <v>334</v>
      </c>
      <c r="B151" s="8" t="s">
        <v>335</v>
      </c>
      <c r="C151" s="8" t="s">
        <v>282</v>
      </c>
      <c r="D151" s="8" t="s">
        <v>279</v>
      </c>
      <c r="E151" s="9">
        <v>4260624840</v>
      </c>
      <c r="F151" s="9">
        <v>4790862894.0900002</v>
      </c>
      <c r="G151" s="9">
        <v>5140466760</v>
      </c>
      <c r="H151" s="9">
        <v>4565060720</v>
      </c>
      <c r="I151" s="9">
        <v>4250675990</v>
      </c>
      <c r="J151" s="9">
        <v>2875609600</v>
      </c>
      <c r="K151" s="9">
        <v>4048694650</v>
      </c>
      <c r="L151" s="9">
        <v>5634171840</v>
      </c>
      <c r="M151" s="9">
        <v>5211996000</v>
      </c>
      <c r="N151" s="9">
        <v>6865435835.8400002</v>
      </c>
    </row>
    <row r="152" spans="1:14" x14ac:dyDescent="0.3">
      <c r="A152" s="8" t="s">
        <v>336</v>
      </c>
      <c r="B152" s="8" t="s">
        <v>337</v>
      </c>
      <c r="C152" s="8" t="s">
        <v>282</v>
      </c>
      <c r="D152" s="8" t="s">
        <v>279</v>
      </c>
      <c r="E152" s="9">
        <v>2486550300</v>
      </c>
      <c r="F152" s="9">
        <v>3415998560</v>
      </c>
      <c r="G152" s="9">
        <v>3337650030</v>
      </c>
      <c r="H152" s="9">
        <v>2390748880</v>
      </c>
      <c r="I152" s="9">
        <v>2743579650</v>
      </c>
      <c r="J152" s="9">
        <v>2442190590</v>
      </c>
      <c r="K152" s="9">
        <v>3080266040</v>
      </c>
      <c r="L152" s="9">
        <v>2380205520</v>
      </c>
      <c r="M152" s="9">
        <v>2657111600</v>
      </c>
      <c r="N152" s="9">
        <v>2356215750</v>
      </c>
    </row>
    <row r="153" spans="1:14" x14ac:dyDescent="0.3">
      <c r="A153" s="8" t="s">
        <v>338</v>
      </c>
      <c r="B153" s="8" t="s">
        <v>339</v>
      </c>
      <c r="C153" s="8" t="s">
        <v>282</v>
      </c>
      <c r="D153" s="8" t="s">
        <v>279</v>
      </c>
      <c r="E153" s="9">
        <v>715314280</v>
      </c>
      <c r="F153" s="9">
        <v>604552230</v>
      </c>
      <c r="G153" s="9">
        <v>771670200</v>
      </c>
      <c r="H153" s="9">
        <v>893841350</v>
      </c>
      <c r="I153" s="9">
        <v>1346392000</v>
      </c>
      <c r="J153" s="9">
        <v>2099129400</v>
      </c>
      <c r="K153" s="9">
        <v>4088815200</v>
      </c>
      <c r="L153" s="9">
        <v>1927983960</v>
      </c>
      <c r="M153" s="9">
        <v>3119572789.1999998</v>
      </c>
      <c r="N153" s="9">
        <v>3227213081.4000001</v>
      </c>
    </row>
    <row r="154" spans="1:14" x14ac:dyDescent="0.3">
      <c r="A154" s="8" t="s">
        <v>340</v>
      </c>
      <c r="B154" s="8" t="s">
        <v>341</v>
      </c>
      <c r="C154" s="8" t="s">
        <v>282</v>
      </c>
      <c r="D154" s="8" t="s">
        <v>279</v>
      </c>
      <c r="E154" s="9">
        <v>75504062.510000005</v>
      </c>
      <c r="F154" s="9">
        <v>81929940.170000002</v>
      </c>
      <c r="G154" s="9">
        <v>177782615.25999999</v>
      </c>
      <c r="H154" s="39">
        <v>462758738.32999998</v>
      </c>
      <c r="I154" s="9">
        <v>849665956.79999995</v>
      </c>
      <c r="J154" s="39">
        <v>2953841515.0500002</v>
      </c>
      <c r="K154" s="9">
        <v>2139161244.95</v>
      </c>
      <c r="L154" s="9">
        <v>2139161244.95</v>
      </c>
      <c r="M154" s="9">
        <v>2325338110</v>
      </c>
      <c r="N154" s="9">
        <v>977115850.32000005</v>
      </c>
    </row>
    <row r="155" spans="1:14" x14ac:dyDescent="0.3">
      <c r="A155" s="8" t="s">
        <v>342</v>
      </c>
      <c r="B155" s="8" t="s">
        <v>343</v>
      </c>
      <c r="C155" s="8" t="s">
        <v>282</v>
      </c>
      <c r="D155" s="8" t="s">
        <v>279</v>
      </c>
      <c r="E155" s="9">
        <v>19526912620.639999</v>
      </c>
      <c r="F155" s="9">
        <v>21312680115.209999</v>
      </c>
      <c r="G155" s="9">
        <v>18803437597.919998</v>
      </c>
      <c r="H155" s="9">
        <v>21286723889.310001</v>
      </c>
      <c r="I155" s="9">
        <v>25187712863.43</v>
      </c>
      <c r="J155" s="9">
        <v>23662647169.950001</v>
      </c>
      <c r="K155" s="9">
        <v>21384734706.599998</v>
      </c>
      <c r="L155" s="9">
        <v>18673117487.639999</v>
      </c>
      <c r="M155" s="9">
        <v>19539388911.119999</v>
      </c>
      <c r="N155" s="9">
        <v>22030202240.889999</v>
      </c>
    </row>
    <row r="156" spans="1:14" x14ac:dyDescent="0.3">
      <c r="A156" s="8" t="s">
        <v>344</v>
      </c>
      <c r="B156" s="8" t="s">
        <v>345</v>
      </c>
      <c r="C156" s="8" t="s">
        <v>282</v>
      </c>
      <c r="D156" s="8" t="s">
        <v>279</v>
      </c>
      <c r="E156" s="9">
        <v>4984192148.4499998</v>
      </c>
      <c r="F156" s="48"/>
      <c r="G156" s="48"/>
      <c r="H156" s="9">
        <v>12264790330.450001</v>
      </c>
      <c r="I156" s="9">
        <v>12264812080.700001</v>
      </c>
      <c r="J156" s="9">
        <v>12265282481.75</v>
      </c>
      <c r="K156" s="9">
        <v>12272311205.9</v>
      </c>
      <c r="L156" s="9">
        <v>12286721928.799999</v>
      </c>
      <c r="M156" s="9" t="s">
        <v>350</v>
      </c>
      <c r="N156" s="9" t="s">
        <v>351</v>
      </c>
    </row>
  </sheetData>
  <mergeCells count="2">
    <mergeCell ref="A1:N1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05B5-3B1D-4C6E-90EF-DE1EEF4A946B}">
  <dimension ref="A1:N156"/>
  <sheetViews>
    <sheetView zoomScale="52" workbookViewId="0">
      <selection activeCell="A119" sqref="A119:B119"/>
    </sheetView>
  </sheetViews>
  <sheetFormatPr defaultRowHeight="14.4" x14ac:dyDescent="0.3"/>
  <cols>
    <col min="1" max="1" width="14" customWidth="1"/>
    <col min="2" max="2" width="32" customWidth="1"/>
    <col min="3" max="4" width="12" customWidth="1"/>
    <col min="5" max="14" width="32.33203125" customWidth="1"/>
  </cols>
  <sheetData>
    <row r="1" spans="1:14" ht="30" customHeight="1" x14ac:dyDescent="0.3">
      <c r="A1" s="11" t="s">
        <v>352</v>
      </c>
    </row>
    <row r="2" spans="1:14" ht="19.95" customHeight="1" x14ac:dyDescent="0.3">
      <c r="A2" s="12" t="s">
        <v>28</v>
      </c>
    </row>
    <row r="3" spans="1:14" ht="22.05" customHeight="1" x14ac:dyDescent="0.3">
      <c r="A3" s="13" t="s">
        <v>29</v>
      </c>
      <c r="B3" s="14" t="s">
        <v>30</v>
      </c>
      <c r="C3" s="14" t="s">
        <v>31</v>
      </c>
      <c r="D3" s="14" t="s">
        <v>32</v>
      </c>
      <c r="E3" s="26" t="s">
        <v>33</v>
      </c>
      <c r="F3" s="26" t="s">
        <v>34</v>
      </c>
      <c r="G3" s="26" t="s">
        <v>35</v>
      </c>
      <c r="H3" s="26" t="s">
        <v>36</v>
      </c>
      <c r="I3" s="26" t="s">
        <v>37</v>
      </c>
      <c r="J3" s="26" t="s">
        <v>38</v>
      </c>
      <c r="K3" s="26" t="s">
        <v>39</v>
      </c>
      <c r="L3" s="26" t="s">
        <v>40</v>
      </c>
      <c r="M3" s="26" t="s">
        <v>41</v>
      </c>
      <c r="N3" s="26" t="s">
        <v>42</v>
      </c>
    </row>
    <row r="4" spans="1:14" x14ac:dyDescent="0.3">
      <c r="A4" s="15" t="s">
        <v>43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x14ac:dyDescent="0.3">
      <c r="A5" s="20" t="s">
        <v>44</v>
      </c>
      <c r="B5" s="21" t="s">
        <v>45</v>
      </c>
      <c r="C5" s="21" t="s">
        <v>46</v>
      </c>
      <c r="D5" s="22" t="s">
        <v>43</v>
      </c>
      <c r="E5" s="25">
        <v>3.6299999999999999E-2</v>
      </c>
      <c r="F5" s="25">
        <v>4.1000000000000002E-2</v>
      </c>
      <c r="G5" s="25">
        <v>4.9200000000000001E-2</v>
      </c>
      <c r="H5" s="25">
        <v>5.7799999999999997E-2</v>
      </c>
      <c r="I5" s="25">
        <v>7.0000000000000007E-2</v>
      </c>
      <c r="J5" s="25">
        <v>7.7499999999999999E-2</v>
      </c>
      <c r="K5" s="25">
        <v>0.08</v>
      </c>
      <c r="L5" s="25">
        <v>9.0399999999999994E-2</v>
      </c>
      <c r="M5" s="25">
        <v>9.0399999999999994E-2</v>
      </c>
      <c r="N5" s="25">
        <v>9.5799999999999996E-2</v>
      </c>
    </row>
    <row r="6" spans="1:14" x14ac:dyDescent="0.3">
      <c r="A6" s="20" t="s">
        <v>47</v>
      </c>
      <c r="B6" s="21" t="s">
        <v>48</v>
      </c>
      <c r="C6" s="21" t="s">
        <v>46</v>
      </c>
      <c r="D6" s="22" t="s">
        <v>43</v>
      </c>
      <c r="E6" s="25">
        <v>4.2999999999999997E-2</v>
      </c>
      <c r="F6" s="25">
        <v>4.2999999999999997E-2</v>
      </c>
      <c r="G6" s="25">
        <v>7.0000000000000007E-2</v>
      </c>
      <c r="H6" s="25">
        <v>0.11</v>
      </c>
      <c r="I6" s="25">
        <v>0.14000000000000001</v>
      </c>
      <c r="J6" s="42">
        <v>0</v>
      </c>
      <c r="K6" s="25">
        <v>0.22</v>
      </c>
      <c r="L6" s="25">
        <v>0.26</v>
      </c>
      <c r="M6" s="25">
        <v>0.25180999999999998</v>
      </c>
      <c r="N6" s="25">
        <v>0.28999999999999998</v>
      </c>
    </row>
    <row r="7" spans="1:14" x14ac:dyDescent="0.3">
      <c r="A7" s="20" t="s">
        <v>49</v>
      </c>
      <c r="B7" s="21" t="s">
        <v>50</v>
      </c>
      <c r="C7" s="21" t="s">
        <v>46</v>
      </c>
      <c r="D7" s="22" t="s">
        <v>43</v>
      </c>
      <c r="E7" s="25">
        <v>0.6</v>
      </c>
      <c r="F7" s="25">
        <v>0.72</v>
      </c>
      <c r="G7" s="25">
        <v>0.8</v>
      </c>
      <c r="H7" s="25">
        <v>0.85</v>
      </c>
      <c r="I7" s="25">
        <v>0.9</v>
      </c>
      <c r="J7" s="25">
        <v>0.5</v>
      </c>
      <c r="K7" s="25">
        <v>1.47</v>
      </c>
      <c r="L7" s="25">
        <v>1.07</v>
      </c>
      <c r="M7" s="25">
        <v>1.1599999999999999</v>
      </c>
      <c r="N7" s="25">
        <v>1.28</v>
      </c>
    </row>
    <row r="8" spans="1:14" x14ac:dyDescent="0.3">
      <c r="A8" s="20" t="s">
        <v>51</v>
      </c>
      <c r="B8" s="21" t="s">
        <v>52</v>
      </c>
      <c r="C8" s="21" t="s">
        <v>46</v>
      </c>
      <c r="D8" s="22" t="s">
        <v>43</v>
      </c>
      <c r="E8" s="25">
        <v>0.1014</v>
      </c>
      <c r="F8" s="42">
        <v>1.5217000000000001</v>
      </c>
      <c r="G8" s="25">
        <v>1.0145</v>
      </c>
      <c r="H8" s="25">
        <v>1.0145</v>
      </c>
      <c r="I8" s="25">
        <v>1.196</v>
      </c>
      <c r="J8" s="25">
        <v>1</v>
      </c>
      <c r="K8" s="25">
        <v>1</v>
      </c>
      <c r="L8" s="25">
        <v>1.3</v>
      </c>
      <c r="M8" s="25">
        <v>1.3</v>
      </c>
      <c r="N8" s="25">
        <v>1</v>
      </c>
    </row>
    <row r="9" spans="1:14" x14ac:dyDescent="0.3">
      <c r="A9" s="20" t="s">
        <v>53</v>
      </c>
      <c r="B9" s="21" t="s">
        <v>54</v>
      </c>
      <c r="C9" s="21" t="s">
        <v>46</v>
      </c>
      <c r="D9" s="22" t="s">
        <v>43</v>
      </c>
      <c r="E9" s="25">
        <v>0.98</v>
      </c>
      <c r="F9" s="25">
        <v>1.2</v>
      </c>
      <c r="G9" s="25">
        <v>1.07</v>
      </c>
      <c r="H9" s="25">
        <v>1.25</v>
      </c>
      <c r="I9" s="25">
        <v>1.25</v>
      </c>
      <c r="J9" s="42">
        <v>0</v>
      </c>
      <c r="K9" s="25">
        <v>2.7</v>
      </c>
      <c r="L9" s="25">
        <v>1.75</v>
      </c>
      <c r="M9" s="25">
        <v>1.8</v>
      </c>
      <c r="N9" s="25">
        <v>2.2000000000000002</v>
      </c>
    </row>
    <row r="10" spans="1:14" x14ac:dyDescent="0.3">
      <c r="A10" s="20" t="s">
        <v>55</v>
      </c>
      <c r="B10" s="21" t="s">
        <v>56</v>
      </c>
      <c r="C10" s="21" t="s">
        <v>46</v>
      </c>
      <c r="D10" s="22" t="s">
        <v>43</v>
      </c>
      <c r="E10" s="25">
        <v>0.28000000000000003</v>
      </c>
      <c r="F10" s="25">
        <v>0.30000000000000004</v>
      </c>
      <c r="G10" s="25">
        <v>0.30000000000000004</v>
      </c>
      <c r="H10" s="25">
        <v>0.4</v>
      </c>
      <c r="I10" s="25">
        <v>0.41000000000000003</v>
      </c>
      <c r="J10" s="42">
        <v>0</v>
      </c>
      <c r="K10" s="25">
        <v>1.01</v>
      </c>
      <c r="L10" s="25">
        <v>0.43886000000000003</v>
      </c>
      <c r="M10" s="25">
        <v>0.46689000000000003</v>
      </c>
      <c r="N10" s="25">
        <v>0.68303000000000003</v>
      </c>
    </row>
    <row r="11" spans="1:14" x14ac:dyDescent="0.3">
      <c r="A11" s="20" t="s">
        <v>57</v>
      </c>
      <c r="B11" s="21" t="s">
        <v>58</v>
      </c>
      <c r="C11" s="21" t="s">
        <v>46</v>
      </c>
      <c r="D11" s="22" t="s">
        <v>43</v>
      </c>
      <c r="E11" s="43">
        <v>0</v>
      </c>
      <c r="F11" s="25">
        <v>0.15110000000000001</v>
      </c>
      <c r="G11" s="42">
        <v>0</v>
      </c>
      <c r="H11" s="43">
        <v>0</v>
      </c>
      <c r="I11" s="43">
        <v>0</v>
      </c>
      <c r="J11" s="43">
        <v>0</v>
      </c>
      <c r="K11" s="25">
        <v>0.06</v>
      </c>
      <c r="L11" s="42">
        <v>0.19</v>
      </c>
      <c r="M11" s="25">
        <v>0.23</v>
      </c>
      <c r="N11" s="42">
        <v>0.96000000000000008</v>
      </c>
    </row>
    <row r="12" spans="1:14" x14ac:dyDescent="0.3">
      <c r="A12" s="20" t="s">
        <v>59</v>
      </c>
      <c r="B12" s="21" t="s">
        <v>60</v>
      </c>
      <c r="C12" s="21" t="s">
        <v>46</v>
      </c>
      <c r="D12" s="22" t="s">
        <v>43</v>
      </c>
      <c r="E12" s="25">
        <v>0.02</v>
      </c>
      <c r="F12" s="42">
        <v>0.1</v>
      </c>
      <c r="G12" s="25">
        <v>0.06</v>
      </c>
      <c r="H12" s="25">
        <v>0.11</v>
      </c>
      <c r="I12" s="25">
        <v>0.13</v>
      </c>
      <c r="J12" s="42">
        <v>0</v>
      </c>
      <c r="K12" s="25">
        <v>0.04</v>
      </c>
      <c r="L12" s="25">
        <v>0.06</v>
      </c>
      <c r="M12" s="25">
        <v>0.12</v>
      </c>
      <c r="N12" s="25">
        <v>0.3</v>
      </c>
    </row>
    <row r="13" spans="1:14" x14ac:dyDescent="0.3">
      <c r="A13" s="20" t="s">
        <v>61</v>
      </c>
      <c r="B13" s="21" t="s">
        <v>62</v>
      </c>
      <c r="C13" s="21" t="s">
        <v>46</v>
      </c>
      <c r="D13" s="22" t="s">
        <v>43</v>
      </c>
      <c r="E13" s="25">
        <v>0.05</v>
      </c>
      <c r="F13" s="25">
        <v>7.4999999999999997E-2</v>
      </c>
      <c r="G13" s="25">
        <v>0.1</v>
      </c>
      <c r="H13" s="25">
        <v>0.12</v>
      </c>
      <c r="I13" s="25">
        <v>0.125</v>
      </c>
      <c r="J13" s="25">
        <v>0.15</v>
      </c>
      <c r="K13" s="42">
        <v>1</v>
      </c>
      <c r="L13" s="25">
        <v>0.4</v>
      </c>
      <c r="M13" s="25">
        <v>0.38678000000000001</v>
      </c>
      <c r="N13" s="25">
        <v>0.51570000000000005</v>
      </c>
    </row>
    <row r="14" spans="1:14" x14ac:dyDescent="0.3">
      <c r="A14" s="20" t="s">
        <v>63</v>
      </c>
      <c r="B14" s="21" t="s">
        <v>64</v>
      </c>
      <c r="C14" s="21" t="s">
        <v>46</v>
      </c>
      <c r="D14" s="22" t="s">
        <v>43</v>
      </c>
      <c r="E14" s="25">
        <v>0.08</v>
      </c>
      <c r="F14" s="25">
        <v>0.09</v>
      </c>
      <c r="G14" s="25">
        <v>4.4999999999999998E-2</v>
      </c>
      <c r="H14" s="25">
        <v>0.05</v>
      </c>
      <c r="I14" s="25">
        <v>0.05</v>
      </c>
      <c r="J14" s="25">
        <v>5.5E-2</v>
      </c>
      <c r="K14" s="25">
        <v>5.5E-2</v>
      </c>
      <c r="L14" s="25">
        <v>0.06</v>
      </c>
      <c r="M14" s="25">
        <v>0.06</v>
      </c>
      <c r="N14" s="25">
        <v>6.5000000000000002E-2</v>
      </c>
    </row>
    <row r="15" spans="1:14" x14ac:dyDescent="0.3">
      <c r="A15" s="20" t="s">
        <v>65</v>
      </c>
      <c r="B15" s="21" t="s">
        <v>66</v>
      </c>
      <c r="C15" s="21" t="s">
        <v>46</v>
      </c>
      <c r="D15" s="22" t="s">
        <v>43</v>
      </c>
      <c r="E15" s="25">
        <v>0.2</v>
      </c>
      <c r="F15" s="25">
        <v>0.13</v>
      </c>
      <c r="G15" s="25">
        <v>0.11</v>
      </c>
      <c r="H15" s="25">
        <v>0.14000000000000001</v>
      </c>
      <c r="I15" s="25">
        <v>0.18</v>
      </c>
      <c r="J15" s="25">
        <v>0.18</v>
      </c>
      <c r="K15" s="25">
        <v>0.11</v>
      </c>
      <c r="L15" s="25">
        <v>0.28000000000000003</v>
      </c>
      <c r="M15" s="25">
        <v>0.36</v>
      </c>
      <c r="N15" s="42">
        <v>0</v>
      </c>
    </row>
    <row r="16" spans="1:14" x14ac:dyDescent="0.3">
      <c r="A16" s="20" t="s">
        <v>67</v>
      </c>
      <c r="B16" s="21" t="s">
        <v>68</v>
      </c>
      <c r="C16" s="21" t="s">
        <v>46</v>
      </c>
      <c r="D16" s="22" t="s">
        <v>43</v>
      </c>
      <c r="E16" s="25">
        <v>0.6</v>
      </c>
      <c r="F16" s="25">
        <v>0.65</v>
      </c>
      <c r="G16" s="25">
        <v>0.8</v>
      </c>
      <c r="H16" s="42">
        <v>2.65</v>
      </c>
      <c r="I16" s="25">
        <v>0.9</v>
      </c>
      <c r="J16" s="25">
        <v>0.95</v>
      </c>
      <c r="K16" s="25">
        <v>1</v>
      </c>
      <c r="L16" s="25">
        <v>1.05</v>
      </c>
      <c r="M16" s="25">
        <v>0.95787999999999995</v>
      </c>
      <c r="N16" s="25">
        <v>1.00142</v>
      </c>
    </row>
    <row r="17" spans="1:14" x14ac:dyDescent="0.3">
      <c r="A17" s="20" t="s">
        <v>69</v>
      </c>
      <c r="B17" s="21" t="s">
        <v>70</v>
      </c>
      <c r="C17" s="21" t="s">
        <v>46</v>
      </c>
      <c r="D17" s="22" t="s">
        <v>43</v>
      </c>
      <c r="E17" s="25">
        <v>0.14000000000000001</v>
      </c>
      <c r="F17" s="25">
        <v>0.16</v>
      </c>
      <c r="G17" s="25">
        <v>0.18</v>
      </c>
      <c r="H17" s="25">
        <v>0.23699999999999999</v>
      </c>
      <c r="I17" s="25">
        <v>0.28000000000000003</v>
      </c>
      <c r="J17" s="25">
        <v>0.32800000000000001</v>
      </c>
      <c r="K17" s="25">
        <v>0.35799999999999998</v>
      </c>
      <c r="L17" s="25">
        <v>0.38</v>
      </c>
      <c r="M17" s="25">
        <v>0.37440000000000001</v>
      </c>
      <c r="N17" s="25">
        <v>0.37496000000000002</v>
      </c>
    </row>
    <row r="18" spans="1:14" x14ac:dyDescent="0.3">
      <c r="A18" s="20" t="s">
        <v>71</v>
      </c>
      <c r="B18" s="21" t="s">
        <v>72</v>
      </c>
      <c r="C18" s="21" t="s">
        <v>46</v>
      </c>
      <c r="D18" s="22" t="s">
        <v>43</v>
      </c>
      <c r="E18" s="25">
        <v>0.96000000000000008</v>
      </c>
      <c r="F18" s="25">
        <v>0.8</v>
      </c>
      <c r="G18" s="25">
        <v>0.8</v>
      </c>
      <c r="H18" s="25">
        <v>0.82000000000000006</v>
      </c>
      <c r="I18" s="25">
        <v>0.84</v>
      </c>
      <c r="J18" s="25">
        <v>0.55000000000000004</v>
      </c>
      <c r="K18" s="25">
        <v>0.66999999999999993</v>
      </c>
      <c r="L18" s="25">
        <v>0.87</v>
      </c>
      <c r="M18" s="25">
        <v>0.90999999999999992</v>
      </c>
      <c r="N18" s="25">
        <v>0.97</v>
      </c>
    </row>
    <row r="19" spans="1:14" x14ac:dyDescent="0.3">
      <c r="A19" s="20" t="s">
        <v>73</v>
      </c>
      <c r="B19" s="21" t="s">
        <v>74</v>
      </c>
      <c r="C19" s="21" t="s">
        <v>46</v>
      </c>
      <c r="D19" s="22" t="s">
        <v>43</v>
      </c>
      <c r="E19" s="25">
        <v>0.35</v>
      </c>
      <c r="F19" s="25">
        <v>0.35</v>
      </c>
      <c r="G19" s="25">
        <v>0.35</v>
      </c>
      <c r="H19" s="25">
        <v>0.35</v>
      </c>
      <c r="I19" s="25">
        <v>0.43</v>
      </c>
      <c r="J19" s="25">
        <v>0.43</v>
      </c>
      <c r="K19" s="25">
        <v>0.43</v>
      </c>
      <c r="L19" s="25">
        <v>0.43</v>
      </c>
      <c r="M19" s="42">
        <v>0</v>
      </c>
      <c r="N19" s="43">
        <v>0</v>
      </c>
    </row>
    <row r="20" spans="1:14" x14ac:dyDescent="0.3">
      <c r="A20" s="20" t="s">
        <v>75</v>
      </c>
      <c r="B20" s="21" t="s">
        <v>76</v>
      </c>
      <c r="C20" s="21" t="s">
        <v>46</v>
      </c>
      <c r="D20" s="22" t="s">
        <v>43</v>
      </c>
      <c r="E20" s="43">
        <v>0</v>
      </c>
      <c r="F20" s="25">
        <v>0.46</v>
      </c>
      <c r="G20" s="25">
        <v>0.63500000000000001</v>
      </c>
      <c r="H20" s="25">
        <v>0.71</v>
      </c>
      <c r="I20" s="25">
        <v>1.03</v>
      </c>
      <c r="J20" s="25">
        <v>1.1299999999999999</v>
      </c>
      <c r="K20" s="25">
        <v>0.86699999999999999</v>
      </c>
      <c r="L20" s="25">
        <v>1.3620000000000001</v>
      </c>
      <c r="M20" s="25">
        <v>1.81</v>
      </c>
      <c r="N20" s="25">
        <v>2.4430000000000001</v>
      </c>
    </row>
    <row r="21" spans="1:14" x14ac:dyDescent="0.3">
      <c r="A21" s="20" t="s">
        <v>77</v>
      </c>
      <c r="B21" s="21" t="s">
        <v>78</v>
      </c>
      <c r="C21" s="21" t="s">
        <v>46</v>
      </c>
      <c r="D21" s="22" t="s">
        <v>43</v>
      </c>
      <c r="E21" s="25">
        <v>0.2</v>
      </c>
      <c r="F21" s="25">
        <v>0.255</v>
      </c>
      <c r="G21" s="25">
        <v>0.28000000000000003</v>
      </c>
      <c r="H21" s="25">
        <v>0.28499999999999998</v>
      </c>
      <c r="I21" s="25">
        <v>0.30299999999999999</v>
      </c>
      <c r="J21" s="42">
        <v>0</v>
      </c>
      <c r="K21" s="25">
        <v>0.53</v>
      </c>
      <c r="L21" s="25">
        <v>0.39</v>
      </c>
      <c r="M21" s="25">
        <v>0.49</v>
      </c>
      <c r="N21" s="25">
        <v>0.69</v>
      </c>
    </row>
    <row r="22" spans="1:14" x14ac:dyDescent="0.3">
      <c r="A22" s="20" t="s">
        <v>79</v>
      </c>
      <c r="B22" s="21" t="s">
        <v>80</v>
      </c>
      <c r="C22" s="21" t="s">
        <v>46</v>
      </c>
      <c r="D22" s="22" t="s">
        <v>43</v>
      </c>
      <c r="E22" s="25">
        <v>0.09</v>
      </c>
      <c r="F22" s="25">
        <v>0.09</v>
      </c>
      <c r="G22" s="25">
        <v>0.09</v>
      </c>
      <c r="H22" s="25">
        <v>9.5000000000000001E-2</v>
      </c>
      <c r="I22" s="25">
        <v>0.1</v>
      </c>
      <c r="J22" s="25">
        <v>0.1</v>
      </c>
      <c r="K22" s="25">
        <v>0.11</v>
      </c>
      <c r="L22" s="25">
        <v>0.12</v>
      </c>
      <c r="M22" s="25">
        <v>0.125</v>
      </c>
      <c r="N22" s="25">
        <v>0.14000000000000001</v>
      </c>
    </row>
    <row r="23" spans="1:14" x14ac:dyDescent="0.3">
      <c r="A23" s="20" t="s">
        <v>81</v>
      </c>
      <c r="B23" s="21" t="s">
        <v>82</v>
      </c>
      <c r="C23" s="21" t="s">
        <v>46</v>
      </c>
      <c r="D23" s="22" t="s">
        <v>43</v>
      </c>
      <c r="E23" s="43">
        <v>0</v>
      </c>
      <c r="F23" s="25">
        <v>9.4500000000000001E-2</v>
      </c>
      <c r="G23" s="25">
        <v>0.14699999999999999</v>
      </c>
      <c r="H23" s="25">
        <v>0.19</v>
      </c>
      <c r="I23" s="25">
        <v>0.21099999999999999</v>
      </c>
      <c r="J23" s="42">
        <v>0.72560000000000002</v>
      </c>
      <c r="K23" s="25">
        <v>0.3</v>
      </c>
      <c r="L23" s="25">
        <v>0.32250000000000001</v>
      </c>
      <c r="M23" s="25">
        <v>0.34670000000000001</v>
      </c>
      <c r="N23" s="25">
        <v>0.48</v>
      </c>
    </row>
    <row r="24" spans="1:14" x14ac:dyDescent="0.3">
      <c r="A24" s="20" t="s">
        <v>83</v>
      </c>
      <c r="B24" s="21" t="s">
        <v>84</v>
      </c>
      <c r="C24" s="21" t="s">
        <v>46</v>
      </c>
      <c r="D24" s="22" t="s">
        <v>43</v>
      </c>
      <c r="E24" s="25">
        <v>0.18</v>
      </c>
      <c r="F24" s="25">
        <v>0.19</v>
      </c>
      <c r="G24" s="25">
        <v>0.2</v>
      </c>
      <c r="H24" s="25">
        <v>0.21</v>
      </c>
      <c r="I24" s="25">
        <v>0.22</v>
      </c>
      <c r="J24" s="25">
        <v>0.25</v>
      </c>
      <c r="K24" s="25">
        <v>0.26</v>
      </c>
      <c r="L24" s="25">
        <v>0.28000000000000003</v>
      </c>
      <c r="M24" s="25">
        <v>0.3</v>
      </c>
      <c r="N24" s="25">
        <v>0.32</v>
      </c>
    </row>
    <row r="25" spans="1:14" x14ac:dyDescent="0.3">
      <c r="A25" s="20" t="s">
        <v>85</v>
      </c>
      <c r="B25" s="21" t="s">
        <v>86</v>
      </c>
      <c r="C25" s="21" t="s">
        <v>46</v>
      </c>
      <c r="D25" s="22" t="s">
        <v>43</v>
      </c>
      <c r="E25" s="25">
        <v>7.0000000000000007E-2</v>
      </c>
      <c r="F25" s="25">
        <v>0.14000000000000001</v>
      </c>
      <c r="G25" s="25">
        <v>0.17799999999999999</v>
      </c>
      <c r="H25" s="25">
        <v>0.20300000000000001</v>
      </c>
      <c r="I25" s="25">
        <v>0.19700000000000001</v>
      </c>
      <c r="J25" s="42">
        <v>0</v>
      </c>
      <c r="K25" s="25">
        <v>0.2074</v>
      </c>
      <c r="L25" s="25">
        <v>0.1527</v>
      </c>
      <c r="M25" s="25">
        <v>0.23409999999999997</v>
      </c>
      <c r="N25" s="25">
        <v>0.32200000000000001</v>
      </c>
    </row>
    <row r="26" spans="1:14" x14ac:dyDescent="0.3">
      <c r="A26" s="20" t="s">
        <v>87</v>
      </c>
      <c r="B26" s="21" t="s">
        <v>88</v>
      </c>
      <c r="C26" s="21" t="s">
        <v>46</v>
      </c>
      <c r="D26" s="22" t="s">
        <v>43</v>
      </c>
      <c r="E26" s="43">
        <v>0</v>
      </c>
      <c r="F26" s="43">
        <v>0</v>
      </c>
      <c r="G26" s="25">
        <v>0.2</v>
      </c>
      <c r="H26" s="25">
        <v>0.20799999999999999</v>
      </c>
      <c r="I26" s="25">
        <v>0.23400000000000001</v>
      </c>
      <c r="J26" s="25">
        <v>0.25600000000000001</v>
      </c>
      <c r="K26" s="25">
        <v>0.27700000000000002</v>
      </c>
      <c r="L26" s="25">
        <v>0.29499999999999998</v>
      </c>
      <c r="M26" s="25">
        <v>0.317</v>
      </c>
      <c r="N26" s="25">
        <v>0.35199999999999998</v>
      </c>
    </row>
    <row r="27" spans="1:14" x14ac:dyDescent="0.3">
      <c r="A27" s="20" t="s">
        <v>89</v>
      </c>
      <c r="B27" s="21" t="s">
        <v>90</v>
      </c>
      <c r="C27" s="21" t="s">
        <v>46</v>
      </c>
      <c r="D27" s="22" t="s">
        <v>43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25">
        <v>0.22</v>
      </c>
    </row>
    <row r="28" spans="1:14" x14ac:dyDescent="0.3">
      <c r="A28" s="20" t="s">
        <v>91</v>
      </c>
      <c r="B28" s="21" t="s">
        <v>92</v>
      </c>
      <c r="C28" s="21" t="s">
        <v>46</v>
      </c>
      <c r="D28" s="22" t="s">
        <v>43</v>
      </c>
      <c r="E28" s="43">
        <v>0</v>
      </c>
      <c r="F28" s="43">
        <v>0</v>
      </c>
      <c r="G28" s="25">
        <v>0.14000000000000001</v>
      </c>
      <c r="H28" s="25">
        <v>0.14000000000000001</v>
      </c>
      <c r="I28" s="25">
        <v>0.14000000000000001</v>
      </c>
      <c r="J28" s="25">
        <v>0.14000000000000001</v>
      </c>
      <c r="K28" s="42">
        <v>0</v>
      </c>
      <c r="L28" s="25">
        <v>0.14000000000000001</v>
      </c>
      <c r="M28" s="25">
        <v>0.14000000000000001</v>
      </c>
      <c r="N28" s="25">
        <v>0.28000000000000003</v>
      </c>
    </row>
    <row r="29" spans="1:14" x14ac:dyDescent="0.3">
      <c r="A29" s="20" t="s">
        <v>93</v>
      </c>
      <c r="B29" s="21" t="s">
        <v>94</v>
      </c>
      <c r="C29" s="21" t="s">
        <v>46</v>
      </c>
      <c r="D29" s="22" t="s">
        <v>43</v>
      </c>
      <c r="E29" s="25">
        <v>0.25</v>
      </c>
      <c r="F29" s="25">
        <v>0.27</v>
      </c>
      <c r="G29" s="25">
        <v>0.37</v>
      </c>
      <c r="H29" s="25">
        <v>0.47</v>
      </c>
      <c r="I29" s="25">
        <v>0.47</v>
      </c>
      <c r="J29" s="42">
        <v>0</v>
      </c>
      <c r="K29" s="25">
        <v>0.66</v>
      </c>
      <c r="L29" s="25">
        <v>0.75</v>
      </c>
      <c r="M29" s="25">
        <v>0.85</v>
      </c>
      <c r="N29" s="25">
        <v>1.07</v>
      </c>
    </row>
    <row r="30" spans="1:14" x14ac:dyDescent="0.3">
      <c r="A30" s="20" t="s">
        <v>95</v>
      </c>
      <c r="B30" s="21" t="s">
        <v>96</v>
      </c>
      <c r="C30" s="21" t="s">
        <v>46</v>
      </c>
      <c r="D30" s="22" t="s">
        <v>43</v>
      </c>
      <c r="E30" s="25">
        <v>0.12</v>
      </c>
      <c r="F30" s="25">
        <v>0.14000000000000001</v>
      </c>
      <c r="G30" s="25">
        <v>0.18</v>
      </c>
      <c r="H30" s="25">
        <v>0.28000000000000003</v>
      </c>
      <c r="I30" s="25">
        <v>0.4</v>
      </c>
      <c r="J30" s="42">
        <v>0</v>
      </c>
      <c r="K30" s="25">
        <v>0.45</v>
      </c>
      <c r="L30" s="25">
        <v>0.6</v>
      </c>
      <c r="M30" s="25">
        <v>1.1200000000000001</v>
      </c>
      <c r="N30" s="25">
        <v>1.1499999999999999</v>
      </c>
    </row>
    <row r="31" spans="1:14" x14ac:dyDescent="0.3">
      <c r="A31" s="20" t="s">
        <v>97</v>
      </c>
      <c r="B31" s="21" t="s">
        <v>98</v>
      </c>
      <c r="C31" s="21" t="s">
        <v>46</v>
      </c>
      <c r="D31" s="22" t="s">
        <v>43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</row>
    <row r="32" spans="1:14" x14ac:dyDescent="0.3">
      <c r="A32" s="20" t="s">
        <v>99</v>
      </c>
      <c r="B32" s="21" t="s">
        <v>100</v>
      </c>
      <c r="C32" s="21" t="s">
        <v>46</v>
      </c>
      <c r="D32" s="22" t="s">
        <v>43</v>
      </c>
      <c r="E32" s="43">
        <v>0</v>
      </c>
      <c r="F32" s="43">
        <v>0</v>
      </c>
      <c r="G32" s="43">
        <v>0</v>
      </c>
      <c r="H32" s="43">
        <v>0</v>
      </c>
      <c r="I32" s="25">
        <v>0.17699999999999999</v>
      </c>
      <c r="J32" s="42">
        <v>0</v>
      </c>
      <c r="K32" s="25">
        <v>0.08</v>
      </c>
      <c r="L32" s="25">
        <v>0.161</v>
      </c>
      <c r="M32" s="25">
        <v>0.218</v>
      </c>
      <c r="N32" s="25">
        <v>0.19800000000000001</v>
      </c>
    </row>
    <row r="33" spans="1:14" x14ac:dyDescent="0.3">
      <c r="A33" s="20" t="s">
        <v>101</v>
      </c>
      <c r="B33" s="21" t="s">
        <v>102</v>
      </c>
      <c r="C33" s="21" t="s">
        <v>46</v>
      </c>
      <c r="D33" s="22" t="s">
        <v>43</v>
      </c>
      <c r="E33" s="43">
        <v>0</v>
      </c>
      <c r="F33" s="25">
        <v>0.34</v>
      </c>
      <c r="G33" s="25">
        <v>0.39</v>
      </c>
      <c r="H33" s="25">
        <v>0.42</v>
      </c>
      <c r="I33" s="25">
        <v>0.59499999999999997</v>
      </c>
      <c r="J33" s="25">
        <v>0.47099999999999997</v>
      </c>
      <c r="K33" s="25">
        <v>0.50900000000000001</v>
      </c>
      <c r="L33" s="25">
        <v>0.61499999999999999</v>
      </c>
      <c r="M33" s="25">
        <v>0.67700000000000005</v>
      </c>
      <c r="N33" s="25">
        <v>0.89300000000000002</v>
      </c>
    </row>
    <row r="34" spans="1:14" x14ac:dyDescent="0.3">
      <c r="A34" s="20" t="s">
        <v>103</v>
      </c>
      <c r="B34" s="21" t="s">
        <v>104</v>
      </c>
      <c r="C34" s="21" t="s">
        <v>46</v>
      </c>
      <c r="D34" s="22" t="s">
        <v>43</v>
      </c>
      <c r="E34" s="25">
        <v>0.42</v>
      </c>
      <c r="F34" s="25">
        <v>0.40605000000000002</v>
      </c>
      <c r="G34" s="25">
        <v>0.41571999999999998</v>
      </c>
      <c r="H34" s="25">
        <v>0.41571999999999998</v>
      </c>
      <c r="I34" s="25">
        <v>0.43</v>
      </c>
      <c r="J34" s="25">
        <v>0.25</v>
      </c>
      <c r="K34" s="25">
        <v>0.5</v>
      </c>
      <c r="L34" s="25">
        <v>0.55000000000000004</v>
      </c>
      <c r="M34" s="25">
        <v>0.6</v>
      </c>
      <c r="N34" s="25">
        <v>0.7</v>
      </c>
    </row>
    <row r="35" spans="1:14" x14ac:dyDescent="0.3">
      <c r="A35" s="20" t="s">
        <v>105</v>
      </c>
      <c r="B35" s="21" t="s">
        <v>106</v>
      </c>
      <c r="C35" s="21" t="s">
        <v>46</v>
      </c>
      <c r="D35" s="22" t="s">
        <v>43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25">
        <v>2.5000000000000001E-3</v>
      </c>
      <c r="K35" s="42">
        <v>0</v>
      </c>
      <c r="L35" s="43">
        <v>0</v>
      </c>
      <c r="M35" s="43">
        <v>0</v>
      </c>
      <c r="N35" s="43">
        <v>0</v>
      </c>
    </row>
    <row r="36" spans="1:14" x14ac:dyDescent="0.3">
      <c r="A36" s="20" t="s">
        <v>107</v>
      </c>
      <c r="B36" s="21" t="s">
        <v>108</v>
      </c>
      <c r="C36" s="21" t="s">
        <v>46</v>
      </c>
      <c r="D36" s="22" t="s">
        <v>43</v>
      </c>
      <c r="E36" s="25">
        <v>0.25</v>
      </c>
      <c r="F36" s="25">
        <v>0.25</v>
      </c>
      <c r="G36" s="25">
        <v>0.21</v>
      </c>
      <c r="H36" s="25">
        <v>0.2155</v>
      </c>
      <c r="I36" s="25">
        <v>0.2263</v>
      </c>
      <c r="J36" s="25">
        <v>0.23760000000000001</v>
      </c>
      <c r="K36" s="25">
        <v>0.2495</v>
      </c>
      <c r="L36" s="25">
        <v>0.26200000000000001</v>
      </c>
      <c r="M36" s="25">
        <v>0.27510000000000001</v>
      </c>
      <c r="N36" s="25">
        <v>0.28199999999999997</v>
      </c>
    </row>
    <row r="37" spans="1:14" x14ac:dyDescent="0.3">
      <c r="A37" s="20" t="s">
        <v>109</v>
      </c>
      <c r="B37" s="21" t="s">
        <v>110</v>
      </c>
      <c r="C37" s="21" t="s">
        <v>46</v>
      </c>
      <c r="D37" s="22" t="s">
        <v>43</v>
      </c>
      <c r="E37" s="43">
        <v>0</v>
      </c>
      <c r="F37" s="25">
        <v>0.01</v>
      </c>
      <c r="G37" s="42">
        <v>0</v>
      </c>
      <c r="H37" s="43">
        <v>0</v>
      </c>
      <c r="I37" s="25">
        <v>1.9500000000000002</v>
      </c>
      <c r="J37" s="42">
        <v>0</v>
      </c>
      <c r="K37" s="25">
        <v>2.2566770000000003</v>
      </c>
      <c r="L37" s="25">
        <v>1.04</v>
      </c>
      <c r="M37" s="25">
        <v>1.34</v>
      </c>
      <c r="N37" s="25">
        <v>1.55</v>
      </c>
    </row>
    <row r="38" spans="1:14" x14ac:dyDescent="0.3">
      <c r="A38" s="20" t="s">
        <v>111</v>
      </c>
      <c r="B38" s="21" t="s">
        <v>112</v>
      </c>
      <c r="C38" s="21" t="s">
        <v>46</v>
      </c>
      <c r="D38" s="22" t="s">
        <v>43</v>
      </c>
      <c r="E38" s="25">
        <v>0.4</v>
      </c>
      <c r="F38" s="25">
        <v>0.28000000000000003</v>
      </c>
      <c r="G38" s="25">
        <v>0.23579579000000001</v>
      </c>
      <c r="H38" s="25">
        <v>0.24</v>
      </c>
      <c r="I38" s="25">
        <v>0.24</v>
      </c>
      <c r="J38" s="25">
        <v>0.186</v>
      </c>
      <c r="K38" s="25">
        <v>0.222</v>
      </c>
      <c r="L38" s="25">
        <v>0.23389609</v>
      </c>
      <c r="M38" s="25">
        <v>0.22300875000000001</v>
      </c>
      <c r="N38" s="25">
        <v>0.32087118999999997</v>
      </c>
    </row>
    <row r="39" spans="1:14" x14ac:dyDescent="0.3">
      <c r="A39" s="20" t="s">
        <v>113</v>
      </c>
      <c r="B39" s="21" t="s">
        <v>114</v>
      </c>
      <c r="C39" s="21" t="s">
        <v>46</v>
      </c>
      <c r="D39" s="22" t="s">
        <v>43</v>
      </c>
      <c r="E39" s="25">
        <v>0.44999999999999996</v>
      </c>
      <c r="F39" s="25">
        <v>0.43</v>
      </c>
      <c r="G39" s="25">
        <v>0.41000000000000003</v>
      </c>
      <c r="H39" s="25">
        <v>0.41000000000000003</v>
      </c>
      <c r="I39" s="25">
        <v>0.41000000000000003</v>
      </c>
      <c r="J39" s="42">
        <v>7.0000000000000007E-2</v>
      </c>
      <c r="K39" s="42">
        <v>0.27</v>
      </c>
      <c r="L39" s="25">
        <v>0.45000000000000007</v>
      </c>
      <c r="M39" s="25">
        <v>0.48000999999999999</v>
      </c>
      <c r="N39" s="25">
        <v>0.59555999999999998</v>
      </c>
    </row>
    <row r="40" spans="1:14" x14ac:dyDescent="0.3">
      <c r="A40" s="20" t="s">
        <v>115</v>
      </c>
      <c r="B40" s="21" t="s">
        <v>116</v>
      </c>
      <c r="C40" s="21" t="s">
        <v>46</v>
      </c>
      <c r="D40" s="22" t="s">
        <v>43</v>
      </c>
      <c r="E40" s="25">
        <v>0.2</v>
      </c>
      <c r="F40" s="25">
        <v>0.2021</v>
      </c>
      <c r="G40" s="25">
        <v>0.20816299999999999</v>
      </c>
      <c r="H40" s="25">
        <v>0.22444000000000003</v>
      </c>
      <c r="I40" s="25">
        <v>0.2387</v>
      </c>
      <c r="J40" s="25">
        <v>0.25619999999999998</v>
      </c>
      <c r="K40" s="25">
        <v>0.27679999999999999</v>
      </c>
      <c r="L40" s="25">
        <v>0.29899999999999999</v>
      </c>
      <c r="M40" s="25">
        <v>0.32290000000000002</v>
      </c>
      <c r="N40" s="25">
        <v>0.34420000000000001</v>
      </c>
    </row>
    <row r="41" spans="1:14" x14ac:dyDescent="0.3">
      <c r="A41" s="20" t="s">
        <v>117</v>
      </c>
      <c r="B41" s="21" t="s">
        <v>118</v>
      </c>
      <c r="C41" s="21" t="s">
        <v>46</v>
      </c>
      <c r="D41" s="22" t="s">
        <v>43</v>
      </c>
      <c r="E41" s="25">
        <v>0.11990000000000001</v>
      </c>
      <c r="F41" s="25">
        <v>0.11990000000000001</v>
      </c>
      <c r="G41" s="42">
        <v>0</v>
      </c>
      <c r="H41" s="25">
        <v>0.32</v>
      </c>
      <c r="I41" s="25">
        <v>0.27</v>
      </c>
      <c r="J41" s="42">
        <v>0</v>
      </c>
      <c r="K41" s="25">
        <v>0.12</v>
      </c>
      <c r="L41" s="42">
        <v>0.53800000000000003</v>
      </c>
      <c r="M41" s="25">
        <v>0.98719999999999997</v>
      </c>
      <c r="N41" s="25">
        <v>2.7290000000000001</v>
      </c>
    </row>
    <row r="42" spans="1:14" x14ac:dyDescent="0.3">
      <c r="A42" s="17" t="s">
        <v>119</v>
      </c>
      <c r="B42" s="18" t="s">
        <v>120</v>
      </c>
      <c r="C42" s="18" t="s">
        <v>46</v>
      </c>
      <c r="D42" s="19" t="s">
        <v>43</v>
      </c>
      <c r="E42" s="25">
        <v>0.17</v>
      </c>
      <c r="F42" s="25">
        <v>0.18</v>
      </c>
      <c r="G42" s="25">
        <v>0.18</v>
      </c>
      <c r="H42" s="25">
        <v>0.18</v>
      </c>
      <c r="I42" s="25">
        <v>0.18</v>
      </c>
      <c r="J42" s="42">
        <v>0</v>
      </c>
      <c r="K42" s="25">
        <v>0.56000000000000005</v>
      </c>
      <c r="L42" s="25">
        <v>0.3</v>
      </c>
      <c r="M42" s="25">
        <v>0.37</v>
      </c>
      <c r="N42" s="25">
        <v>0.38</v>
      </c>
    </row>
    <row r="43" spans="1:14" x14ac:dyDescent="0.3">
      <c r="A43" s="23" t="s">
        <v>121</v>
      </c>
      <c r="B43" s="24"/>
      <c r="C43" s="24"/>
      <c r="D43" s="24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1:14" x14ac:dyDescent="0.3">
      <c r="A44" s="20" t="s">
        <v>122</v>
      </c>
      <c r="B44" s="21" t="s">
        <v>123</v>
      </c>
      <c r="C44" s="21" t="s">
        <v>124</v>
      </c>
      <c r="D44" s="22" t="s">
        <v>121</v>
      </c>
      <c r="E44" s="25">
        <v>1.5</v>
      </c>
      <c r="F44" s="25">
        <v>1.6</v>
      </c>
      <c r="G44" s="25">
        <v>2</v>
      </c>
      <c r="H44" s="25">
        <v>2.6</v>
      </c>
      <c r="I44" s="25">
        <v>3.35</v>
      </c>
      <c r="J44" s="42">
        <v>0</v>
      </c>
      <c r="K44" s="25">
        <v>3</v>
      </c>
      <c r="L44" s="25">
        <v>3.3</v>
      </c>
      <c r="M44" s="25">
        <v>0.7</v>
      </c>
      <c r="N44" s="25">
        <v>0.7</v>
      </c>
    </row>
    <row r="45" spans="1:14" x14ac:dyDescent="0.3">
      <c r="A45" s="20" t="s">
        <v>125</v>
      </c>
      <c r="B45" s="21" t="s">
        <v>126</v>
      </c>
      <c r="C45" s="21" t="s">
        <v>124</v>
      </c>
      <c r="D45" s="22" t="s">
        <v>121</v>
      </c>
      <c r="E45" s="25">
        <v>1.2</v>
      </c>
      <c r="F45" s="42">
        <v>0</v>
      </c>
      <c r="G45" s="25">
        <v>1.35</v>
      </c>
      <c r="H45" s="25">
        <v>1.5</v>
      </c>
      <c r="I45" s="25">
        <v>1.65</v>
      </c>
      <c r="J45" s="42">
        <v>0</v>
      </c>
      <c r="K45" s="43">
        <v>0</v>
      </c>
      <c r="L45" s="25">
        <v>1.5</v>
      </c>
      <c r="M45" s="25">
        <v>1.8</v>
      </c>
      <c r="N45" s="25">
        <v>2.8</v>
      </c>
    </row>
    <row r="46" spans="1:14" x14ac:dyDescent="0.3">
      <c r="A46" s="20" t="s">
        <v>127</v>
      </c>
      <c r="B46" s="21" t="s">
        <v>128</v>
      </c>
      <c r="C46" s="21" t="s">
        <v>124</v>
      </c>
      <c r="D46" s="22" t="s">
        <v>121</v>
      </c>
      <c r="E46" s="25">
        <v>6.85</v>
      </c>
      <c r="F46" s="25">
        <v>7.3</v>
      </c>
      <c r="G46" s="25">
        <v>7.6</v>
      </c>
      <c r="H46" s="25">
        <v>8</v>
      </c>
      <c r="I46" s="25">
        <v>9</v>
      </c>
      <c r="J46" s="25">
        <v>9.6</v>
      </c>
      <c r="K46" s="25">
        <v>9.6</v>
      </c>
      <c r="L46" s="25">
        <v>10.8</v>
      </c>
      <c r="M46" s="25">
        <v>11.4</v>
      </c>
      <c r="N46" s="25">
        <v>13.8</v>
      </c>
    </row>
    <row r="47" spans="1:14" x14ac:dyDescent="0.3">
      <c r="A47" s="20" t="s">
        <v>129</v>
      </c>
      <c r="B47" s="21" t="s">
        <v>130</v>
      </c>
      <c r="C47" s="21" t="s">
        <v>124</v>
      </c>
      <c r="D47" s="22" t="s">
        <v>121</v>
      </c>
      <c r="E47" s="25">
        <v>2.8</v>
      </c>
      <c r="F47" s="25">
        <v>2.9</v>
      </c>
      <c r="G47" s="25">
        <v>3</v>
      </c>
      <c r="H47" s="25">
        <v>3.1</v>
      </c>
      <c r="I47" s="25">
        <v>3.2</v>
      </c>
      <c r="J47" s="25">
        <v>3.3</v>
      </c>
      <c r="K47" s="25">
        <v>3.3</v>
      </c>
      <c r="L47" s="25">
        <v>3.4</v>
      </c>
      <c r="M47" s="25">
        <v>3.4</v>
      </c>
      <c r="N47" s="25">
        <v>3.4</v>
      </c>
    </row>
    <row r="48" spans="1:14" x14ac:dyDescent="0.3">
      <c r="A48" s="20" t="s">
        <v>131</v>
      </c>
      <c r="B48" s="21" t="s">
        <v>132</v>
      </c>
      <c r="C48" s="21" t="s">
        <v>124</v>
      </c>
      <c r="D48" s="22" t="s">
        <v>121</v>
      </c>
      <c r="E48" s="25">
        <v>2.9</v>
      </c>
      <c r="F48" s="25">
        <v>3.2</v>
      </c>
      <c r="G48" s="25">
        <v>3.5</v>
      </c>
      <c r="H48" s="25">
        <v>4</v>
      </c>
      <c r="I48" s="25">
        <v>3.5</v>
      </c>
      <c r="J48" s="25">
        <v>2.5</v>
      </c>
      <c r="K48" s="25">
        <v>1.9</v>
      </c>
      <c r="L48" s="42">
        <v>5.8</v>
      </c>
      <c r="M48" s="25">
        <v>7.4026500000000004</v>
      </c>
      <c r="N48" s="25">
        <v>5.2253999999999996</v>
      </c>
    </row>
    <row r="49" spans="1:14" x14ac:dyDescent="0.3">
      <c r="A49" s="20" t="s">
        <v>133</v>
      </c>
      <c r="B49" s="21" t="s">
        <v>134</v>
      </c>
      <c r="C49" s="21" t="s">
        <v>124</v>
      </c>
      <c r="D49" s="22" t="s">
        <v>121</v>
      </c>
      <c r="E49" s="25">
        <v>2.25</v>
      </c>
      <c r="F49" s="25">
        <v>2.5</v>
      </c>
      <c r="G49" s="25">
        <v>2.7</v>
      </c>
      <c r="H49" s="25">
        <v>2.8</v>
      </c>
      <c r="I49" s="25">
        <v>2.8</v>
      </c>
      <c r="J49" s="25">
        <v>2.8</v>
      </c>
      <c r="K49" s="25">
        <v>2</v>
      </c>
      <c r="L49" s="25">
        <v>2</v>
      </c>
      <c r="M49" s="25">
        <v>2.4</v>
      </c>
      <c r="N49" s="42">
        <v>0.11</v>
      </c>
    </row>
    <row r="50" spans="1:14" x14ac:dyDescent="0.3">
      <c r="A50" s="20" t="s">
        <v>135</v>
      </c>
      <c r="B50" s="21" t="s">
        <v>136</v>
      </c>
      <c r="C50" s="21" t="s">
        <v>124</v>
      </c>
      <c r="D50" s="22" t="s">
        <v>121</v>
      </c>
      <c r="E50" s="25">
        <v>0.7</v>
      </c>
      <c r="F50" s="25">
        <v>0.7</v>
      </c>
      <c r="G50" s="25">
        <v>0.7</v>
      </c>
      <c r="H50" s="25">
        <v>0.7</v>
      </c>
      <c r="I50" s="25">
        <v>0.7</v>
      </c>
      <c r="J50" s="25">
        <v>0.7</v>
      </c>
      <c r="K50" s="25">
        <v>0.7</v>
      </c>
      <c r="L50" s="25">
        <v>0.7</v>
      </c>
      <c r="M50" s="25">
        <v>0.7</v>
      </c>
      <c r="N50" s="25">
        <v>1</v>
      </c>
    </row>
    <row r="51" spans="1:14" x14ac:dyDescent="0.3">
      <c r="A51" s="20" t="s">
        <v>137</v>
      </c>
      <c r="B51" s="21" t="s">
        <v>138</v>
      </c>
      <c r="C51" s="21" t="s">
        <v>124</v>
      </c>
      <c r="D51" s="22" t="s">
        <v>121</v>
      </c>
      <c r="E51" s="25">
        <v>0.9</v>
      </c>
      <c r="F51" s="25">
        <v>1</v>
      </c>
      <c r="G51" s="25">
        <v>1.05</v>
      </c>
      <c r="H51" s="25">
        <v>1.1000000000000001</v>
      </c>
      <c r="I51" s="25">
        <v>1.2</v>
      </c>
      <c r="J51" s="25">
        <v>1.25</v>
      </c>
      <c r="K51" s="25">
        <v>1.35</v>
      </c>
      <c r="L51" s="25">
        <v>1.45</v>
      </c>
      <c r="M51" s="25">
        <v>2</v>
      </c>
      <c r="N51" s="25">
        <v>2.1</v>
      </c>
    </row>
    <row r="52" spans="1:14" x14ac:dyDescent="0.3">
      <c r="A52" s="20" t="s">
        <v>139</v>
      </c>
      <c r="B52" s="21" t="s">
        <v>140</v>
      </c>
      <c r="C52" s="21" t="s">
        <v>124</v>
      </c>
      <c r="D52" s="22" t="s">
        <v>121</v>
      </c>
      <c r="E52" s="43">
        <v>0</v>
      </c>
      <c r="F52" s="25">
        <v>0.2</v>
      </c>
      <c r="G52" s="42">
        <v>0</v>
      </c>
      <c r="H52" s="43">
        <v>0</v>
      </c>
      <c r="I52" s="25">
        <v>0.2</v>
      </c>
      <c r="J52" s="42">
        <v>0</v>
      </c>
      <c r="K52" s="43">
        <v>0</v>
      </c>
      <c r="L52" s="43">
        <v>0</v>
      </c>
      <c r="M52" s="25">
        <v>0.17363999999999999</v>
      </c>
      <c r="N52" s="25">
        <v>0.30386999999999997</v>
      </c>
    </row>
    <row r="53" spans="1:14" x14ac:dyDescent="0.3">
      <c r="A53" s="20" t="s">
        <v>141</v>
      </c>
      <c r="B53" s="21" t="s">
        <v>142</v>
      </c>
      <c r="C53" s="21" t="s">
        <v>124</v>
      </c>
      <c r="D53" s="22" t="s">
        <v>121</v>
      </c>
      <c r="E53" s="25">
        <v>3.25</v>
      </c>
      <c r="F53" s="25">
        <v>3.75</v>
      </c>
      <c r="G53" s="25">
        <v>4.25</v>
      </c>
      <c r="H53" s="25">
        <v>4.5</v>
      </c>
      <c r="I53" s="25">
        <v>4.75</v>
      </c>
      <c r="J53" s="25">
        <v>3</v>
      </c>
      <c r="K53" s="42">
        <v>0</v>
      </c>
      <c r="L53" s="25">
        <v>2.2000000000000002</v>
      </c>
      <c r="M53" s="25">
        <v>1.5</v>
      </c>
      <c r="N53" s="25">
        <v>2.2000000000000002</v>
      </c>
    </row>
    <row r="54" spans="1:14" x14ac:dyDescent="0.3">
      <c r="A54" s="20" t="s">
        <v>143</v>
      </c>
      <c r="B54" s="21" t="s">
        <v>144</v>
      </c>
      <c r="C54" s="21" t="s">
        <v>124</v>
      </c>
      <c r="D54" s="22" t="s">
        <v>121</v>
      </c>
      <c r="E54" s="43">
        <v>0</v>
      </c>
      <c r="F54" s="25">
        <v>0.7</v>
      </c>
      <c r="G54" s="25">
        <v>1.35</v>
      </c>
      <c r="H54" s="25">
        <v>2.2000000000000002</v>
      </c>
      <c r="I54" s="25">
        <v>2.4</v>
      </c>
      <c r="J54" s="25">
        <v>1.2</v>
      </c>
      <c r="K54" s="25">
        <v>1.3</v>
      </c>
      <c r="L54" s="25">
        <v>3.4</v>
      </c>
      <c r="M54" s="42">
        <v>0</v>
      </c>
      <c r="N54" s="43">
        <v>0</v>
      </c>
    </row>
    <row r="55" spans="1:14" x14ac:dyDescent="0.3">
      <c r="A55" s="20" t="s">
        <v>145</v>
      </c>
      <c r="B55" s="21" t="s">
        <v>146</v>
      </c>
      <c r="C55" s="21" t="s">
        <v>124</v>
      </c>
      <c r="D55" s="22" t="s">
        <v>121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25">
        <v>1.3</v>
      </c>
      <c r="N55" s="25">
        <v>1.9</v>
      </c>
    </row>
    <row r="56" spans="1:14" x14ac:dyDescent="0.3">
      <c r="A56" s="20" t="s">
        <v>147</v>
      </c>
      <c r="B56" s="21" t="s">
        <v>148</v>
      </c>
      <c r="C56" s="21" t="s">
        <v>124</v>
      </c>
      <c r="D56" s="22" t="s">
        <v>121</v>
      </c>
      <c r="E56" s="25">
        <v>0.75</v>
      </c>
      <c r="F56" s="42">
        <v>0</v>
      </c>
      <c r="G56" s="25">
        <v>0.16364999999999999</v>
      </c>
      <c r="H56" s="25">
        <v>0.11</v>
      </c>
      <c r="I56" s="25">
        <v>0.11</v>
      </c>
      <c r="J56" s="42">
        <v>0</v>
      </c>
      <c r="K56" s="43">
        <v>0</v>
      </c>
      <c r="L56" s="25">
        <v>0.2</v>
      </c>
      <c r="M56" s="25">
        <v>0.25839000000000001</v>
      </c>
      <c r="N56" s="25">
        <v>0.38757999999999998</v>
      </c>
    </row>
    <row r="57" spans="1:14" x14ac:dyDescent="0.3">
      <c r="A57" s="20" t="s">
        <v>149</v>
      </c>
      <c r="B57" s="21" t="s">
        <v>150</v>
      </c>
      <c r="C57" s="21" t="s">
        <v>124</v>
      </c>
      <c r="D57" s="22" t="s">
        <v>121</v>
      </c>
      <c r="E57" s="25">
        <v>2.1</v>
      </c>
      <c r="F57" s="25">
        <v>2.25</v>
      </c>
      <c r="G57" s="25">
        <v>2.35</v>
      </c>
      <c r="H57" s="25">
        <v>2.4500000000000002</v>
      </c>
      <c r="I57" s="25">
        <v>2.7</v>
      </c>
      <c r="J57" s="25">
        <v>2.9</v>
      </c>
      <c r="K57" s="25">
        <v>3</v>
      </c>
      <c r="L57" s="25">
        <v>3.2</v>
      </c>
      <c r="M57" s="25">
        <v>3.6</v>
      </c>
      <c r="N57" s="25">
        <v>3.8</v>
      </c>
    </row>
    <row r="58" spans="1:14" x14ac:dyDescent="0.3">
      <c r="A58" s="20" t="s">
        <v>151</v>
      </c>
      <c r="B58" s="21" t="s">
        <v>152</v>
      </c>
      <c r="C58" s="21" t="s">
        <v>124</v>
      </c>
      <c r="D58" s="22" t="s">
        <v>121</v>
      </c>
      <c r="E58" s="43">
        <v>0</v>
      </c>
      <c r="F58" s="43">
        <v>0</v>
      </c>
      <c r="G58" s="25">
        <v>1.05</v>
      </c>
      <c r="H58" s="25">
        <v>1.1499999999999999</v>
      </c>
      <c r="I58" s="25">
        <v>1.1499999999999999</v>
      </c>
      <c r="J58" s="25">
        <v>1.1499999999999999</v>
      </c>
      <c r="K58" s="25">
        <v>1.35</v>
      </c>
      <c r="L58" s="25">
        <v>1.8</v>
      </c>
      <c r="M58" s="25">
        <v>1.85</v>
      </c>
      <c r="N58" s="25">
        <v>1.85</v>
      </c>
    </row>
    <row r="59" spans="1:14" x14ac:dyDescent="0.3">
      <c r="A59" s="20" t="s">
        <v>153</v>
      </c>
      <c r="B59" s="21" t="s">
        <v>154</v>
      </c>
      <c r="C59" s="21" t="s">
        <v>124</v>
      </c>
      <c r="D59" s="22" t="s">
        <v>121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25">
        <v>1.01</v>
      </c>
      <c r="N59" s="25">
        <v>2.31</v>
      </c>
    </row>
    <row r="60" spans="1:14" x14ac:dyDescent="0.3">
      <c r="A60" s="20" t="s">
        <v>155</v>
      </c>
      <c r="B60" s="21" t="s">
        <v>156</v>
      </c>
      <c r="C60" s="21" t="s">
        <v>124</v>
      </c>
      <c r="D60" s="22" t="s">
        <v>121</v>
      </c>
      <c r="E60" s="25">
        <v>0.5</v>
      </c>
      <c r="F60" s="25">
        <v>0.55000000000000004</v>
      </c>
      <c r="G60" s="25">
        <v>0.6</v>
      </c>
      <c r="H60" s="25">
        <v>0.65</v>
      </c>
      <c r="I60" s="25">
        <v>0.7</v>
      </c>
      <c r="J60" s="25">
        <v>0.6</v>
      </c>
      <c r="K60" s="25">
        <v>0.6</v>
      </c>
      <c r="L60" s="25">
        <v>0.64</v>
      </c>
      <c r="M60" s="25">
        <v>0.7</v>
      </c>
      <c r="N60" s="25">
        <v>0.77</v>
      </c>
    </row>
    <row r="61" spans="1:14" x14ac:dyDescent="0.3">
      <c r="A61" s="20" t="s">
        <v>157</v>
      </c>
      <c r="B61" s="21" t="s">
        <v>158</v>
      </c>
      <c r="C61" s="21" t="s">
        <v>124</v>
      </c>
      <c r="D61" s="22" t="s">
        <v>121</v>
      </c>
      <c r="E61" s="25">
        <v>0.5</v>
      </c>
      <c r="F61" s="25">
        <v>0.5</v>
      </c>
      <c r="G61" s="25">
        <v>0.21</v>
      </c>
      <c r="H61" s="25">
        <v>0.3</v>
      </c>
      <c r="I61" s="25">
        <v>0.43</v>
      </c>
      <c r="J61" s="25">
        <v>0.46</v>
      </c>
      <c r="K61" s="25">
        <v>0.47</v>
      </c>
      <c r="L61" s="25">
        <v>0.49</v>
      </c>
      <c r="M61" s="25">
        <v>0.51</v>
      </c>
      <c r="N61" s="25">
        <v>0.53</v>
      </c>
    </row>
    <row r="62" spans="1:14" x14ac:dyDescent="0.3">
      <c r="A62" s="20" t="s">
        <v>159</v>
      </c>
      <c r="B62" s="21" t="s">
        <v>160</v>
      </c>
      <c r="C62" s="21" t="s">
        <v>124</v>
      </c>
      <c r="D62" s="22" t="s">
        <v>121</v>
      </c>
      <c r="E62" s="25">
        <v>0.44</v>
      </c>
      <c r="F62" s="25">
        <v>0.55000000000000004</v>
      </c>
      <c r="G62" s="25">
        <v>0.62</v>
      </c>
      <c r="H62" s="25">
        <v>0.75</v>
      </c>
      <c r="I62" s="25">
        <v>0.8</v>
      </c>
      <c r="J62" s="25">
        <v>0.84</v>
      </c>
      <c r="K62" s="25">
        <v>0.88</v>
      </c>
      <c r="L62" s="25">
        <v>0.92</v>
      </c>
      <c r="M62" s="25">
        <v>0.92</v>
      </c>
      <c r="N62" s="42">
        <v>0</v>
      </c>
    </row>
    <row r="63" spans="1:14" x14ac:dyDescent="0.3">
      <c r="A63" s="20" t="s">
        <v>161</v>
      </c>
      <c r="B63" s="21" t="s">
        <v>162</v>
      </c>
      <c r="C63" s="21" t="s">
        <v>124</v>
      </c>
      <c r="D63" s="22" t="s">
        <v>121</v>
      </c>
      <c r="E63" s="25">
        <v>1.25</v>
      </c>
      <c r="F63" s="25">
        <v>1.5</v>
      </c>
      <c r="G63" s="42">
        <v>5</v>
      </c>
      <c r="H63" s="25">
        <v>5</v>
      </c>
      <c r="I63" s="25">
        <v>5.25</v>
      </c>
      <c r="J63" s="25">
        <v>5.5</v>
      </c>
      <c r="K63" s="25">
        <v>4.5</v>
      </c>
      <c r="L63" s="25">
        <v>5.75</v>
      </c>
      <c r="M63" s="25">
        <v>6</v>
      </c>
      <c r="N63" s="25">
        <v>7.2</v>
      </c>
    </row>
    <row r="64" spans="1:14" x14ac:dyDescent="0.3">
      <c r="A64" s="20" t="s">
        <v>163</v>
      </c>
      <c r="B64" s="21" t="s">
        <v>164</v>
      </c>
      <c r="C64" s="21" t="s">
        <v>124</v>
      </c>
      <c r="D64" s="22" t="s">
        <v>121</v>
      </c>
      <c r="E64" s="25">
        <v>0.75</v>
      </c>
      <c r="F64" s="25">
        <v>1.3</v>
      </c>
      <c r="G64" s="25">
        <v>1.6</v>
      </c>
      <c r="H64" s="25">
        <v>1.9</v>
      </c>
      <c r="I64" s="25">
        <v>2.1</v>
      </c>
      <c r="J64" s="25">
        <v>0.6</v>
      </c>
      <c r="K64" s="42">
        <v>2.2000000000000002</v>
      </c>
      <c r="L64" s="25">
        <v>2.4</v>
      </c>
      <c r="M64" s="25">
        <v>2.6</v>
      </c>
      <c r="N64" s="25">
        <v>3</v>
      </c>
    </row>
    <row r="65" spans="1:14" x14ac:dyDescent="0.3">
      <c r="A65" s="20" t="s">
        <v>165</v>
      </c>
      <c r="B65" s="21" t="s">
        <v>166</v>
      </c>
      <c r="C65" s="21" t="s">
        <v>124</v>
      </c>
      <c r="D65" s="22" t="s">
        <v>121</v>
      </c>
      <c r="E65" s="25">
        <v>1.31</v>
      </c>
      <c r="F65" s="25">
        <v>1.47</v>
      </c>
      <c r="G65" s="25">
        <v>1.62</v>
      </c>
      <c r="H65" s="25">
        <v>1.79</v>
      </c>
      <c r="I65" s="25">
        <v>1.85</v>
      </c>
      <c r="J65" s="25">
        <v>1.85</v>
      </c>
      <c r="K65" s="25">
        <v>1.85</v>
      </c>
      <c r="L65" s="25">
        <v>1.85</v>
      </c>
      <c r="M65" s="25">
        <v>1.85</v>
      </c>
      <c r="N65" s="25">
        <v>1.85</v>
      </c>
    </row>
    <row r="66" spans="1:14" x14ac:dyDescent="0.3">
      <c r="A66" s="20" t="s">
        <v>167</v>
      </c>
      <c r="B66" s="21" t="s">
        <v>168</v>
      </c>
      <c r="C66" s="21" t="s">
        <v>124</v>
      </c>
      <c r="D66" s="22" t="s">
        <v>121</v>
      </c>
      <c r="E66" s="25">
        <v>0.18</v>
      </c>
      <c r="F66" s="25">
        <v>0.2</v>
      </c>
      <c r="G66" s="25">
        <v>0.22</v>
      </c>
      <c r="H66" s="25">
        <v>0.25</v>
      </c>
      <c r="I66" s="25">
        <v>0.27</v>
      </c>
      <c r="J66" s="25">
        <v>0.27</v>
      </c>
      <c r="K66" s="25">
        <v>0.22</v>
      </c>
      <c r="L66" s="25">
        <v>0.27</v>
      </c>
      <c r="M66" s="25">
        <v>0.32</v>
      </c>
      <c r="N66" s="25">
        <v>0.35</v>
      </c>
    </row>
    <row r="67" spans="1:14" x14ac:dyDescent="0.3">
      <c r="A67" s="20" t="s">
        <v>169</v>
      </c>
      <c r="B67" s="21" t="s">
        <v>170</v>
      </c>
      <c r="C67" s="21" t="s">
        <v>124</v>
      </c>
      <c r="D67" s="22" t="s">
        <v>121</v>
      </c>
      <c r="E67" s="25">
        <v>2.4500000000000002</v>
      </c>
      <c r="F67" s="25">
        <v>3.25</v>
      </c>
      <c r="G67" s="25">
        <v>3.25</v>
      </c>
      <c r="H67" s="25">
        <v>3.65</v>
      </c>
      <c r="I67" s="25">
        <v>3.25</v>
      </c>
      <c r="J67" s="25">
        <v>0.9</v>
      </c>
      <c r="K67" s="25">
        <v>1.35</v>
      </c>
      <c r="L67" s="42">
        <v>5</v>
      </c>
      <c r="M67" s="25">
        <v>5.2</v>
      </c>
      <c r="N67" s="25">
        <v>5.3</v>
      </c>
    </row>
    <row r="68" spans="1:14" x14ac:dyDescent="0.3">
      <c r="A68" s="20" t="s">
        <v>171</v>
      </c>
      <c r="B68" s="21" t="s">
        <v>172</v>
      </c>
      <c r="C68" s="21" t="s">
        <v>124</v>
      </c>
      <c r="D68" s="22" t="s">
        <v>121</v>
      </c>
      <c r="E68" s="25">
        <v>1</v>
      </c>
      <c r="F68" s="25">
        <v>1.05</v>
      </c>
      <c r="G68" s="25">
        <v>1.2</v>
      </c>
      <c r="H68" s="25">
        <v>1.25</v>
      </c>
      <c r="I68" s="25">
        <v>1.25</v>
      </c>
      <c r="J68" s="25">
        <v>1.3</v>
      </c>
      <c r="K68" s="25">
        <v>1.4</v>
      </c>
      <c r="L68" s="25">
        <v>1.85</v>
      </c>
      <c r="M68" s="25">
        <v>2.2000000000000002</v>
      </c>
      <c r="N68" s="25">
        <v>2.2000000000000002</v>
      </c>
    </row>
    <row r="69" spans="1:14" x14ac:dyDescent="0.3">
      <c r="A69" s="20" t="s">
        <v>173</v>
      </c>
      <c r="B69" s="21" t="s">
        <v>174</v>
      </c>
      <c r="C69" s="21" t="s">
        <v>124</v>
      </c>
      <c r="D69" s="22" t="s">
        <v>121</v>
      </c>
      <c r="E69" s="25">
        <v>1.45</v>
      </c>
      <c r="F69" s="25">
        <v>1.7</v>
      </c>
      <c r="G69" s="25">
        <v>1.9</v>
      </c>
      <c r="H69" s="25">
        <v>2.2999999999999998</v>
      </c>
      <c r="I69" s="25">
        <v>2.85</v>
      </c>
      <c r="J69" s="42">
        <v>0.04</v>
      </c>
      <c r="K69" s="42">
        <v>1.25</v>
      </c>
      <c r="L69" s="25">
        <v>2.1</v>
      </c>
      <c r="M69" s="25">
        <v>3.2</v>
      </c>
      <c r="N69" s="25">
        <v>2</v>
      </c>
    </row>
    <row r="70" spans="1:14" x14ac:dyDescent="0.3">
      <c r="A70" s="20" t="s">
        <v>175</v>
      </c>
      <c r="B70" s="21" t="s">
        <v>176</v>
      </c>
      <c r="C70" s="21" t="s">
        <v>124</v>
      </c>
      <c r="D70" s="22" t="s">
        <v>121</v>
      </c>
      <c r="E70" s="25">
        <v>7.75</v>
      </c>
      <c r="F70" s="25">
        <v>8.25</v>
      </c>
      <c r="G70" s="25">
        <v>8.6</v>
      </c>
      <c r="H70" s="25">
        <v>8.6</v>
      </c>
      <c r="I70" s="25">
        <v>9.25</v>
      </c>
      <c r="J70" s="25">
        <v>9.8000000000000007</v>
      </c>
      <c r="K70" s="25">
        <v>9.8000000000000007</v>
      </c>
      <c r="L70" s="25">
        <v>11</v>
      </c>
      <c r="M70" s="25">
        <v>11.6</v>
      </c>
      <c r="N70" s="25">
        <v>15</v>
      </c>
    </row>
    <row r="71" spans="1:14" x14ac:dyDescent="0.3">
      <c r="A71" s="20" t="s">
        <v>177</v>
      </c>
      <c r="B71" s="21" t="s">
        <v>178</v>
      </c>
      <c r="C71" s="21" t="s">
        <v>124</v>
      </c>
      <c r="D71" s="22" t="s">
        <v>121</v>
      </c>
      <c r="E71" s="25">
        <v>2.0099999999999998</v>
      </c>
      <c r="F71" s="25">
        <v>1.01</v>
      </c>
      <c r="G71" s="25">
        <v>1.01</v>
      </c>
      <c r="H71" s="25">
        <v>1.76</v>
      </c>
      <c r="I71" s="25">
        <v>2.21</v>
      </c>
      <c r="J71" s="25">
        <v>2.21</v>
      </c>
      <c r="K71" s="25">
        <v>2.21</v>
      </c>
      <c r="L71" s="25">
        <v>2.56</v>
      </c>
      <c r="M71" s="25">
        <v>2.56</v>
      </c>
      <c r="N71" s="25">
        <v>2.56</v>
      </c>
    </row>
    <row r="72" spans="1:14" x14ac:dyDescent="0.3">
      <c r="A72" s="20" t="s">
        <v>179</v>
      </c>
      <c r="B72" s="21" t="s">
        <v>180</v>
      </c>
      <c r="C72" s="21" t="s">
        <v>124</v>
      </c>
      <c r="D72" s="22" t="s">
        <v>121</v>
      </c>
      <c r="E72" s="43">
        <v>0</v>
      </c>
      <c r="F72" s="43">
        <v>0</v>
      </c>
      <c r="G72" s="25">
        <v>1.08</v>
      </c>
      <c r="H72" s="42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25">
        <v>1.0962000000000001</v>
      </c>
    </row>
    <row r="73" spans="1:14" x14ac:dyDescent="0.3">
      <c r="A73" s="20" t="s">
        <v>181</v>
      </c>
      <c r="B73" s="21" t="s">
        <v>182</v>
      </c>
      <c r="C73" s="21" t="s">
        <v>124</v>
      </c>
      <c r="D73" s="22" t="s">
        <v>121</v>
      </c>
      <c r="E73" s="25">
        <v>0.3</v>
      </c>
      <c r="F73" s="42">
        <v>1.1000000000000001</v>
      </c>
      <c r="G73" s="25">
        <v>1.45</v>
      </c>
      <c r="H73" s="25">
        <v>1.7</v>
      </c>
      <c r="I73" s="25">
        <v>2.1</v>
      </c>
      <c r="J73" s="25">
        <v>2.4</v>
      </c>
      <c r="K73" s="25">
        <v>2</v>
      </c>
      <c r="L73" s="25">
        <v>3.3</v>
      </c>
      <c r="M73" s="25">
        <v>4.3</v>
      </c>
      <c r="N73" s="25">
        <v>5.7</v>
      </c>
    </row>
    <row r="74" spans="1:14" x14ac:dyDescent="0.3">
      <c r="A74" s="20" t="s">
        <v>183</v>
      </c>
      <c r="B74" s="21" t="s">
        <v>184</v>
      </c>
      <c r="C74" s="21" t="s">
        <v>124</v>
      </c>
      <c r="D74" s="22" t="s">
        <v>121</v>
      </c>
      <c r="E74" s="25">
        <v>1</v>
      </c>
      <c r="F74" s="42">
        <v>0.13</v>
      </c>
      <c r="G74" s="42">
        <v>0</v>
      </c>
      <c r="H74" s="25">
        <v>0.5</v>
      </c>
      <c r="I74" s="25">
        <v>0.7</v>
      </c>
      <c r="J74" s="25">
        <v>0.8</v>
      </c>
      <c r="K74" s="25">
        <v>0.85</v>
      </c>
      <c r="L74" s="25">
        <v>0.9</v>
      </c>
      <c r="M74" s="25">
        <v>0.9</v>
      </c>
      <c r="N74" s="25">
        <v>1</v>
      </c>
    </row>
    <row r="75" spans="1:14" x14ac:dyDescent="0.3">
      <c r="A75" s="20" t="s">
        <v>185</v>
      </c>
      <c r="B75" s="21" t="s">
        <v>186</v>
      </c>
      <c r="C75" s="21" t="s">
        <v>124</v>
      </c>
      <c r="D75" s="22" t="s">
        <v>121</v>
      </c>
      <c r="E75" s="25">
        <v>1.1000000000000001</v>
      </c>
      <c r="F75" s="25">
        <v>1.1499999999999999</v>
      </c>
      <c r="G75" s="25">
        <v>1.25</v>
      </c>
      <c r="H75" s="25">
        <v>1.4</v>
      </c>
      <c r="I75" s="25">
        <v>1.5</v>
      </c>
      <c r="J75" s="25">
        <v>1.58</v>
      </c>
      <c r="K75" s="25">
        <v>1.85</v>
      </c>
      <c r="L75" s="25">
        <v>2.4500000000000002</v>
      </c>
      <c r="M75" s="25">
        <v>2.0499999999999998</v>
      </c>
      <c r="N75" s="25">
        <v>2.2000000000000002</v>
      </c>
    </row>
    <row r="76" spans="1:14" x14ac:dyDescent="0.3">
      <c r="A76" s="20" t="s">
        <v>187</v>
      </c>
      <c r="B76" s="21" t="s">
        <v>188</v>
      </c>
      <c r="C76" s="21" t="s">
        <v>124</v>
      </c>
      <c r="D76" s="22" t="s">
        <v>121</v>
      </c>
      <c r="E76" s="25">
        <v>1.08</v>
      </c>
      <c r="F76" s="25">
        <v>1.52</v>
      </c>
      <c r="G76" s="25">
        <v>0.46</v>
      </c>
      <c r="H76" s="25">
        <v>0.51</v>
      </c>
      <c r="I76" s="25">
        <v>0.62</v>
      </c>
      <c r="J76" s="25">
        <v>0.36</v>
      </c>
      <c r="K76" s="25">
        <v>0.71</v>
      </c>
      <c r="L76" s="25">
        <v>1.26</v>
      </c>
      <c r="M76" s="25">
        <v>1.44</v>
      </c>
      <c r="N76" s="25">
        <v>0.74</v>
      </c>
    </row>
    <row r="77" spans="1:14" x14ac:dyDescent="0.3">
      <c r="A77" s="20" t="s">
        <v>189</v>
      </c>
      <c r="B77" s="21" t="s">
        <v>190</v>
      </c>
      <c r="C77" s="21" t="s">
        <v>124</v>
      </c>
      <c r="D77" s="22" t="s">
        <v>121</v>
      </c>
      <c r="E77" s="25">
        <v>3.3</v>
      </c>
      <c r="F77" s="25">
        <v>3.5</v>
      </c>
      <c r="G77" s="25">
        <v>3.6</v>
      </c>
      <c r="H77" s="25">
        <v>3.7</v>
      </c>
      <c r="I77" s="25">
        <v>3.8</v>
      </c>
      <c r="J77" s="25">
        <v>3.9</v>
      </c>
      <c r="K77" s="25">
        <v>3.5</v>
      </c>
      <c r="L77" s="25">
        <v>4</v>
      </c>
      <c r="M77" s="25">
        <v>4.25</v>
      </c>
      <c r="N77" s="25">
        <v>4.7</v>
      </c>
    </row>
    <row r="78" spans="1:14" x14ac:dyDescent="0.3">
      <c r="A78" s="20" t="s">
        <v>191</v>
      </c>
      <c r="B78" s="21" t="s">
        <v>192</v>
      </c>
      <c r="C78" s="21" t="s">
        <v>124</v>
      </c>
      <c r="D78" s="22" t="s">
        <v>121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25">
        <v>0.1</v>
      </c>
      <c r="M78" s="42">
        <v>0</v>
      </c>
      <c r="N78" s="43">
        <v>0</v>
      </c>
    </row>
    <row r="79" spans="1:14" x14ac:dyDescent="0.3">
      <c r="A79" s="20" t="s">
        <v>193</v>
      </c>
      <c r="B79" s="21" t="s">
        <v>194</v>
      </c>
      <c r="C79" s="21" t="s">
        <v>124</v>
      </c>
      <c r="D79" s="22" t="s">
        <v>121</v>
      </c>
      <c r="E79" s="43">
        <v>0</v>
      </c>
      <c r="F79" s="43">
        <v>0</v>
      </c>
      <c r="G79" s="43">
        <v>0</v>
      </c>
      <c r="H79" s="43">
        <v>0</v>
      </c>
      <c r="I79" s="25">
        <v>0.7</v>
      </c>
      <c r="J79" s="25">
        <v>0.8</v>
      </c>
      <c r="K79" s="25">
        <v>0.8</v>
      </c>
      <c r="L79" s="25">
        <v>0.85</v>
      </c>
      <c r="M79" s="25">
        <v>0.95</v>
      </c>
      <c r="N79" s="25">
        <v>0.95</v>
      </c>
    </row>
    <row r="80" spans="1:14" x14ac:dyDescent="0.3">
      <c r="A80" s="20" t="s">
        <v>195</v>
      </c>
      <c r="B80" s="21" t="s">
        <v>196</v>
      </c>
      <c r="C80" s="21" t="s">
        <v>124</v>
      </c>
      <c r="D80" s="22" t="s">
        <v>121</v>
      </c>
      <c r="E80" s="25">
        <v>0.75</v>
      </c>
      <c r="F80" s="25">
        <v>0.8</v>
      </c>
      <c r="G80" s="25">
        <v>0.85</v>
      </c>
      <c r="H80" s="25">
        <v>0.88</v>
      </c>
      <c r="I80" s="25">
        <v>0.9</v>
      </c>
      <c r="J80" s="25">
        <v>0.95</v>
      </c>
      <c r="K80" s="25">
        <v>0.97</v>
      </c>
      <c r="L80" s="25">
        <v>1.02</v>
      </c>
      <c r="M80" s="25">
        <v>1.05</v>
      </c>
      <c r="N80" s="25">
        <v>1.1000000000000001</v>
      </c>
    </row>
    <row r="81" spans="1:14" x14ac:dyDescent="0.3">
      <c r="A81" s="20" t="s">
        <v>197</v>
      </c>
      <c r="B81" s="21" t="s">
        <v>198</v>
      </c>
      <c r="C81" s="21" t="s">
        <v>124</v>
      </c>
      <c r="D81" s="22" t="s">
        <v>121</v>
      </c>
      <c r="E81" s="25">
        <v>4.8600000000000003</v>
      </c>
      <c r="F81" s="42">
        <v>0.17</v>
      </c>
      <c r="G81" s="42">
        <v>2.06</v>
      </c>
      <c r="H81" s="25">
        <v>3.96</v>
      </c>
      <c r="I81" s="25">
        <v>4.8600000000000003</v>
      </c>
      <c r="J81" s="25">
        <v>4.8600000000000003</v>
      </c>
      <c r="K81" s="25">
        <v>4.8600000000000003</v>
      </c>
      <c r="L81" s="42">
        <v>26.619999999999997</v>
      </c>
      <c r="M81" s="25">
        <v>8.76</v>
      </c>
      <c r="N81" s="25">
        <v>9.06</v>
      </c>
    </row>
    <row r="82" spans="1:14" x14ac:dyDescent="0.3">
      <c r="A82" s="20" t="s">
        <v>199</v>
      </c>
      <c r="B82" s="21" t="s">
        <v>200</v>
      </c>
      <c r="C82" s="21" t="s">
        <v>124</v>
      </c>
      <c r="D82" s="22" t="s">
        <v>121</v>
      </c>
      <c r="E82" s="25">
        <v>1.4699</v>
      </c>
      <c r="F82" s="25">
        <v>2.0123000000000002</v>
      </c>
      <c r="G82" s="25">
        <v>2.3976000000000002</v>
      </c>
      <c r="H82" s="25">
        <v>1.32</v>
      </c>
      <c r="I82" s="25">
        <v>1.44</v>
      </c>
      <c r="J82" s="25">
        <v>1.57</v>
      </c>
      <c r="K82" s="25">
        <v>1.69</v>
      </c>
      <c r="L82" s="25">
        <v>1.66</v>
      </c>
      <c r="M82" s="25">
        <v>0.85</v>
      </c>
      <c r="N82" s="25">
        <v>0.9</v>
      </c>
    </row>
    <row r="83" spans="1:14" x14ac:dyDescent="0.3">
      <c r="A83" s="17" t="s">
        <v>201</v>
      </c>
      <c r="B83" s="18" t="s">
        <v>202</v>
      </c>
      <c r="C83" s="18" t="s">
        <v>124</v>
      </c>
      <c r="D83" s="19" t="s">
        <v>121</v>
      </c>
      <c r="E83" s="25" t="s">
        <v>349</v>
      </c>
      <c r="F83" s="25" t="s">
        <v>349</v>
      </c>
      <c r="G83" s="25" t="s">
        <v>349</v>
      </c>
      <c r="H83" s="25" t="s">
        <v>349</v>
      </c>
      <c r="I83" s="25" t="s">
        <v>349</v>
      </c>
      <c r="J83" s="25" t="s">
        <v>349</v>
      </c>
      <c r="K83" s="25" t="s">
        <v>349</v>
      </c>
      <c r="L83" s="25" t="s">
        <v>349</v>
      </c>
      <c r="M83" s="25" t="s">
        <v>349</v>
      </c>
      <c r="N83" s="25" t="s">
        <v>349</v>
      </c>
    </row>
    <row r="84" spans="1:14" x14ac:dyDescent="0.3">
      <c r="A84" s="23" t="s">
        <v>203</v>
      </c>
      <c r="B84" s="24"/>
      <c r="C84" s="24"/>
      <c r="D84" s="24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x14ac:dyDescent="0.3">
      <c r="A85" s="20" t="s">
        <v>204</v>
      </c>
      <c r="B85" s="21" t="s">
        <v>205</v>
      </c>
      <c r="C85" s="21" t="s">
        <v>206</v>
      </c>
      <c r="D85" s="22" t="s">
        <v>203</v>
      </c>
      <c r="E85" s="25">
        <v>3.3</v>
      </c>
      <c r="F85" s="25">
        <v>3.6</v>
      </c>
      <c r="G85" s="25">
        <v>4.2</v>
      </c>
      <c r="H85" s="25">
        <v>5.4</v>
      </c>
      <c r="I85" s="25">
        <v>6.2</v>
      </c>
      <c r="J85" s="25">
        <v>4.5999999999999996</v>
      </c>
      <c r="K85" s="25">
        <v>7</v>
      </c>
      <c r="L85" s="25">
        <v>12</v>
      </c>
      <c r="M85" s="25">
        <v>12.5</v>
      </c>
      <c r="N85" s="25">
        <v>13</v>
      </c>
    </row>
    <row r="86" spans="1:14" x14ac:dyDescent="0.3">
      <c r="A86" s="20" t="s">
        <v>207</v>
      </c>
      <c r="B86" s="21" t="s">
        <v>208</v>
      </c>
      <c r="C86" s="21" t="s">
        <v>206</v>
      </c>
      <c r="D86" s="22" t="s">
        <v>203</v>
      </c>
      <c r="E86" s="25">
        <v>1.36</v>
      </c>
      <c r="F86" s="25">
        <v>2</v>
      </c>
      <c r="G86" s="25">
        <v>2.04</v>
      </c>
      <c r="H86" s="25">
        <v>2.2000000000000002</v>
      </c>
      <c r="I86" s="25">
        <v>2.35</v>
      </c>
      <c r="J86" s="25">
        <v>2.5499999999999998</v>
      </c>
      <c r="K86" s="25">
        <v>2.6</v>
      </c>
      <c r="L86" s="25">
        <v>2.9</v>
      </c>
      <c r="M86" s="25">
        <v>3.15</v>
      </c>
      <c r="N86" s="25">
        <v>3.5</v>
      </c>
    </row>
    <row r="87" spans="1:14" x14ac:dyDescent="0.3">
      <c r="A87" s="20" t="s">
        <v>209</v>
      </c>
      <c r="B87" s="21" t="s">
        <v>126</v>
      </c>
      <c r="C87" s="21" t="s">
        <v>206</v>
      </c>
      <c r="D87" s="22" t="s">
        <v>203</v>
      </c>
      <c r="E87" s="25">
        <v>1.2</v>
      </c>
      <c r="F87" s="25">
        <v>1.3</v>
      </c>
      <c r="G87" s="25">
        <v>1.35</v>
      </c>
      <c r="H87" s="25">
        <v>1.5</v>
      </c>
      <c r="I87" s="25">
        <v>1.65</v>
      </c>
      <c r="J87" s="42">
        <v>0</v>
      </c>
      <c r="K87" s="43">
        <v>0</v>
      </c>
      <c r="L87" s="25">
        <v>1.5</v>
      </c>
      <c r="M87" s="25">
        <v>1.8</v>
      </c>
      <c r="N87" s="25">
        <v>1.8</v>
      </c>
    </row>
    <row r="88" spans="1:14" x14ac:dyDescent="0.3">
      <c r="A88" s="20" t="s">
        <v>210</v>
      </c>
      <c r="B88" s="21" t="s">
        <v>211</v>
      </c>
      <c r="C88" s="21" t="s">
        <v>206</v>
      </c>
      <c r="D88" s="22" t="s">
        <v>203</v>
      </c>
      <c r="E88" s="25">
        <v>2.44</v>
      </c>
      <c r="F88" s="25">
        <v>2.44</v>
      </c>
      <c r="G88" s="25">
        <v>2.4699999999999998</v>
      </c>
      <c r="H88" s="25">
        <v>2.52</v>
      </c>
      <c r="I88" s="25">
        <v>1.94</v>
      </c>
      <c r="J88" s="25">
        <v>2.68</v>
      </c>
      <c r="K88" s="25">
        <v>2.64</v>
      </c>
      <c r="L88" s="25">
        <v>3.6700000000000004</v>
      </c>
      <c r="M88" s="25">
        <v>2.86</v>
      </c>
      <c r="N88" s="25">
        <v>3.0600000000000005</v>
      </c>
    </row>
    <row r="89" spans="1:14" x14ac:dyDescent="0.3">
      <c r="A89" s="20" t="s">
        <v>212</v>
      </c>
      <c r="B89" s="21" t="s">
        <v>213</v>
      </c>
      <c r="C89" s="21" t="s">
        <v>206</v>
      </c>
      <c r="D89" s="22" t="s">
        <v>203</v>
      </c>
      <c r="E89" s="25">
        <v>2.85</v>
      </c>
      <c r="F89" s="25">
        <v>2.93</v>
      </c>
      <c r="G89" s="25">
        <v>2.96</v>
      </c>
      <c r="H89" s="25">
        <v>3.03</v>
      </c>
      <c r="I89" s="25">
        <v>3.07</v>
      </c>
      <c r="J89" s="25">
        <v>3.15</v>
      </c>
      <c r="K89" s="25">
        <v>3.2</v>
      </c>
      <c r="L89" s="25">
        <v>3.33</v>
      </c>
      <c r="M89" s="25">
        <v>3.56</v>
      </c>
      <c r="N89" s="25">
        <v>3.76</v>
      </c>
    </row>
    <row r="90" spans="1:14" x14ac:dyDescent="0.3">
      <c r="A90" s="20" t="s">
        <v>214</v>
      </c>
      <c r="B90" s="21" t="s">
        <v>215</v>
      </c>
      <c r="C90" s="21" t="s">
        <v>206</v>
      </c>
      <c r="D90" s="22" t="s">
        <v>203</v>
      </c>
      <c r="E90" s="25">
        <v>1.24</v>
      </c>
      <c r="F90" s="25">
        <v>1.47</v>
      </c>
      <c r="G90" s="25">
        <v>0.83</v>
      </c>
      <c r="H90" s="25">
        <v>1.6</v>
      </c>
      <c r="I90" s="25">
        <v>1.82</v>
      </c>
      <c r="J90" s="42">
        <v>0</v>
      </c>
      <c r="K90" s="25">
        <v>0.43</v>
      </c>
      <c r="L90" s="25">
        <v>0.5</v>
      </c>
      <c r="M90" s="25">
        <v>1.35</v>
      </c>
      <c r="N90" s="25">
        <v>2.2000000000000002</v>
      </c>
    </row>
    <row r="91" spans="1:14" x14ac:dyDescent="0.3">
      <c r="A91" s="20" t="s">
        <v>216</v>
      </c>
      <c r="B91" s="21" t="s">
        <v>217</v>
      </c>
      <c r="C91" s="21" t="s">
        <v>206</v>
      </c>
      <c r="D91" s="22" t="s">
        <v>203</v>
      </c>
      <c r="E91" s="25">
        <v>2.5499999999999998</v>
      </c>
      <c r="F91" s="25">
        <v>2.6</v>
      </c>
      <c r="G91" s="25">
        <v>2.6</v>
      </c>
      <c r="H91" s="25">
        <v>2.65</v>
      </c>
      <c r="I91" s="25">
        <v>2.65</v>
      </c>
      <c r="J91" s="25">
        <v>2.7</v>
      </c>
      <c r="K91" s="25">
        <v>2.75</v>
      </c>
      <c r="L91" s="25">
        <v>2.9</v>
      </c>
      <c r="M91" s="25">
        <v>2.95</v>
      </c>
      <c r="N91" s="25">
        <v>3.2</v>
      </c>
    </row>
    <row r="92" spans="1:14" x14ac:dyDescent="0.3">
      <c r="A92" s="20" t="s">
        <v>218</v>
      </c>
      <c r="B92" s="21" t="s">
        <v>219</v>
      </c>
      <c r="C92" s="21" t="s">
        <v>206</v>
      </c>
      <c r="D92" s="22" t="s">
        <v>203</v>
      </c>
      <c r="E92" s="25">
        <v>5.4</v>
      </c>
      <c r="F92" s="25">
        <v>6.2</v>
      </c>
      <c r="G92" s="25">
        <v>6.6</v>
      </c>
      <c r="H92" s="25">
        <v>3.55</v>
      </c>
      <c r="I92" s="25">
        <v>3.85</v>
      </c>
      <c r="J92" s="25">
        <v>3.85</v>
      </c>
      <c r="K92" s="25">
        <v>4</v>
      </c>
      <c r="L92" s="25">
        <v>4.8</v>
      </c>
      <c r="M92" s="25">
        <v>6</v>
      </c>
      <c r="N92" s="25">
        <v>6.6</v>
      </c>
    </row>
    <row r="93" spans="1:14" x14ac:dyDescent="0.3">
      <c r="A93" s="20" t="s">
        <v>220</v>
      </c>
      <c r="B93" s="21" t="s">
        <v>221</v>
      </c>
      <c r="C93" s="21" t="s">
        <v>206</v>
      </c>
      <c r="D93" s="22" t="s">
        <v>203</v>
      </c>
      <c r="E93" s="25">
        <v>1.02</v>
      </c>
      <c r="F93" s="25">
        <v>1.1100000000000001</v>
      </c>
      <c r="G93" s="25">
        <v>1.5</v>
      </c>
      <c r="H93" s="25">
        <v>1.53</v>
      </c>
      <c r="I93" s="25">
        <v>2.04</v>
      </c>
      <c r="J93" s="25">
        <v>1.1499999999999999</v>
      </c>
      <c r="K93" s="25">
        <v>1.08</v>
      </c>
      <c r="L93" s="25">
        <v>2.5099999999999998</v>
      </c>
      <c r="M93" s="25">
        <v>3.3008000000000002</v>
      </c>
      <c r="N93" s="25">
        <v>3.95</v>
      </c>
    </row>
    <row r="94" spans="1:14" x14ac:dyDescent="0.3">
      <c r="A94" s="20" t="s">
        <v>222</v>
      </c>
      <c r="B94" s="21" t="s">
        <v>223</v>
      </c>
      <c r="C94" s="21" t="s">
        <v>206</v>
      </c>
      <c r="D94" s="22" t="s">
        <v>203</v>
      </c>
      <c r="E94" s="25">
        <v>1.5</v>
      </c>
      <c r="F94" s="25">
        <v>2.31</v>
      </c>
      <c r="G94" s="25">
        <v>2.7</v>
      </c>
      <c r="H94" s="25">
        <v>3.02</v>
      </c>
      <c r="I94" s="25">
        <v>3.02</v>
      </c>
      <c r="J94" s="42">
        <v>0</v>
      </c>
      <c r="K94" s="25">
        <v>2.66</v>
      </c>
      <c r="L94" s="25">
        <v>3.67</v>
      </c>
      <c r="M94" s="25">
        <v>3.9</v>
      </c>
      <c r="N94" s="25">
        <v>4.5999999999999996</v>
      </c>
    </row>
    <row r="95" spans="1:14" x14ac:dyDescent="0.3">
      <c r="A95" s="20" t="s">
        <v>224</v>
      </c>
      <c r="B95" s="21" t="s">
        <v>225</v>
      </c>
      <c r="C95" s="21" t="s">
        <v>206</v>
      </c>
      <c r="D95" s="22" t="s">
        <v>203</v>
      </c>
      <c r="E95" s="25">
        <v>0.95</v>
      </c>
      <c r="F95" s="25">
        <v>1.1000000000000001</v>
      </c>
      <c r="G95" s="25">
        <v>1.1599999999999999</v>
      </c>
      <c r="H95" s="25">
        <v>1.26</v>
      </c>
      <c r="I95" s="25">
        <v>1.34</v>
      </c>
      <c r="J95" s="25">
        <v>0.73</v>
      </c>
      <c r="K95" s="25">
        <v>1.43</v>
      </c>
      <c r="L95" s="25">
        <v>1.54</v>
      </c>
      <c r="M95" s="25">
        <v>1.7</v>
      </c>
      <c r="N95" s="25">
        <v>1.98</v>
      </c>
    </row>
    <row r="96" spans="1:14" x14ac:dyDescent="0.3">
      <c r="A96" s="20" t="s">
        <v>226</v>
      </c>
      <c r="B96" s="21" t="s">
        <v>227</v>
      </c>
      <c r="C96" s="21" t="s">
        <v>206</v>
      </c>
      <c r="D96" s="22" t="s">
        <v>203</v>
      </c>
      <c r="E96" s="25">
        <v>2.95</v>
      </c>
      <c r="F96" s="25">
        <v>3.35</v>
      </c>
      <c r="G96" s="25">
        <v>3.75</v>
      </c>
      <c r="H96" s="25">
        <v>9.1</v>
      </c>
      <c r="I96" s="25">
        <v>4.55</v>
      </c>
      <c r="J96" s="25">
        <v>4.55</v>
      </c>
      <c r="K96" s="25">
        <v>4.55</v>
      </c>
      <c r="L96" s="25">
        <v>8.3000000000000007</v>
      </c>
      <c r="M96" s="25">
        <v>13</v>
      </c>
      <c r="N96" s="25">
        <v>25</v>
      </c>
    </row>
    <row r="97" spans="1:14" x14ac:dyDescent="0.3">
      <c r="A97" s="20" t="s">
        <v>228</v>
      </c>
      <c r="B97" s="21" t="s">
        <v>229</v>
      </c>
      <c r="C97" s="21" t="s">
        <v>206</v>
      </c>
      <c r="D97" s="22" t="s">
        <v>203</v>
      </c>
      <c r="E97" s="25">
        <v>1.79</v>
      </c>
      <c r="F97" s="25">
        <v>1.9</v>
      </c>
      <c r="G97" s="25">
        <v>2.16</v>
      </c>
      <c r="H97" s="25">
        <v>2.5099999999999998</v>
      </c>
      <c r="I97" s="25">
        <v>2.71</v>
      </c>
      <c r="J97" s="25">
        <v>1.25</v>
      </c>
      <c r="K97" s="25">
        <v>2.69</v>
      </c>
      <c r="L97" s="25">
        <v>3.25</v>
      </c>
      <c r="M97" s="25">
        <v>4.05</v>
      </c>
      <c r="N97" s="25">
        <v>4.5</v>
      </c>
    </row>
    <row r="98" spans="1:14" x14ac:dyDescent="0.3">
      <c r="A98" s="20" t="s">
        <v>230</v>
      </c>
      <c r="B98" s="21" t="s">
        <v>231</v>
      </c>
      <c r="C98" s="21" t="s">
        <v>206</v>
      </c>
      <c r="D98" s="22" t="s">
        <v>203</v>
      </c>
      <c r="E98" s="25">
        <v>1.5</v>
      </c>
      <c r="F98" s="25">
        <v>1.6</v>
      </c>
      <c r="G98" s="25">
        <v>1.7</v>
      </c>
      <c r="H98" s="25">
        <v>1.9</v>
      </c>
      <c r="I98" s="25">
        <v>1.94</v>
      </c>
      <c r="J98" s="25">
        <v>2.1</v>
      </c>
      <c r="K98" s="25">
        <v>1.94</v>
      </c>
      <c r="L98" s="25">
        <v>1.94</v>
      </c>
      <c r="M98" s="25">
        <v>2</v>
      </c>
      <c r="N98" s="25">
        <v>2.1</v>
      </c>
    </row>
    <row r="99" spans="1:14" x14ac:dyDescent="0.3">
      <c r="A99" s="20" t="s">
        <v>232</v>
      </c>
      <c r="B99" s="21" t="s">
        <v>233</v>
      </c>
      <c r="C99" s="21" t="s">
        <v>206</v>
      </c>
      <c r="D99" s="22" t="s">
        <v>203</v>
      </c>
      <c r="E99" s="25">
        <v>1.2</v>
      </c>
      <c r="F99" s="25">
        <v>2</v>
      </c>
      <c r="G99" s="25">
        <v>2.2000000000000002</v>
      </c>
      <c r="H99" s="25">
        <v>2.2000000000000002</v>
      </c>
      <c r="I99" s="25">
        <v>2.2000000000000002</v>
      </c>
      <c r="J99" s="42">
        <v>0</v>
      </c>
      <c r="K99" s="25">
        <v>0.55000000000000004</v>
      </c>
      <c r="L99" s="25">
        <v>1.65</v>
      </c>
      <c r="M99" s="25">
        <v>1.7</v>
      </c>
      <c r="N99" s="25">
        <v>0.9</v>
      </c>
    </row>
    <row r="100" spans="1:14" x14ac:dyDescent="0.3">
      <c r="A100" s="20" t="s">
        <v>234</v>
      </c>
      <c r="B100" s="21" t="s">
        <v>235</v>
      </c>
      <c r="C100" s="21" t="s">
        <v>206</v>
      </c>
      <c r="D100" s="22" t="s">
        <v>203</v>
      </c>
      <c r="E100" s="25">
        <v>1</v>
      </c>
      <c r="F100" s="25">
        <v>1</v>
      </c>
      <c r="G100" s="25">
        <v>0.85</v>
      </c>
      <c r="H100" s="25">
        <v>0.72</v>
      </c>
      <c r="I100" s="25">
        <v>0.37</v>
      </c>
      <c r="J100" s="42">
        <v>0</v>
      </c>
      <c r="K100" s="25">
        <v>0.53</v>
      </c>
      <c r="L100" s="25">
        <v>0.85</v>
      </c>
      <c r="M100" s="25">
        <v>1.4</v>
      </c>
      <c r="N100" s="25">
        <v>1.43</v>
      </c>
    </row>
    <row r="101" spans="1:14" x14ac:dyDescent="0.3">
      <c r="A101" s="20" t="s">
        <v>236</v>
      </c>
      <c r="B101" s="21" t="s">
        <v>237</v>
      </c>
      <c r="C101" s="21" t="s">
        <v>206</v>
      </c>
      <c r="D101" s="22" t="s">
        <v>203</v>
      </c>
      <c r="E101" s="25">
        <v>0.62</v>
      </c>
      <c r="F101" s="25">
        <v>1.24</v>
      </c>
      <c r="G101" s="25">
        <v>1.26</v>
      </c>
      <c r="H101" s="25">
        <v>1.3</v>
      </c>
      <c r="I101" s="25">
        <v>1.33</v>
      </c>
      <c r="J101" s="42">
        <v>0</v>
      </c>
      <c r="K101" s="25">
        <v>1.33</v>
      </c>
      <c r="L101" s="25">
        <v>1.63</v>
      </c>
      <c r="M101" s="25">
        <v>2</v>
      </c>
      <c r="N101" s="25">
        <v>2.1</v>
      </c>
    </row>
    <row r="102" spans="1:14" x14ac:dyDescent="0.3">
      <c r="A102" s="20" t="s">
        <v>238</v>
      </c>
      <c r="B102" s="21" t="s">
        <v>239</v>
      </c>
      <c r="C102" s="21" t="s">
        <v>206</v>
      </c>
      <c r="D102" s="22" t="s">
        <v>203</v>
      </c>
      <c r="E102" s="25">
        <v>0.17</v>
      </c>
      <c r="F102" s="25">
        <v>0.42099999999999999</v>
      </c>
      <c r="G102" s="25">
        <v>0.79100000000000004</v>
      </c>
      <c r="H102" s="25">
        <v>1.26</v>
      </c>
      <c r="I102" s="25">
        <v>1.34</v>
      </c>
      <c r="J102" s="25">
        <v>1.34</v>
      </c>
      <c r="K102" s="25">
        <v>1.42</v>
      </c>
      <c r="L102" s="25">
        <v>1.65</v>
      </c>
      <c r="M102" s="25">
        <v>1.9</v>
      </c>
      <c r="N102" s="25">
        <v>2.09</v>
      </c>
    </row>
    <row r="103" spans="1:14" x14ac:dyDescent="0.3">
      <c r="A103" s="20" t="s">
        <v>240</v>
      </c>
      <c r="B103" s="21" t="s">
        <v>241</v>
      </c>
      <c r="C103" s="21" t="s">
        <v>206</v>
      </c>
      <c r="D103" s="22" t="s">
        <v>203</v>
      </c>
      <c r="E103" s="25">
        <v>0.60000000000000009</v>
      </c>
      <c r="F103" s="25">
        <v>0.60000000000000009</v>
      </c>
      <c r="G103" s="25">
        <v>0.65</v>
      </c>
      <c r="H103" s="25">
        <v>0.7</v>
      </c>
      <c r="I103" s="25">
        <v>0.7</v>
      </c>
      <c r="J103" s="25">
        <v>0.60000000000000009</v>
      </c>
      <c r="K103" s="25">
        <v>0.5</v>
      </c>
      <c r="L103" s="25">
        <v>0.7</v>
      </c>
      <c r="M103" s="25">
        <v>0.7</v>
      </c>
      <c r="N103" s="25">
        <v>0.72</v>
      </c>
    </row>
    <row r="104" spans="1:14" x14ac:dyDescent="0.3">
      <c r="A104" s="20" t="s">
        <v>242</v>
      </c>
      <c r="B104" s="21" t="s">
        <v>243</v>
      </c>
      <c r="C104" s="21" t="s">
        <v>206</v>
      </c>
      <c r="D104" s="22" t="s">
        <v>203</v>
      </c>
      <c r="E104" s="25">
        <v>4</v>
      </c>
      <c r="F104" s="25">
        <v>4</v>
      </c>
      <c r="G104" s="25">
        <v>4.5999999999999996</v>
      </c>
      <c r="H104" s="25">
        <v>6</v>
      </c>
      <c r="I104" s="25">
        <v>10.5</v>
      </c>
      <c r="J104" s="25">
        <v>8</v>
      </c>
      <c r="K104" s="25">
        <v>8</v>
      </c>
      <c r="L104" s="25">
        <v>12</v>
      </c>
      <c r="M104" s="25">
        <v>14</v>
      </c>
      <c r="N104" s="25">
        <v>14</v>
      </c>
    </row>
    <row r="105" spans="1:14" x14ac:dyDescent="0.3">
      <c r="A105" s="20" t="s">
        <v>244</v>
      </c>
      <c r="B105" s="21" t="s">
        <v>245</v>
      </c>
      <c r="C105" s="21" t="s">
        <v>206</v>
      </c>
      <c r="D105" s="22" t="s">
        <v>203</v>
      </c>
      <c r="E105" s="25">
        <v>1.2</v>
      </c>
      <c r="F105" s="25">
        <v>1.6</v>
      </c>
      <c r="G105" s="25">
        <v>1.85</v>
      </c>
      <c r="H105" s="25">
        <v>2</v>
      </c>
      <c r="I105" s="25">
        <v>2.12</v>
      </c>
      <c r="J105" s="25">
        <v>1.1499999999999999</v>
      </c>
      <c r="K105" s="25">
        <v>2</v>
      </c>
      <c r="L105" s="25">
        <v>2.4011630400000001</v>
      </c>
      <c r="M105" s="25">
        <v>2.9</v>
      </c>
      <c r="N105" s="25">
        <v>3.4</v>
      </c>
    </row>
    <row r="106" spans="1:14" x14ac:dyDescent="0.3">
      <c r="A106" s="20" t="s">
        <v>246</v>
      </c>
      <c r="B106" s="21" t="s">
        <v>247</v>
      </c>
      <c r="C106" s="21" t="s">
        <v>206</v>
      </c>
      <c r="D106" s="22" t="s">
        <v>203</v>
      </c>
      <c r="E106" s="25">
        <v>1.1299999999999999</v>
      </c>
      <c r="F106" s="25">
        <v>1.4100000000000001</v>
      </c>
      <c r="G106" s="25">
        <v>1.65</v>
      </c>
      <c r="H106" s="25">
        <v>1.8</v>
      </c>
      <c r="I106" s="25">
        <v>2.1800000000000002</v>
      </c>
      <c r="J106" s="42">
        <v>0.4</v>
      </c>
      <c r="K106" s="42">
        <v>1.96</v>
      </c>
      <c r="L106" s="25">
        <v>2.66</v>
      </c>
      <c r="M106" s="25">
        <v>3.04</v>
      </c>
      <c r="N106" s="25">
        <v>3.45</v>
      </c>
    </row>
    <row r="107" spans="1:14" x14ac:dyDescent="0.3">
      <c r="A107" s="20" t="s">
        <v>248</v>
      </c>
      <c r="B107" s="21" t="s">
        <v>249</v>
      </c>
      <c r="C107" s="21" t="s">
        <v>206</v>
      </c>
      <c r="D107" s="22" t="s">
        <v>203</v>
      </c>
      <c r="E107" s="25">
        <v>1.2</v>
      </c>
      <c r="F107" s="25">
        <v>1.35</v>
      </c>
      <c r="G107" s="25">
        <v>1.55</v>
      </c>
      <c r="H107" s="25">
        <v>1.7</v>
      </c>
      <c r="I107" s="25">
        <v>1.7</v>
      </c>
      <c r="J107" s="25">
        <v>1.35</v>
      </c>
      <c r="K107" s="25">
        <v>1.95</v>
      </c>
      <c r="L107" s="25">
        <v>2.4</v>
      </c>
      <c r="M107" s="25">
        <v>2.8001999999999998</v>
      </c>
      <c r="N107" s="25">
        <v>2.92944</v>
      </c>
    </row>
    <row r="108" spans="1:14" x14ac:dyDescent="0.3">
      <c r="A108" s="20" t="s">
        <v>250</v>
      </c>
      <c r="B108" s="21" t="s">
        <v>251</v>
      </c>
      <c r="C108" s="21" t="s">
        <v>206</v>
      </c>
      <c r="D108" s="22" t="s">
        <v>203</v>
      </c>
      <c r="E108" s="25">
        <v>2.5</v>
      </c>
      <c r="F108" s="25">
        <v>2.85</v>
      </c>
      <c r="G108" s="25">
        <v>3.25</v>
      </c>
      <c r="H108" s="25">
        <v>3.55</v>
      </c>
      <c r="I108" s="25">
        <v>3.7</v>
      </c>
      <c r="J108" s="25">
        <v>2</v>
      </c>
      <c r="K108" s="25">
        <v>2.2999999999999998</v>
      </c>
      <c r="L108" s="25">
        <v>4.5</v>
      </c>
      <c r="M108" s="25">
        <v>1.25</v>
      </c>
      <c r="N108" s="25">
        <v>1.35</v>
      </c>
    </row>
    <row r="109" spans="1:14" x14ac:dyDescent="0.3">
      <c r="A109" s="20" t="s">
        <v>252</v>
      </c>
      <c r="B109" s="21" t="s">
        <v>253</v>
      </c>
      <c r="C109" s="21" t="s">
        <v>206</v>
      </c>
      <c r="D109" s="22" t="s">
        <v>203</v>
      </c>
      <c r="E109" s="25">
        <v>0.7</v>
      </c>
      <c r="F109" s="25">
        <v>0.73</v>
      </c>
      <c r="G109" s="25">
        <v>0.8</v>
      </c>
      <c r="H109" s="25">
        <v>0.84</v>
      </c>
      <c r="I109" s="25">
        <v>0.92</v>
      </c>
      <c r="J109" s="25">
        <v>0.5</v>
      </c>
      <c r="K109" s="25">
        <v>0.7</v>
      </c>
      <c r="L109" s="25">
        <v>1</v>
      </c>
      <c r="M109" s="25">
        <v>1.1200000000000001</v>
      </c>
      <c r="N109" s="25">
        <v>1.25</v>
      </c>
    </row>
    <row r="110" spans="1:14" x14ac:dyDescent="0.3">
      <c r="A110" s="20" t="s">
        <v>254</v>
      </c>
      <c r="B110" s="21" t="s">
        <v>110</v>
      </c>
      <c r="C110" s="21" t="s">
        <v>206</v>
      </c>
      <c r="D110" s="22" t="s">
        <v>203</v>
      </c>
      <c r="E110" s="43">
        <v>0</v>
      </c>
      <c r="F110" s="43">
        <v>0</v>
      </c>
      <c r="G110" s="43">
        <v>0</v>
      </c>
      <c r="H110" s="43">
        <v>0</v>
      </c>
      <c r="I110" s="25">
        <v>1.9500000000000002</v>
      </c>
      <c r="J110" s="42">
        <v>0</v>
      </c>
      <c r="K110" s="25">
        <v>2.2566770000000003</v>
      </c>
      <c r="L110" s="25">
        <v>1.04</v>
      </c>
      <c r="M110" s="25">
        <v>1.34</v>
      </c>
      <c r="N110" s="25">
        <v>1.55</v>
      </c>
    </row>
    <row r="111" spans="1:14" x14ac:dyDescent="0.3">
      <c r="A111" s="20" t="s">
        <v>255</v>
      </c>
      <c r="B111" s="21" t="s">
        <v>256</v>
      </c>
      <c r="C111" s="21" t="s">
        <v>206</v>
      </c>
      <c r="D111" s="22" t="s">
        <v>203</v>
      </c>
      <c r="E111" s="25">
        <v>1.7999999999999998</v>
      </c>
      <c r="F111" s="25">
        <v>1.88</v>
      </c>
      <c r="G111" s="25">
        <v>2.02</v>
      </c>
      <c r="H111" s="25">
        <v>2.3600000000000003</v>
      </c>
      <c r="I111" s="25">
        <v>3.12</v>
      </c>
      <c r="J111" s="25">
        <v>2.66</v>
      </c>
      <c r="K111" s="25">
        <v>3.12</v>
      </c>
      <c r="L111" s="25">
        <v>4.12</v>
      </c>
      <c r="M111" s="25">
        <v>4.7</v>
      </c>
      <c r="N111" s="25">
        <v>4.7</v>
      </c>
    </row>
    <row r="112" spans="1:14" x14ac:dyDescent="0.3">
      <c r="A112" s="20" t="s">
        <v>257</v>
      </c>
      <c r="B112" s="21" t="s">
        <v>258</v>
      </c>
      <c r="C112" s="21" t="s">
        <v>206</v>
      </c>
      <c r="D112" s="22" t="s">
        <v>203</v>
      </c>
      <c r="E112" s="25">
        <v>0.43</v>
      </c>
      <c r="F112" s="25">
        <v>0.47</v>
      </c>
      <c r="G112" s="25">
        <v>0.53</v>
      </c>
      <c r="H112" s="25">
        <v>0.57999999999999996</v>
      </c>
      <c r="I112" s="25">
        <v>0.65</v>
      </c>
      <c r="J112" s="25">
        <v>0.7</v>
      </c>
      <c r="K112" s="25">
        <v>0.56000000000000005</v>
      </c>
      <c r="L112" s="25">
        <v>0.17</v>
      </c>
      <c r="M112" s="25">
        <v>0.21</v>
      </c>
      <c r="N112" s="25">
        <v>0.23</v>
      </c>
    </row>
    <row r="113" spans="1:14" x14ac:dyDescent="0.3">
      <c r="A113" s="20" t="s">
        <v>259</v>
      </c>
      <c r="B113" s="21" t="s">
        <v>260</v>
      </c>
      <c r="C113" s="21" t="s">
        <v>206</v>
      </c>
      <c r="D113" s="22" t="s">
        <v>203</v>
      </c>
      <c r="E113" s="25">
        <v>0.35</v>
      </c>
      <c r="F113" s="25">
        <v>0.6</v>
      </c>
      <c r="G113" s="25">
        <v>0.6</v>
      </c>
      <c r="H113" s="25">
        <v>0.63</v>
      </c>
      <c r="I113" s="25">
        <v>0.69</v>
      </c>
      <c r="J113" s="42">
        <v>0</v>
      </c>
      <c r="K113" s="25">
        <v>0.8</v>
      </c>
      <c r="L113" s="25">
        <v>1.05</v>
      </c>
      <c r="M113" s="25">
        <v>1.05</v>
      </c>
      <c r="N113" s="25">
        <v>1.05</v>
      </c>
    </row>
    <row r="114" spans="1:14" x14ac:dyDescent="0.3">
      <c r="A114" s="20" t="s">
        <v>261</v>
      </c>
      <c r="B114" s="21" t="s">
        <v>262</v>
      </c>
      <c r="C114" s="21" t="s">
        <v>206</v>
      </c>
      <c r="D114" s="22" t="s">
        <v>203</v>
      </c>
      <c r="E114" s="43">
        <v>0</v>
      </c>
      <c r="F114" s="43">
        <v>0</v>
      </c>
      <c r="G114" s="25">
        <v>10.199999999999999</v>
      </c>
      <c r="H114" s="25">
        <v>10.8</v>
      </c>
      <c r="I114" s="25">
        <v>10.8</v>
      </c>
      <c r="J114" s="25">
        <v>5.4</v>
      </c>
      <c r="K114" s="42">
        <v>0</v>
      </c>
      <c r="L114" s="43">
        <v>0</v>
      </c>
      <c r="M114" s="43">
        <v>0</v>
      </c>
      <c r="N114" s="25">
        <v>2.5</v>
      </c>
    </row>
    <row r="115" spans="1:14" x14ac:dyDescent="0.3">
      <c r="A115" s="20" t="s">
        <v>263</v>
      </c>
      <c r="B115" s="21" t="s">
        <v>264</v>
      </c>
      <c r="C115" s="21" t="s">
        <v>206</v>
      </c>
      <c r="D115" s="22" t="s">
        <v>203</v>
      </c>
      <c r="E115" s="25">
        <v>0.92</v>
      </c>
      <c r="F115" s="25">
        <v>1.2</v>
      </c>
      <c r="G115" s="25">
        <v>1.3</v>
      </c>
      <c r="H115" s="25">
        <v>1.85</v>
      </c>
      <c r="I115" s="25">
        <v>1.9</v>
      </c>
      <c r="J115" s="25">
        <v>2.4</v>
      </c>
      <c r="K115" s="25">
        <v>2.4</v>
      </c>
      <c r="L115" s="25">
        <v>3.3</v>
      </c>
      <c r="M115" s="25">
        <v>3.85</v>
      </c>
      <c r="N115" s="25">
        <v>3.85</v>
      </c>
    </row>
    <row r="116" spans="1:14" x14ac:dyDescent="0.3">
      <c r="A116" s="20" t="s">
        <v>265</v>
      </c>
      <c r="B116" s="21" t="s">
        <v>266</v>
      </c>
      <c r="C116" s="21" t="s">
        <v>206</v>
      </c>
      <c r="D116" s="22" t="s">
        <v>203</v>
      </c>
      <c r="E116" s="43">
        <v>0</v>
      </c>
      <c r="F116" s="43">
        <v>0</v>
      </c>
      <c r="G116" s="43">
        <v>0</v>
      </c>
      <c r="H116" s="25">
        <v>2.2999999999999998</v>
      </c>
      <c r="I116" s="25">
        <v>0.6</v>
      </c>
      <c r="J116" s="42">
        <v>0</v>
      </c>
      <c r="K116" s="43">
        <v>0</v>
      </c>
      <c r="L116" s="25">
        <v>2.5</v>
      </c>
      <c r="M116" s="25">
        <v>3.5</v>
      </c>
      <c r="N116" s="25">
        <v>1.5</v>
      </c>
    </row>
    <row r="117" spans="1:14" x14ac:dyDescent="0.3">
      <c r="A117" s="20" t="s">
        <v>267</v>
      </c>
      <c r="B117" s="21" t="s">
        <v>112</v>
      </c>
      <c r="C117" s="21" t="s">
        <v>206</v>
      </c>
      <c r="D117" s="22" t="s">
        <v>203</v>
      </c>
      <c r="E117" s="25">
        <v>0.4</v>
      </c>
      <c r="F117" s="25">
        <v>0.28000000000000003</v>
      </c>
      <c r="G117" s="25">
        <v>0.24</v>
      </c>
      <c r="H117" s="25">
        <v>0.24</v>
      </c>
      <c r="I117" s="25">
        <v>0.24</v>
      </c>
      <c r="J117" s="25">
        <v>0.186</v>
      </c>
      <c r="K117" s="25">
        <v>0.222</v>
      </c>
      <c r="L117" s="25">
        <v>0.24</v>
      </c>
      <c r="M117" s="25">
        <v>0.06</v>
      </c>
      <c r="N117" s="42">
        <v>0</v>
      </c>
    </row>
    <row r="118" spans="1:14" x14ac:dyDescent="0.3">
      <c r="A118" s="20" t="s">
        <v>269</v>
      </c>
      <c r="B118" s="21" t="s">
        <v>270</v>
      </c>
      <c r="C118" s="21" t="s">
        <v>206</v>
      </c>
      <c r="D118" s="22" t="s">
        <v>203</v>
      </c>
      <c r="E118" s="25">
        <v>1.9</v>
      </c>
      <c r="F118" s="25">
        <v>2.4</v>
      </c>
      <c r="G118" s="25">
        <v>3.15</v>
      </c>
      <c r="H118" s="25">
        <v>3.55</v>
      </c>
      <c r="I118" s="25">
        <v>3.55</v>
      </c>
      <c r="J118" s="42">
        <v>0</v>
      </c>
      <c r="K118" s="43">
        <v>0</v>
      </c>
      <c r="L118" s="43">
        <v>0</v>
      </c>
      <c r="M118" s="25">
        <v>0.25</v>
      </c>
      <c r="N118" s="42">
        <v>1.85</v>
      </c>
    </row>
    <row r="119" spans="1:14" x14ac:dyDescent="0.3">
      <c r="A119" s="20" t="s">
        <v>271</v>
      </c>
      <c r="B119" s="21" t="s">
        <v>272</v>
      </c>
      <c r="C119" s="21" t="s">
        <v>206</v>
      </c>
      <c r="D119" s="22" t="s">
        <v>203</v>
      </c>
      <c r="E119" s="25">
        <v>1.8</v>
      </c>
      <c r="F119" s="25">
        <v>2.2000000000000002</v>
      </c>
      <c r="G119" s="25">
        <v>2.4</v>
      </c>
      <c r="H119" s="25">
        <v>2.75</v>
      </c>
      <c r="I119" s="25">
        <v>2.75</v>
      </c>
      <c r="J119" s="25">
        <v>2.9</v>
      </c>
      <c r="K119" s="25">
        <v>2</v>
      </c>
      <c r="L119" s="25">
        <v>2.4</v>
      </c>
      <c r="M119" s="25">
        <v>3.1</v>
      </c>
      <c r="N119" s="25">
        <v>8.89</v>
      </c>
    </row>
    <row r="120" spans="1:14" x14ac:dyDescent="0.3">
      <c r="A120" s="20" t="s">
        <v>273</v>
      </c>
      <c r="B120" s="21" t="s">
        <v>274</v>
      </c>
      <c r="C120" s="21" t="s">
        <v>206</v>
      </c>
      <c r="D120" s="22" t="s">
        <v>203</v>
      </c>
      <c r="E120" s="25">
        <v>0.68</v>
      </c>
      <c r="F120" s="25">
        <v>0.7</v>
      </c>
      <c r="G120" s="25">
        <v>0.7</v>
      </c>
      <c r="H120" s="25">
        <v>0.46</v>
      </c>
      <c r="I120" s="25">
        <v>0.46</v>
      </c>
      <c r="J120" s="25">
        <v>0.23</v>
      </c>
      <c r="K120" s="25">
        <v>0.48</v>
      </c>
      <c r="L120" s="25">
        <v>0.52</v>
      </c>
      <c r="M120" s="25">
        <v>0.56000000000000005</v>
      </c>
      <c r="N120" s="25">
        <v>0.87</v>
      </c>
    </row>
    <row r="121" spans="1:14" x14ac:dyDescent="0.3">
      <c r="A121" s="20" t="s">
        <v>275</v>
      </c>
      <c r="B121" s="21" t="s">
        <v>276</v>
      </c>
      <c r="C121" s="21" t="s">
        <v>206</v>
      </c>
      <c r="D121" s="22" t="s">
        <v>203</v>
      </c>
      <c r="E121" s="25">
        <v>0.42</v>
      </c>
      <c r="F121" s="25">
        <v>0.42</v>
      </c>
      <c r="G121" s="25">
        <v>0.31</v>
      </c>
      <c r="H121" s="25">
        <v>0.85</v>
      </c>
      <c r="I121" s="25">
        <v>0.86</v>
      </c>
      <c r="J121" s="25">
        <v>0.7</v>
      </c>
      <c r="K121" s="25">
        <v>0.75</v>
      </c>
      <c r="L121" s="25">
        <v>0.9</v>
      </c>
      <c r="M121" s="25">
        <v>1</v>
      </c>
      <c r="N121" s="25">
        <v>1.1000000000000001</v>
      </c>
    </row>
    <row r="122" spans="1:14" x14ac:dyDescent="0.3">
      <c r="A122" s="17" t="s">
        <v>277</v>
      </c>
      <c r="B122" s="18" t="s">
        <v>278</v>
      </c>
      <c r="C122" s="18" t="s">
        <v>206</v>
      </c>
      <c r="D122" s="19" t="s">
        <v>203</v>
      </c>
      <c r="E122" s="25">
        <v>1</v>
      </c>
      <c r="F122" s="25">
        <v>1</v>
      </c>
      <c r="G122" s="25">
        <v>1</v>
      </c>
      <c r="H122" s="25">
        <v>0.34</v>
      </c>
      <c r="I122" s="25">
        <v>0.35</v>
      </c>
      <c r="J122" s="25">
        <v>0.19</v>
      </c>
      <c r="K122" s="42">
        <v>0.62</v>
      </c>
      <c r="L122" s="25">
        <v>0.85</v>
      </c>
      <c r="M122" s="25">
        <v>0.85</v>
      </c>
      <c r="N122" s="25">
        <v>0.85</v>
      </c>
    </row>
    <row r="123" spans="1:14" x14ac:dyDescent="0.3">
      <c r="A123" s="23" t="s">
        <v>279</v>
      </c>
      <c r="B123" s="24"/>
      <c r="C123" s="24"/>
      <c r="D123" s="24"/>
      <c r="E123" s="25"/>
      <c r="F123" s="25"/>
      <c r="G123" s="25"/>
      <c r="H123" s="25"/>
      <c r="I123" s="25"/>
      <c r="J123" s="25"/>
      <c r="K123" s="25"/>
      <c r="L123" s="25"/>
      <c r="M123" s="25"/>
      <c r="N123" s="25"/>
    </row>
    <row r="124" spans="1:14" x14ac:dyDescent="0.3">
      <c r="A124" s="20" t="s">
        <v>280</v>
      </c>
      <c r="B124" s="21" t="s">
        <v>281</v>
      </c>
      <c r="C124" s="21" t="s">
        <v>282</v>
      </c>
      <c r="D124" s="22" t="s">
        <v>279</v>
      </c>
      <c r="E124" s="43">
        <v>0</v>
      </c>
      <c r="F124" s="43">
        <v>0</v>
      </c>
      <c r="G124" s="25">
        <v>0.55079999999999996</v>
      </c>
      <c r="H124" s="25">
        <v>0.60750000000000004</v>
      </c>
      <c r="I124" s="25">
        <v>0.71279999999999999</v>
      </c>
      <c r="J124" s="25">
        <v>0.28349999999999997</v>
      </c>
      <c r="K124" s="25">
        <v>0.56699999999999995</v>
      </c>
      <c r="L124" s="25">
        <v>0.75329999999999997</v>
      </c>
      <c r="M124" s="25">
        <v>0.97199999999999998</v>
      </c>
      <c r="N124" s="25">
        <v>1.2474000000000001</v>
      </c>
    </row>
    <row r="125" spans="1:14" x14ac:dyDescent="0.3">
      <c r="A125" s="20" t="s">
        <v>283</v>
      </c>
      <c r="B125" s="21" t="s">
        <v>284</v>
      </c>
      <c r="C125" s="21" t="s">
        <v>282</v>
      </c>
      <c r="D125" s="22" t="s">
        <v>279</v>
      </c>
      <c r="E125" s="25">
        <v>0.39125799999999999</v>
      </c>
      <c r="F125" s="25">
        <v>0.18425800000000001</v>
      </c>
      <c r="G125" s="25">
        <v>0.16999999999999998</v>
      </c>
      <c r="H125" s="25">
        <v>0.17810000000000001</v>
      </c>
      <c r="I125" s="25">
        <v>0.1862</v>
      </c>
      <c r="J125" s="42">
        <v>0</v>
      </c>
      <c r="K125" s="25">
        <v>6.6784999999999997E-2</v>
      </c>
      <c r="L125" s="25">
        <v>8.8938000000000003E-2</v>
      </c>
      <c r="M125" s="25">
        <v>0.113805</v>
      </c>
      <c r="N125" s="25">
        <v>0.15795000000000001</v>
      </c>
    </row>
    <row r="126" spans="1:14" x14ac:dyDescent="0.3">
      <c r="A126" s="20" t="s">
        <v>285</v>
      </c>
      <c r="B126" s="21" t="s">
        <v>286</v>
      </c>
      <c r="C126" s="21" t="s">
        <v>282</v>
      </c>
      <c r="D126" s="22" t="s">
        <v>279</v>
      </c>
      <c r="E126" s="25">
        <v>0.39460000000000001</v>
      </c>
      <c r="F126" s="25">
        <v>0.48630000000000001</v>
      </c>
      <c r="G126" s="25">
        <v>0.54010000000000002</v>
      </c>
      <c r="H126" s="25">
        <v>0.32600000000000001</v>
      </c>
      <c r="I126" s="25">
        <v>0.35099999999999998</v>
      </c>
      <c r="J126" s="25">
        <v>0.4</v>
      </c>
      <c r="K126" s="25">
        <v>0.42200000000000004</v>
      </c>
      <c r="L126" s="25">
        <v>0.44900000000000007</v>
      </c>
      <c r="M126" s="25">
        <v>0.45779700000000001</v>
      </c>
      <c r="N126" s="25">
        <v>0.48289700000000002</v>
      </c>
    </row>
    <row r="127" spans="1:14" x14ac:dyDescent="0.3">
      <c r="A127" s="20" t="s">
        <v>287</v>
      </c>
      <c r="B127" s="21" t="s">
        <v>288</v>
      </c>
      <c r="C127" s="21" t="s">
        <v>282</v>
      </c>
      <c r="D127" s="22" t="s">
        <v>279</v>
      </c>
      <c r="E127" s="25">
        <v>0.29000000000000004</v>
      </c>
      <c r="F127" s="25">
        <v>0.36900000000000005</v>
      </c>
      <c r="G127" s="25">
        <v>0.30099999999999999</v>
      </c>
      <c r="H127" s="25">
        <v>0.25</v>
      </c>
      <c r="I127" s="25">
        <v>0.26</v>
      </c>
      <c r="J127" s="25">
        <v>0.16</v>
      </c>
      <c r="K127" s="25">
        <v>0.13900000000000001</v>
      </c>
      <c r="L127" s="25">
        <v>0.35</v>
      </c>
      <c r="M127" s="25">
        <v>0.47</v>
      </c>
      <c r="N127" s="25">
        <v>0.67999999999999994</v>
      </c>
    </row>
    <row r="128" spans="1:14" x14ac:dyDescent="0.3">
      <c r="A128" s="20" t="s">
        <v>289</v>
      </c>
      <c r="B128" s="21" t="s">
        <v>290</v>
      </c>
      <c r="C128" s="21" t="s">
        <v>282</v>
      </c>
      <c r="D128" s="22" t="s">
        <v>279</v>
      </c>
      <c r="E128" s="25">
        <v>0.60563999999999996</v>
      </c>
      <c r="F128" s="25">
        <v>0.80624000000000007</v>
      </c>
      <c r="G128" s="25">
        <v>0.32400000000000001</v>
      </c>
      <c r="H128" s="25">
        <v>0.32400000000000001</v>
      </c>
      <c r="I128" s="25">
        <v>0.32400000000000001</v>
      </c>
      <c r="J128" s="25">
        <v>0.31347000000000003</v>
      </c>
      <c r="K128" s="25">
        <v>0.28026000000000001</v>
      </c>
      <c r="L128" s="25">
        <v>0.24137999999999998</v>
      </c>
      <c r="M128" s="25">
        <v>0.24299999999999999</v>
      </c>
      <c r="N128" s="25">
        <v>0.24299999999999999</v>
      </c>
    </row>
    <row r="129" spans="1:14" x14ac:dyDescent="0.3">
      <c r="A129" s="20" t="s">
        <v>291</v>
      </c>
      <c r="B129" s="21" t="s">
        <v>292</v>
      </c>
      <c r="C129" s="21" t="s">
        <v>282</v>
      </c>
      <c r="D129" s="22" t="s">
        <v>279</v>
      </c>
      <c r="E129" s="25">
        <v>0.70199999999999996</v>
      </c>
      <c r="F129" s="25">
        <v>0.71899999999999997</v>
      </c>
      <c r="G129" s="25">
        <v>0.71900000000000008</v>
      </c>
      <c r="H129" s="25">
        <v>0.72099999999999997</v>
      </c>
      <c r="I129" s="25">
        <v>0.71899999999999997</v>
      </c>
      <c r="J129" s="25">
        <v>0.51200000000000001</v>
      </c>
      <c r="K129" s="25">
        <v>0.502</v>
      </c>
      <c r="L129" s="25">
        <v>0.69199999999999995</v>
      </c>
      <c r="M129" s="25">
        <v>0.67159999999999997</v>
      </c>
      <c r="N129" s="25">
        <v>0.76300000000000001</v>
      </c>
    </row>
    <row r="130" spans="1:14" x14ac:dyDescent="0.3">
      <c r="A130" s="20" t="s">
        <v>293</v>
      </c>
      <c r="B130" s="21" t="s">
        <v>294</v>
      </c>
      <c r="C130" s="21" t="s">
        <v>282</v>
      </c>
      <c r="D130" s="22" t="s">
        <v>279</v>
      </c>
      <c r="E130" s="25">
        <v>0.32</v>
      </c>
      <c r="F130" s="25">
        <v>0.15000000000000002</v>
      </c>
      <c r="G130" s="25">
        <v>0.13</v>
      </c>
      <c r="H130" s="25">
        <v>0.15000000000000002</v>
      </c>
      <c r="I130" s="25">
        <v>0.1</v>
      </c>
      <c r="J130" s="25">
        <v>7.0000000000000007E-2</v>
      </c>
      <c r="K130" s="25">
        <v>2.6800000000000001E-2</v>
      </c>
      <c r="L130" s="42">
        <v>0.14630000000000001</v>
      </c>
      <c r="M130" s="25">
        <v>0.2306</v>
      </c>
      <c r="N130" s="25">
        <v>0.54069999999999996</v>
      </c>
    </row>
    <row r="131" spans="1:14" x14ac:dyDescent="0.3">
      <c r="A131" s="20" t="s">
        <v>295</v>
      </c>
      <c r="B131" s="21" t="s">
        <v>296</v>
      </c>
      <c r="C131" s="21" t="s">
        <v>282</v>
      </c>
      <c r="D131" s="22" t="s">
        <v>279</v>
      </c>
      <c r="E131" s="25">
        <v>0.7</v>
      </c>
      <c r="F131" s="25">
        <v>0.77500000000000002</v>
      </c>
      <c r="G131" s="25">
        <v>0.94000000000000006</v>
      </c>
      <c r="H131" s="25">
        <v>1.135</v>
      </c>
      <c r="I131" s="25">
        <v>1.175</v>
      </c>
      <c r="J131" s="25">
        <v>0.56000000000000005</v>
      </c>
      <c r="K131" s="42">
        <v>0</v>
      </c>
      <c r="L131" s="43">
        <v>0</v>
      </c>
      <c r="M131" s="25">
        <v>0.74</v>
      </c>
      <c r="N131" s="25">
        <v>1.24</v>
      </c>
    </row>
    <row r="132" spans="1:14" x14ac:dyDescent="0.3">
      <c r="A132" s="20" t="s">
        <v>297</v>
      </c>
      <c r="B132" s="21" t="s">
        <v>298</v>
      </c>
      <c r="C132" s="21" t="s">
        <v>282</v>
      </c>
      <c r="D132" s="22" t="s">
        <v>279</v>
      </c>
      <c r="E132" s="25">
        <v>1.9</v>
      </c>
      <c r="F132" s="25">
        <v>1.254</v>
      </c>
      <c r="G132" s="25">
        <v>1.24</v>
      </c>
      <c r="H132" s="25">
        <v>0.89599999999999991</v>
      </c>
      <c r="I132" s="25">
        <v>0.92900000000000005</v>
      </c>
      <c r="J132" s="25">
        <v>0.78</v>
      </c>
      <c r="K132" s="25">
        <v>0.3</v>
      </c>
      <c r="L132" s="25">
        <v>0.63</v>
      </c>
      <c r="M132" s="25">
        <v>0.7</v>
      </c>
      <c r="N132" s="25">
        <v>0.9</v>
      </c>
    </row>
    <row r="133" spans="1:14" x14ac:dyDescent="0.3">
      <c r="A133" s="20" t="s">
        <v>299</v>
      </c>
      <c r="B133" s="21" t="s">
        <v>300</v>
      </c>
      <c r="C133" s="21" t="s">
        <v>282</v>
      </c>
      <c r="D133" s="22" t="s">
        <v>279</v>
      </c>
      <c r="E133" s="43">
        <v>0</v>
      </c>
      <c r="F133" s="25">
        <v>2.71</v>
      </c>
      <c r="G133" s="25">
        <v>3.83</v>
      </c>
      <c r="H133" s="25">
        <v>6.5</v>
      </c>
      <c r="I133" s="25">
        <v>6.93</v>
      </c>
      <c r="J133" s="42">
        <v>0</v>
      </c>
      <c r="K133" s="43">
        <v>0</v>
      </c>
      <c r="L133" s="43">
        <v>0</v>
      </c>
      <c r="M133" s="25">
        <v>4.75</v>
      </c>
      <c r="N133" s="25">
        <v>7.66</v>
      </c>
    </row>
    <row r="134" spans="1:14" x14ac:dyDescent="0.3">
      <c r="A134" s="20" t="s">
        <v>301</v>
      </c>
      <c r="B134" s="21" t="s">
        <v>302</v>
      </c>
      <c r="C134" s="21" t="s">
        <v>282</v>
      </c>
      <c r="D134" s="22" t="s">
        <v>279</v>
      </c>
      <c r="E134" s="25">
        <v>1.3080000000000001</v>
      </c>
      <c r="F134" s="25">
        <v>1.3480000000000001</v>
      </c>
      <c r="G134" s="25">
        <v>1.4179999999999999</v>
      </c>
      <c r="H134" s="25">
        <v>1.488</v>
      </c>
      <c r="I134" s="25">
        <v>1.5580000000000001</v>
      </c>
      <c r="J134" s="25">
        <v>1.6024</v>
      </c>
      <c r="K134" s="25">
        <v>1.6880000000000002</v>
      </c>
      <c r="L134" s="25">
        <v>1.708</v>
      </c>
      <c r="M134" s="25">
        <v>1.728</v>
      </c>
      <c r="N134" s="25">
        <v>1.444</v>
      </c>
    </row>
    <row r="135" spans="1:14" x14ac:dyDescent="0.3">
      <c r="A135" s="20" t="s">
        <v>303</v>
      </c>
      <c r="B135" s="21" t="s">
        <v>304</v>
      </c>
      <c r="C135" s="21" t="s">
        <v>282</v>
      </c>
      <c r="D135" s="22" t="s">
        <v>279</v>
      </c>
      <c r="E135" s="25">
        <v>3</v>
      </c>
      <c r="F135" s="25">
        <v>3.21</v>
      </c>
      <c r="G135" s="25">
        <v>0.85870000000000002</v>
      </c>
      <c r="H135" s="25">
        <v>0.91880000000000006</v>
      </c>
      <c r="I135" s="25">
        <v>0.98310000000000008</v>
      </c>
      <c r="J135" s="25">
        <v>1.0519000000000001</v>
      </c>
      <c r="K135" s="25">
        <v>1</v>
      </c>
      <c r="L135" s="25">
        <v>1</v>
      </c>
      <c r="M135" s="25">
        <v>1</v>
      </c>
      <c r="N135" s="25">
        <v>1</v>
      </c>
    </row>
    <row r="136" spans="1:14" x14ac:dyDescent="0.3">
      <c r="A136" s="20" t="s">
        <v>305</v>
      </c>
      <c r="B136" s="21" t="s">
        <v>306</v>
      </c>
      <c r="C136" s="21" t="s">
        <v>282</v>
      </c>
      <c r="D136" s="22" t="s">
        <v>279</v>
      </c>
      <c r="E136" s="25">
        <v>0.14000000000000001</v>
      </c>
      <c r="F136" s="25">
        <v>0.12266746000000001</v>
      </c>
      <c r="G136" s="25">
        <v>0.1464</v>
      </c>
      <c r="H136" s="25">
        <v>0.1462</v>
      </c>
      <c r="I136" s="25">
        <v>0.14629999999999999</v>
      </c>
      <c r="J136" s="25">
        <v>0.1363</v>
      </c>
      <c r="K136" s="25">
        <v>0.1363</v>
      </c>
      <c r="L136" s="25">
        <v>0.12340587</v>
      </c>
      <c r="M136" s="25">
        <v>0.11809799999999999</v>
      </c>
      <c r="N136" s="25">
        <v>0.12611700000000001</v>
      </c>
    </row>
    <row r="137" spans="1:14" x14ac:dyDescent="0.3">
      <c r="A137" s="20" t="s">
        <v>307</v>
      </c>
      <c r="B137" s="21" t="s">
        <v>308</v>
      </c>
      <c r="C137" s="21" t="s">
        <v>282</v>
      </c>
      <c r="D137" s="22" t="s">
        <v>279</v>
      </c>
      <c r="E137" s="25">
        <v>2</v>
      </c>
      <c r="F137" s="25">
        <v>2.5</v>
      </c>
      <c r="G137" s="25">
        <v>2.875</v>
      </c>
      <c r="H137" s="25">
        <v>3</v>
      </c>
      <c r="I137" s="25">
        <v>3.5225599999999999</v>
      </c>
      <c r="J137" s="25">
        <v>1.9365399999999999</v>
      </c>
      <c r="K137" s="25">
        <v>3.9149699999999998</v>
      </c>
      <c r="L137" s="25">
        <v>4.1126500000000004</v>
      </c>
      <c r="M137" s="25">
        <v>4.5098799999999999</v>
      </c>
      <c r="N137" s="25">
        <v>4.8883999999999999</v>
      </c>
    </row>
    <row r="138" spans="1:14" x14ac:dyDescent="0.3">
      <c r="A138" s="20" t="s">
        <v>309</v>
      </c>
      <c r="B138" s="21" t="s">
        <v>310</v>
      </c>
      <c r="C138" s="21" t="s">
        <v>282</v>
      </c>
      <c r="D138" s="22" t="s">
        <v>279</v>
      </c>
      <c r="E138" s="25">
        <v>2.3327999999999998</v>
      </c>
      <c r="F138" s="25">
        <v>2.3287</v>
      </c>
      <c r="G138" s="25">
        <v>2.4198</v>
      </c>
      <c r="H138" s="25">
        <v>1.385</v>
      </c>
      <c r="I138" s="25">
        <v>1.9</v>
      </c>
      <c r="J138" s="25">
        <v>1.9889999999999999</v>
      </c>
      <c r="K138" s="25">
        <v>1.722</v>
      </c>
      <c r="L138" s="25">
        <v>2.0020000000000002</v>
      </c>
      <c r="M138" s="25">
        <v>1.9792000000000001</v>
      </c>
      <c r="N138" s="25">
        <v>2.012</v>
      </c>
    </row>
    <row r="139" spans="1:14" x14ac:dyDescent="0.3">
      <c r="A139" s="20" t="s">
        <v>311</v>
      </c>
      <c r="B139" s="21" t="s">
        <v>312</v>
      </c>
      <c r="C139" s="21" t="s">
        <v>282</v>
      </c>
      <c r="D139" s="22" t="s">
        <v>279</v>
      </c>
      <c r="E139" s="25">
        <v>0.64510000000000001</v>
      </c>
      <c r="F139" s="25">
        <v>0.31257000000000001</v>
      </c>
      <c r="G139" s="25">
        <v>0.31562000000000001</v>
      </c>
      <c r="H139" s="25">
        <v>0.40400000000000003</v>
      </c>
      <c r="I139" s="25">
        <v>0.34514</v>
      </c>
      <c r="J139" s="25">
        <v>0.16159999999999999</v>
      </c>
      <c r="K139" s="25">
        <v>0.36435000000000001</v>
      </c>
      <c r="L139" s="42">
        <v>0</v>
      </c>
      <c r="M139" s="43">
        <v>0</v>
      </c>
      <c r="N139" s="43">
        <v>0</v>
      </c>
    </row>
    <row r="140" spans="1:14" x14ac:dyDescent="0.3">
      <c r="A140" s="20" t="s">
        <v>313</v>
      </c>
      <c r="B140" s="21" t="s">
        <v>314</v>
      </c>
      <c r="C140" s="21" t="s">
        <v>282</v>
      </c>
      <c r="D140" s="22" t="s">
        <v>279</v>
      </c>
      <c r="E140" s="25">
        <v>3.0446000000000001E-2</v>
      </c>
      <c r="F140" s="25">
        <v>6.9264999999999993E-2</v>
      </c>
      <c r="G140" s="25">
        <v>7.5691000000000008E-2</v>
      </c>
      <c r="H140" s="25">
        <v>7.9541000000000001E-2</v>
      </c>
      <c r="I140" s="25">
        <v>6.5153000000000003E-2</v>
      </c>
      <c r="J140" s="25">
        <v>5.9719999999999995E-2</v>
      </c>
      <c r="K140" s="25">
        <v>4.7439999999999996E-2</v>
      </c>
      <c r="L140" s="25">
        <v>5.2790000000000004E-2</v>
      </c>
      <c r="M140" s="25">
        <v>5.7109999999999994E-2</v>
      </c>
      <c r="N140" s="25">
        <v>6.2759999999999996E-2</v>
      </c>
    </row>
    <row r="141" spans="1:14" x14ac:dyDescent="0.3">
      <c r="A141" s="20" t="s">
        <v>315</v>
      </c>
      <c r="B141" s="21" t="s">
        <v>316</v>
      </c>
      <c r="C141" s="21" t="s">
        <v>282</v>
      </c>
      <c r="D141" s="22" t="s">
        <v>279</v>
      </c>
      <c r="E141" s="25">
        <v>0.1</v>
      </c>
      <c r="F141" s="25">
        <v>0.21000000000000002</v>
      </c>
      <c r="G141" s="25">
        <v>0.25</v>
      </c>
      <c r="H141" s="25">
        <v>0.28999999999999998</v>
      </c>
      <c r="I141" s="25">
        <v>0.49490000000000001</v>
      </c>
      <c r="J141" s="42">
        <v>0</v>
      </c>
      <c r="K141" s="43">
        <v>0</v>
      </c>
      <c r="L141" s="43">
        <v>0</v>
      </c>
      <c r="M141" s="43">
        <v>0</v>
      </c>
      <c r="N141" s="25">
        <v>2.58E-2</v>
      </c>
    </row>
    <row r="142" spans="1:14" x14ac:dyDescent="0.3">
      <c r="A142" s="20" t="s">
        <v>317</v>
      </c>
      <c r="B142" s="21" t="s">
        <v>318</v>
      </c>
      <c r="C142" s="21" t="s">
        <v>282</v>
      </c>
      <c r="D142" s="22" t="s">
        <v>279</v>
      </c>
      <c r="E142" s="25">
        <v>7.7499999999999999E-2</v>
      </c>
      <c r="F142" s="42">
        <v>0.30760999999999999</v>
      </c>
      <c r="G142" s="25">
        <v>0.30071000000000003</v>
      </c>
      <c r="H142" s="25">
        <v>0.46</v>
      </c>
      <c r="I142" s="25">
        <v>0.5</v>
      </c>
      <c r="J142" s="25">
        <v>0.14742</v>
      </c>
      <c r="K142" s="42">
        <v>0.44999999999999996</v>
      </c>
      <c r="L142" s="25">
        <v>1.2001200000000001</v>
      </c>
      <c r="M142" s="25">
        <v>0.41554000000000002</v>
      </c>
      <c r="N142" s="25">
        <v>0.39619000000000004</v>
      </c>
    </row>
    <row r="143" spans="1:14" x14ac:dyDescent="0.3">
      <c r="A143" s="20" t="s">
        <v>319</v>
      </c>
      <c r="B143" s="21" t="s">
        <v>268</v>
      </c>
      <c r="C143" s="21" t="s">
        <v>282</v>
      </c>
      <c r="D143" s="22" t="s">
        <v>279</v>
      </c>
      <c r="E143" s="25">
        <v>0.15240000000000001</v>
      </c>
      <c r="F143" s="42">
        <v>0</v>
      </c>
      <c r="G143" s="43">
        <v>0</v>
      </c>
      <c r="H143" s="25">
        <v>7.3297260000000003E-2</v>
      </c>
      <c r="I143" s="25">
        <v>0.17419999999999999</v>
      </c>
      <c r="J143" s="42">
        <v>0</v>
      </c>
      <c r="K143" s="25">
        <v>0.21415999999999999</v>
      </c>
      <c r="L143" s="25">
        <v>0.38</v>
      </c>
      <c r="M143" s="25">
        <v>0.38324000000000003</v>
      </c>
      <c r="N143" s="25">
        <v>0.4355</v>
      </c>
    </row>
    <row r="144" spans="1:14" x14ac:dyDescent="0.3">
      <c r="A144" s="20" t="s">
        <v>320</v>
      </c>
      <c r="B144" s="21" t="s">
        <v>321</v>
      </c>
      <c r="C144" s="21" t="s">
        <v>282</v>
      </c>
      <c r="D144" s="22" t="s">
        <v>279</v>
      </c>
      <c r="E144" s="25">
        <v>3.7802000000000002E-2</v>
      </c>
      <c r="F144" s="25">
        <v>6.6425999999999999E-2</v>
      </c>
      <c r="G144" s="25">
        <v>4.9256000000000001E-2</v>
      </c>
      <c r="H144" s="25">
        <v>6.8958000000000005E-2</v>
      </c>
      <c r="I144" s="42">
        <v>9.8510000000000004E-3</v>
      </c>
      <c r="J144" s="25">
        <v>0.02</v>
      </c>
      <c r="K144" s="42">
        <v>0</v>
      </c>
      <c r="L144" s="25">
        <v>0.05</v>
      </c>
      <c r="M144" s="25">
        <v>4.6199999999999998E-2</v>
      </c>
      <c r="N144" s="25">
        <v>0.11</v>
      </c>
    </row>
    <row r="145" spans="1:14" x14ac:dyDescent="0.3">
      <c r="A145" s="20" t="s">
        <v>322</v>
      </c>
      <c r="B145" s="21" t="s">
        <v>323</v>
      </c>
      <c r="C145" s="21" t="s">
        <v>282</v>
      </c>
      <c r="D145" s="22" t="s">
        <v>279</v>
      </c>
      <c r="E145" s="25">
        <v>0.90800000000000003</v>
      </c>
      <c r="F145" s="25">
        <v>1.3299999999999998</v>
      </c>
      <c r="G145" s="25">
        <v>1</v>
      </c>
      <c r="H145" s="25">
        <v>1.4</v>
      </c>
      <c r="I145" s="25">
        <v>1.3369499999999999</v>
      </c>
      <c r="J145" s="25">
        <v>1.413</v>
      </c>
      <c r="K145" s="25">
        <v>1.33</v>
      </c>
      <c r="L145" s="25">
        <v>1.2</v>
      </c>
      <c r="M145" s="25">
        <v>1.5</v>
      </c>
      <c r="N145" s="25">
        <v>1.4</v>
      </c>
    </row>
    <row r="146" spans="1:14" x14ac:dyDescent="0.3">
      <c r="A146" s="20" t="s">
        <v>324</v>
      </c>
      <c r="B146" s="21" t="s">
        <v>325</v>
      </c>
      <c r="C146" s="21" t="s">
        <v>282</v>
      </c>
      <c r="D146" s="22" t="s">
        <v>279</v>
      </c>
      <c r="E146" s="43">
        <v>0</v>
      </c>
      <c r="F146" s="25">
        <v>1.4999999999999999E-2</v>
      </c>
      <c r="G146" s="42">
        <v>0.16500000000000001</v>
      </c>
      <c r="H146" s="25">
        <v>0.18</v>
      </c>
      <c r="I146" s="25">
        <v>0.2</v>
      </c>
      <c r="J146" s="25">
        <v>0.19994999999999999</v>
      </c>
      <c r="K146" s="25">
        <v>0.22</v>
      </c>
      <c r="L146" s="25">
        <v>0.24</v>
      </c>
      <c r="M146" s="25">
        <v>0.25</v>
      </c>
      <c r="N146" s="25">
        <v>0.27</v>
      </c>
    </row>
    <row r="147" spans="1:14" x14ac:dyDescent="0.3">
      <c r="A147" s="20" t="s">
        <v>326</v>
      </c>
      <c r="B147" s="21" t="s">
        <v>327</v>
      </c>
      <c r="C147" s="21" t="s">
        <v>282</v>
      </c>
      <c r="D147" s="22" t="s">
        <v>279</v>
      </c>
      <c r="E147" s="25">
        <v>0.8</v>
      </c>
      <c r="F147" s="25">
        <v>0.75</v>
      </c>
      <c r="G147" s="25">
        <v>0.95</v>
      </c>
      <c r="H147" s="25">
        <v>1.1000000000000001</v>
      </c>
      <c r="I147" s="25">
        <v>1.1400000000000001</v>
      </c>
      <c r="J147" s="25">
        <v>1.2000000000000002</v>
      </c>
      <c r="K147" s="25">
        <v>1.2</v>
      </c>
      <c r="L147" s="25">
        <v>1.26</v>
      </c>
      <c r="M147" s="25">
        <v>1.44</v>
      </c>
      <c r="N147" s="25">
        <v>1.9200000000000002</v>
      </c>
    </row>
    <row r="148" spans="1:14" x14ac:dyDescent="0.3">
      <c r="A148" s="20" t="s">
        <v>328</v>
      </c>
      <c r="B148" s="21" t="s">
        <v>329</v>
      </c>
      <c r="C148" s="21" t="s">
        <v>282</v>
      </c>
      <c r="D148" s="22" t="s">
        <v>279</v>
      </c>
      <c r="E148" s="25">
        <v>4.8529000000000003E-2</v>
      </c>
      <c r="F148" s="42">
        <v>0</v>
      </c>
      <c r="G148" s="43">
        <v>0</v>
      </c>
      <c r="H148" s="25">
        <v>0.10299999999999999</v>
      </c>
      <c r="I148" s="25">
        <v>0.105</v>
      </c>
      <c r="J148" s="25">
        <v>8.2000000000000003E-2</v>
      </c>
      <c r="K148" s="25">
        <v>9.6000000000000002E-2</v>
      </c>
      <c r="L148" s="25">
        <v>0.115</v>
      </c>
      <c r="M148" s="25">
        <v>0.13600000000000001</v>
      </c>
      <c r="N148" s="25">
        <v>0.14100000000000001</v>
      </c>
    </row>
    <row r="149" spans="1:14" x14ac:dyDescent="0.3">
      <c r="A149" s="20" t="s">
        <v>330</v>
      </c>
      <c r="B149" s="21" t="s">
        <v>331</v>
      </c>
      <c r="C149" s="21" t="s">
        <v>282</v>
      </c>
      <c r="D149" s="22" t="s">
        <v>279</v>
      </c>
      <c r="E149" s="43">
        <v>0</v>
      </c>
      <c r="F149" s="43">
        <v>0</v>
      </c>
      <c r="G149" s="43">
        <v>0</v>
      </c>
      <c r="H149" s="25">
        <v>1.7406899999999999E-2</v>
      </c>
      <c r="I149" s="25">
        <v>3.06909E-2</v>
      </c>
      <c r="J149" s="42">
        <v>0</v>
      </c>
      <c r="K149" s="25">
        <v>7.9329999999999991E-3</v>
      </c>
      <c r="L149" s="25">
        <v>2.0250000000000001E-2</v>
      </c>
      <c r="M149" s="25">
        <v>3.9229100000000003E-2</v>
      </c>
      <c r="N149" s="25">
        <v>8.8874800000000004E-2</v>
      </c>
    </row>
    <row r="150" spans="1:14" x14ac:dyDescent="0.3">
      <c r="A150" s="20" t="s">
        <v>332</v>
      </c>
      <c r="B150" s="21" t="s">
        <v>333</v>
      </c>
      <c r="C150" s="21" t="s">
        <v>282</v>
      </c>
      <c r="D150" s="22" t="s">
        <v>279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25">
        <v>3.8399999999999997E-2</v>
      </c>
      <c r="K150" s="42">
        <v>0.6</v>
      </c>
      <c r="L150" s="25">
        <v>0.65</v>
      </c>
      <c r="M150" s="25">
        <v>0.65</v>
      </c>
      <c r="N150" s="25">
        <v>0.65</v>
      </c>
    </row>
    <row r="151" spans="1:14" x14ac:dyDescent="0.3">
      <c r="A151" s="20" t="s">
        <v>334</v>
      </c>
      <c r="B151" s="21" t="s">
        <v>335</v>
      </c>
      <c r="C151" s="21" t="s">
        <v>282</v>
      </c>
      <c r="D151" s="22" t="s">
        <v>279</v>
      </c>
      <c r="E151" s="25">
        <v>0.22948499999999999</v>
      </c>
      <c r="F151" s="25">
        <v>0.21079199999999998</v>
      </c>
      <c r="G151" s="25">
        <v>0.249778</v>
      </c>
      <c r="H151" s="25">
        <v>0.287526</v>
      </c>
      <c r="I151" s="25">
        <v>0.29448600000000003</v>
      </c>
      <c r="J151" s="25">
        <v>9.7646999999999998E-2</v>
      </c>
      <c r="K151" s="25">
        <v>0.23453499999999999</v>
      </c>
      <c r="L151" s="25">
        <v>0.26504300000000003</v>
      </c>
      <c r="M151" s="25">
        <v>0.36579699999999998</v>
      </c>
      <c r="N151" s="25">
        <v>0.47278769999999998</v>
      </c>
    </row>
    <row r="152" spans="1:14" x14ac:dyDescent="0.3">
      <c r="A152" s="20" t="s">
        <v>336</v>
      </c>
      <c r="B152" s="21" t="s">
        <v>337</v>
      </c>
      <c r="C152" s="21" t="s">
        <v>282</v>
      </c>
      <c r="D152" s="22" t="s">
        <v>279</v>
      </c>
      <c r="E152" s="25">
        <v>0.44900000000000001</v>
      </c>
      <c r="F152" s="25">
        <v>0.44</v>
      </c>
      <c r="G152" s="25">
        <v>0.45</v>
      </c>
      <c r="H152" s="25">
        <v>0.45</v>
      </c>
      <c r="I152" s="25">
        <v>0.5</v>
      </c>
      <c r="J152" s="25">
        <v>0.1</v>
      </c>
      <c r="K152" s="42">
        <v>0.5</v>
      </c>
      <c r="L152" s="25">
        <v>0.5</v>
      </c>
      <c r="M152" s="25">
        <v>0.55946999999999991</v>
      </c>
      <c r="N152" s="25">
        <v>0.53624000000000005</v>
      </c>
    </row>
    <row r="153" spans="1:14" x14ac:dyDescent="0.3">
      <c r="A153" s="20" t="s">
        <v>338</v>
      </c>
      <c r="B153" s="21" t="s">
        <v>339</v>
      </c>
      <c r="C153" s="21" t="s">
        <v>282</v>
      </c>
      <c r="D153" s="22" t="s">
        <v>279</v>
      </c>
      <c r="E153" s="43">
        <v>0</v>
      </c>
      <c r="F153" s="43">
        <v>0</v>
      </c>
      <c r="G153" s="25">
        <v>0.183</v>
      </c>
      <c r="H153" s="25">
        <v>0.1207</v>
      </c>
      <c r="I153" s="25">
        <v>7.9799999999999996E-2</v>
      </c>
      <c r="J153" s="25">
        <v>0.17510000000000001</v>
      </c>
      <c r="K153" s="25">
        <v>0.38119999999999998</v>
      </c>
      <c r="L153" s="25">
        <v>0.9556</v>
      </c>
      <c r="M153" s="25">
        <v>1.2938000000000001</v>
      </c>
      <c r="N153" s="25">
        <v>1.1036999999999999</v>
      </c>
    </row>
    <row r="154" spans="1:14" x14ac:dyDescent="0.3">
      <c r="A154" s="20" t="s">
        <v>340</v>
      </c>
      <c r="B154" s="21" t="s">
        <v>341</v>
      </c>
      <c r="C154" s="21" t="s">
        <v>282</v>
      </c>
      <c r="D154" s="22" t="s">
        <v>279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</row>
    <row r="155" spans="1:14" x14ac:dyDescent="0.3">
      <c r="A155" s="20" t="s">
        <v>342</v>
      </c>
      <c r="B155" s="21" t="s">
        <v>343</v>
      </c>
      <c r="C155" s="21" t="s">
        <v>282</v>
      </c>
      <c r="D155" s="22" t="s">
        <v>279</v>
      </c>
      <c r="E155" s="25">
        <v>0.76</v>
      </c>
      <c r="F155" s="25">
        <v>1.726</v>
      </c>
      <c r="G155" s="25">
        <v>1.333</v>
      </c>
      <c r="H155" s="25">
        <v>1.3820000000000001</v>
      </c>
      <c r="I155" s="25">
        <v>1.427</v>
      </c>
      <c r="J155" s="25">
        <v>1.4750000000000001</v>
      </c>
      <c r="K155" s="25">
        <v>1.8136000000000001</v>
      </c>
      <c r="L155" s="25">
        <v>0.93720000000000003</v>
      </c>
      <c r="M155" s="25">
        <v>2.0853999999999999</v>
      </c>
      <c r="N155" s="25">
        <v>0.5</v>
      </c>
    </row>
    <row r="156" spans="1:14" x14ac:dyDescent="0.3">
      <c r="A156" s="17" t="s">
        <v>344</v>
      </c>
      <c r="B156" s="18" t="s">
        <v>345</v>
      </c>
      <c r="C156" s="18" t="s">
        <v>282</v>
      </c>
      <c r="D156" s="19" t="s">
        <v>279</v>
      </c>
      <c r="E156" s="25">
        <v>8.2500000000000004E-2</v>
      </c>
      <c r="F156" s="25">
        <v>0.15240000000000001</v>
      </c>
      <c r="G156" s="42">
        <v>3.70818</v>
      </c>
      <c r="H156" s="42">
        <v>0</v>
      </c>
      <c r="I156" s="25">
        <v>2.5669999999999998E-2</v>
      </c>
      <c r="J156" s="25">
        <v>5.1729999999999998E-2</v>
      </c>
      <c r="K156" s="42">
        <v>0</v>
      </c>
      <c r="L156" s="43">
        <v>0</v>
      </c>
      <c r="M156" s="43">
        <v>0</v>
      </c>
      <c r="N156" s="4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3E9A-5D5F-468C-B84E-C0DC07156EAE}">
  <dimension ref="A1:N156"/>
  <sheetViews>
    <sheetView zoomScale="85" zoomScaleNormal="85" workbookViewId="0">
      <pane xSplit="4" ySplit="3" topLeftCell="G139" activePane="bottomRight" state="frozen"/>
      <selection pane="topRight" activeCell="E1" sqref="E1"/>
      <selection pane="bottomLeft" activeCell="A4" sqref="A4"/>
      <selection pane="bottomRight" activeCell="K25" sqref="K25"/>
    </sheetView>
  </sheetViews>
  <sheetFormatPr defaultRowHeight="14.4" x14ac:dyDescent="0.3"/>
  <cols>
    <col min="1" max="1" width="14.77734375" customWidth="1"/>
    <col min="2" max="2" width="30.5546875" customWidth="1"/>
    <col min="3" max="3" width="11.109375" customWidth="1"/>
    <col min="4" max="4" width="12.5546875" customWidth="1"/>
    <col min="5" max="14" width="13.88671875" customWidth="1"/>
  </cols>
  <sheetData>
    <row r="1" spans="1:14" ht="30" customHeight="1" x14ac:dyDescent="0.3">
      <c r="A1" s="55" t="s">
        <v>669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9.95" customHeight="1" x14ac:dyDescent="0.3">
      <c r="A2" s="57" t="s">
        <v>670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4" ht="22.05" customHeight="1" x14ac:dyDescent="0.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</row>
    <row r="4" spans="1:14" x14ac:dyDescent="0.3">
      <c r="A4" s="6" t="s">
        <v>43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8" t="s">
        <v>44</v>
      </c>
      <c r="B5" s="8" t="s">
        <v>45</v>
      </c>
      <c r="C5" s="8" t="s">
        <v>46</v>
      </c>
      <c r="D5" s="8" t="s">
        <v>43</v>
      </c>
      <c r="E5" s="50">
        <f>IF(OR('Net Income'!E5=0,'Net Income'!E5=""),"",IF('Market Cap'!E5="",0,'Market Cap'!E5/'Net Income'!E5))</f>
        <v>53.354911447534249</v>
      </c>
      <c r="F5" s="50">
        <f>IF(OR('Net Income'!F5=0,'Net Income'!F5=""),"",IF('Market Cap'!F5="",0,'Market Cap'!F5/'Net Income'!F5))</f>
        <v>17.072750637857144</v>
      </c>
      <c r="G5" s="50">
        <f>IF(OR('Net Income'!G5=0,'Net Income'!G5=""),"",IF('Market Cap'!G5="",0,'Market Cap'!G5/'Net Income'!G5))</f>
        <v>16.129554474812288</v>
      </c>
      <c r="H5" s="50">
        <f>IF(OR('Net Income'!H5=0,'Net Income'!H5=""),"",IF('Market Cap'!H5="",0,'Market Cap'!H5/'Net Income'!H5))</f>
        <v>14.461320260465117</v>
      </c>
      <c r="I5" s="50">
        <f>IF(OR('Net Income'!I5=0,'Net Income'!I5=""),"",IF('Market Cap'!I5="",0,'Market Cap'!I5/'Net Income'!I5))</f>
        <v>13.347910127300773</v>
      </c>
      <c r="J5" s="50">
        <f>IF(OR('Net Income'!J5=0,'Net Income'!J5=""),"",IF('Market Cap'!J5="",0,'Market Cap'!J5/'Net Income'!J5))</f>
        <v>11.104228057142858</v>
      </c>
      <c r="K5" s="50">
        <f>IF(OR('Net Income'!K5=0,'Net Income'!K5=""),"",IF('Market Cap'!K5="",0,'Market Cap'!K5/'Net Income'!K5))</f>
        <v>10.489564278650793</v>
      </c>
      <c r="L5" s="50">
        <f>IF(OR('Net Income'!L5=0,'Net Income'!L5=""),"",IF('Market Cap'!L5="",0,'Market Cap'!L5/'Net Income'!L5))</f>
        <v>9.5813163248129669</v>
      </c>
      <c r="M5" s="50">
        <f>IF(OR('Net Income'!M5=0,'Net Income'!M5=""),"",IF('Market Cap'!M5="",0,'Market Cap'!M5/'Net Income'!M5))</f>
        <v>8.8424944085280739</v>
      </c>
      <c r="N5" s="50">
        <f>IF(OR('Net Income'!N5=0,'Net Income'!N5=""),"",IF('Market Cap'!N5="",0,'Market Cap'!N5/'Net Income'!N5))</f>
        <v>7.7955039894097222</v>
      </c>
    </row>
    <row r="6" spans="1:14" x14ac:dyDescent="0.3">
      <c r="A6" s="8" t="s">
        <v>47</v>
      </c>
      <c r="B6" s="8" t="s">
        <v>48</v>
      </c>
      <c r="C6" s="8" t="s">
        <v>46</v>
      </c>
      <c r="D6" s="8" t="s">
        <v>43</v>
      </c>
      <c r="E6" s="50">
        <f>IF(OR('Net Income'!E6=0,'Net Income'!E6=""),"",IF('Market Cap'!E6="",0,'Market Cap'!E6/'Net Income'!E6))</f>
        <v>37.245879035359472</v>
      </c>
      <c r="F6" s="50">
        <f>IF(OR('Net Income'!F6=0,'Net Income'!F6=""),"",IF('Market Cap'!F6="",0,'Market Cap'!F6/'Net Income'!F6))</f>
        <v>31.198794746934926</v>
      </c>
      <c r="G6" s="50">
        <f>IF(OR('Net Income'!G6=0,'Net Income'!G6=""),"",IF('Market Cap'!G6="",0,'Market Cap'!G6/'Net Income'!G6))</f>
        <v>28.144507789775101</v>
      </c>
      <c r="H6" s="50">
        <f>IF(OR('Net Income'!H6=0,'Net Income'!H6=""),"",IF('Market Cap'!H6="",0,'Market Cap'!H6/'Net Income'!H6))</f>
        <v>30.433578806288143</v>
      </c>
      <c r="I6" s="50">
        <f>IF(OR('Net Income'!I6=0,'Net Income'!I6=""),"",IF('Market Cap'!I6="",0,'Market Cap'!I6/'Net Income'!I6))</f>
        <v>52.349256614948558</v>
      </c>
      <c r="J6" s="50">
        <f>IF(OR('Net Income'!J6=0,'Net Income'!J6=""),"",IF('Market Cap'!J6="",0,'Market Cap'!J6/'Net Income'!J6))</f>
        <v>75.423475514237055</v>
      </c>
      <c r="K6" s="50">
        <f>IF(OR('Net Income'!K6=0,'Net Income'!K6=""),"",IF('Market Cap'!K6="",0,'Market Cap'!K6/'Net Income'!K6))</f>
        <v>67.610326305732485</v>
      </c>
      <c r="L6" s="50">
        <f>IF(OR('Net Income'!L6=0,'Net Income'!L6=""),"",IF('Market Cap'!L6="",0,'Market Cap'!L6/'Net Income'!L6))</f>
        <v>34.963100443971435</v>
      </c>
      <c r="M6" s="50">
        <f>IF(OR('Net Income'!M6=0,'Net Income'!M6=""),"",IF('Market Cap'!M6="",0,'Market Cap'!M6/'Net Income'!M6))</f>
        <v>45.546433575309884</v>
      </c>
      <c r="N6" s="50">
        <f>IF(OR('Net Income'!N6=0,'Net Income'!N6=""),"",IF('Market Cap'!N6="",0,'Market Cap'!N6/'Net Income'!N6))</f>
        <v>38.59652482562219</v>
      </c>
    </row>
    <row r="7" spans="1:14" x14ac:dyDescent="0.3">
      <c r="A7" s="8" t="s">
        <v>49</v>
      </c>
      <c r="B7" s="8" t="s">
        <v>50</v>
      </c>
      <c r="C7" s="8" t="s">
        <v>46</v>
      </c>
      <c r="D7" s="8" t="s">
        <v>43</v>
      </c>
      <c r="E7" s="50">
        <f>IF(OR('Net Income'!E7=0,'Net Income'!E7=""),"",IF('Market Cap'!E7="",0,'Market Cap'!E7/'Net Income'!E7))</f>
        <v>12.972794887152709</v>
      </c>
      <c r="F7" s="50">
        <f>IF(OR('Net Income'!F7=0,'Net Income'!F7=""),"",IF('Market Cap'!F7="",0,'Market Cap'!F7/'Net Income'!F7))</f>
        <v>10.574815198654493</v>
      </c>
      <c r="G7" s="50">
        <f>IF(OR('Net Income'!G7=0,'Net Income'!G7=""),"",IF('Market Cap'!G7="",0,'Market Cap'!G7/'Net Income'!G7))</f>
        <v>11.110326026056871</v>
      </c>
      <c r="H7" s="50">
        <f>IF(OR('Net Income'!H7=0,'Net Income'!H7=""),"",IF('Market Cap'!H7="",0,'Market Cap'!H7/'Net Income'!H7))</f>
        <v>9.8267256485621477</v>
      </c>
      <c r="I7" s="50">
        <f>IF(OR('Net Income'!I7=0,'Net Income'!I7=""),"",IF('Market Cap'!I7="",0,'Market Cap'!I7/'Net Income'!I7))</f>
        <v>10.805190501872659</v>
      </c>
      <c r="J7" s="50">
        <f>IF(OR('Net Income'!J7=0,'Net Income'!J7=""),"",IF('Market Cap'!J7="",0,'Market Cap'!J7/'Net Income'!J7))</f>
        <v>12.832759829713304</v>
      </c>
      <c r="K7" s="50">
        <f>IF(OR('Net Income'!K7=0,'Net Income'!K7=""),"",IF('Market Cap'!K7="",0,'Market Cap'!K7/'Net Income'!K7))</f>
        <v>10.29442286446786</v>
      </c>
      <c r="L7" s="50">
        <f>IF(OR('Net Income'!L7=0,'Net Income'!L7=""),"",IF('Market Cap'!L7="",0,'Market Cap'!L7/'Net Income'!L7))</f>
        <v>8.9565273983035709</v>
      </c>
      <c r="M7" s="50">
        <f>IF(OR('Net Income'!M7=0,'Net Income'!M7=""),"",IF('Market Cap'!M7="",0,'Market Cap'!M7/'Net Income'!M7))</f>
        <v>7.8631330745796637</v>
      </c>
      <c r="N7" s="50">
        <f>IF(OR('Net Income'!N7=0,'Net Income'!N7=""),"",IF('Market Cap'!N7="",0,'Market Cap'!N7/'Net Income'!N7))</f>
        <v>11.267482161654135</v>
      </c>
    </row>
    <row r="8" spans="1:14" x14ac:dyDescent="0.3">
      <c r="A8" s="8" t="s">
        <v>51</v>
      </c>
      <c r="B8" s="8" t="s">
        <v>52</v>
      </c>
      <c r="C8" s="8" t="s">
        <v>46</v>
      </c>
      <c r="D8" s="8" t="s">
        <v>43</v>
      </c>
      <c r="E8" s="50">
        <f>IF(OR('Net Income'!E8=0,'Net Income'!E8=""),"",IF('Market Cap'!E8="",0,'Market Cap'!E8/'Net Income'!E8))</f>
        <v>12.383535418012213</v>
      </c>
      <c r="F8" s="50">
        <f>IF(OR('Net Income'!F8=0,'Net Income'!F8=""),"",IF('Market Cap'!F8="",0,'Market Cap'!F8/'Net Income'!F8))</f>
        <v>12.035708470799433</v>
      </c>
      <c r="G8" s="50">
        <f>IF(OR('Net Income'!G8=0,'Net Income'!G8=""),"",IF('Market Cap'!G8="",0,'Market Cap'!G8/'Net Income'!G8))</f>
        <v>9.106507435493933</v>
      </c>
      <c r="H8" s="50">
        <f>IF(OR('Net Income'!H8=0,'Net Income'!H8=""),"",IF('Market Cap'!H8="",0,'Market Cap'!H8/'Net Income'!H8))</f>
        <v>10.438162612938614</v>
      </c>
      <c r="I8" s="50">
        <f>IF(OR('Net Income'!I8=0,'Net Income'!I8=""),"",IF('Market Cap'!I8="",0,'Market Cap'!I8/'Net Income'!I8))</f>
        <v>7.9444284243981933</v>
      </c>
      <c r="J8" s="50">
        <f>IF(OR('Net Income'!J8=0,'Net Income'!J8=""),"",IF('Market Cap'!J8="",0,'Market Cap'!J8/'Net Income'!J8))</f>
        <v>6.3614562301344026</v>
      </c>
      <c r="K8" s="50">
        <f>IF(OR('Net Income'!K8=0,'Net Income'!K8=""),"",IF('Market Cap'!K8="",0,'Market Cap'!K8/'Net Income'!K8))</f>
        <v>5.5918570352642716</v>
      </c>
      <c r="L8" s="50">
        <f>IF(OR('Net Income'!L8=0,'Net Income'!L8=""),"",IF('Market Cap'!L8="",0,'Market Cap'!L8/'Net Income'!L8))</f>
        <v>7.0664482928005388</v>
      </c>
      <c r="M8" s="50">
        <f>IF(OR('Net Income'!M8=0,'Net Income'!M8=""),"",IF('Market Cap'!M8="",0,'Market Cap'!M8/'Net Income'!M8))</f>
        <v>7.4617834525401143</v>
      </c>
      <c r="N8" s="50">
        <f>IF(OR('Net Income'!N8=0,'Net Income'!N8=""),"",IF('Market Cap'!N8="",0,'Market Cap'!N8/'Net Income'!N8))</f>
        <v>5.8512195213350342</v>
      </c>
    </row>
    <row r="9" spans="1:14" x14ac:dyDescent="0.3">
      <c r="A9" s="8" t="s">
        <v>53</v>
      </c>
      <c r="B9" s="8" t="s">
        <v>54</v>
      </c>
      <c r="C9" s="8" t="s">
        <v>46</v>
      </c>
      <c r="D9" s="8" t="s">
        <v>43</v>
      </c>
      <c r="E9" s="50">
        <f>IF(OR('Net Income'!E9=0,'Net Income'!E9=""),"",IF('Market Cap'!E9="",0,'Market Cap'!E9/'Net Income'!E9))</f>
        <v>16.609430484527827</v>
      </c>
      <c r="F9" s="50">
        <f>IF(OR('Net Income'!F9=0,'Net Income'!F9=""),"",IF('Market Cap'!F9="",0,'Market Cap'!F9/'Net Income'!F9))</f>
        <v>16.870939356229233</v>
      </c>
      <c r="G9" s="50">
        <f>IF(OR('Net Income'!G9=0,'Net Income'!G9=""),"",IF('Market Cap'!G9="",0,'Market Cap'!G9/'Net Income'!G9))</f>
        <v>15.57430626393278</v>
      </c>
      <c r="H9" s="50">
        <f>IF(OR('Net Income'!H9=0,'Net Income'!H9=""),"",IF('Market Cap'!H9="",0,'Market Cap'!H9/'Net Income'!H9))</f>
        <v>11.820990639885414</v>
      </c>
      <c r="I9" s="50">
        <f>IF(OR('Net Income'!I9=0,'Net Income'!I9=""),"",IF('Market Cap'!I9="",0,'Market Cap'!I9/'Net Income'!I9))</f>
        <v>12.314376991169954</v>
      </c>
      <c r="J9" s="50">
        <f>IF(OR('Net Income'!J9=0,'Net Income'!J9=""),"",IF('Market Cap'!J9="",0,'Market Cap'!J9/'Net Income'!J9))</f>
        <v>11.428317431679877</v>
      </c>
      <c r="K9" s="50">
        <f>IF(OR('Net Income'!K9=0,'Net Income'!K9=""),"",IF('Market Cap'!K9="",0,'Market Cap'!K9/'Net Income'!K9))</f>
        <v>13.793960439859735</v>
      </c>
      <c r="L9" s="50">
        <f>IF(OR('Net Income'!L9=0,'Net Income'!L9=""),"",IF('Market Cap'!L9="",0,'Market Cap'!L9/'Net Income'!L9))</f>
        <v>17.241012420552586</v>
      </c>
      <c r="M9" s="50">
        <f>IF(OR('Net Income'!M9=0,'Net Income'!M9=""),"",IF('Market Cap'!M9="",0,'Market Cap'!M9/'Net Income'!M9))</f>
        <v>11.767130399587902</v>
      </c>
      <c r="N9" s="50">
        <f>IF(OR('Net Income'!N9=0,'Net Income'!N9=""),"",IF('Market Cap'!N9="",0,'Market Cap'!N9/'Net Income'!N9))</f>
        <v>11.860163209461419</v>
      </c>
    </row>
    <row r="10" spans="1:14" x14ac:dyDescent="0.3">
      <c r="A10" s="8" t="s">
        <v>55</v>
      </c>
      <c r="B10" s="8" t="s">
        <v>56</v>
      </c>
      <c r="C10" s="8" t="s">
        <v>46</v>
      </c>
      <c r="D10" s="8" t="s">
        <v>43</v>
      </c>
      <c r="E10" s="50">
        <f>IF(OR('Net Income'!E10=0,'Net Income'!E10=""),"",IF('Market Cap'!E10="",0,'Market Cap'!E10/'Net Income'!E10))</f>
        <v>12.298292614856377</v>
      </c>
      <c r="F10" s="50">
        <f>IF(OR('Net Income'!F10=0,'Net Income'!F10=""),"",IF('Market Cap'!F10="",0,'Market Cap'!F10/'Net Income'!F10))</f>
        <v>12.792083937798424</v>
      </c>
      <c r="G10" s="50">
        <f>IF(OR('Net Income'!G10=0,'Net Income'!G10=""),"",IF('Market Cap'!G10="",0,'Market Cap'!G10/'Net Income'!G10))</f>
        <v>13.71063308880187</v>
      </c>
      <c r="H10" s="50">
        <f>IF(OR('Net Income'!H10=0,'Net Income'!H10=""),"",IF('Market Cap'!H10="",0,'Market Cap'!H10/'Net Income'!H10))</f>
        <v>14.479442570294475</v>
      </c>
      <c r="I10" s="50">
        <f>IF(OR('Net Income'!I10=0,'Net Income'!I10=""),"",IF('Market Cap'!I10="",0,'Market Cap'!I10/'Net Income'!I10))</f>
        <v>11.486656476074931</v>
      </c>
      <c r="J10" s="50">
        <f>IF(OR('Net Income'!J10=0,'Net Income'!J10=""),"",IF('Market Cap'!J10="",0,'Market Cap'!J10/'Net Income'!J10))</f>
        <v>12.000987863380457</v>
      </c>
      <c r="K10" s="50">
        <f>IF(OR('Net Income'!K10=0,'Net Income'!K10=""),"",IF('Market Cap'!K10="",0,'Market Cap'!K10/'Net Income'!K10))</f>
        <v>8.9558494030334259</v>
      </c>
      <c r="L10" s="50">
        <f>IF(OR('Net Income'!L10=0,'Net Income'!L10=""),"",IF('Market Cap'!L10="",0,'Market Cap'!L10/'Net Income'!L10))</f>
        <v>11.346168568096932</v>
      </c>
      <c r="M10" s="50">
        <f>IF(OR('Net Income'!M10=0,'Net Income'!M10=""),"",IF('Market Cap'!M10="",0,'Market Cap'!M10/'Net Income'!M10))</f>
        <v>7.7229460580870457</v>
      </c>
      <c r="N10" s="50">
        <f>IF(OR('Net Income'!N10=0,'Net Income'!N10=""),"",IF('Market Cap'!N10="",0,'Market Cap'!N10/'Net Income'!N10))</f>
        <v>7.5667017556708513</v>
      </c>
    </row>
    <row r="11" spans="1:14" x14ac:dyDescent="0.3">
      <c r="A11" s="8" t="s">
        <v>57</v>
      </c>
      <c r="B11" s="8" t="s">
        <v>58</v>
      </c>
      <c r="C11" s="8" t="s">
        <v>46</v>
      </c>
      <c r="D11" s="8" t="s">
        <v>43</v>
      </c>
      <c r="E11" s="50">
        <f>IF(OR('Net Income'!E11=0,'Net Income'!E11=""),"",IF('Market Cap'!E11="",0,'Market Cap'!E11/'Net Income'!E11))</f>
        <v>10.780051757492332</v>
      </c>
      <c r="F11" s="50"/>
      <c r="G11" s="50">
        <f>IF(OR('Net Income'!G11=0,'Net Income'!G11=""),"",IF('Market Cap'!G11="",0,'Market Cap'!G11/'Net Income'!G11))</f>
        <v>1.5282214295116656</v>
      </c>
      <c r="H11" s="50"/>
      <c r="I11" s="50">
        <f>IF(OR('Net Income'!I11=0,'Net Income'!I11=""),"",IF('Market Cap'!I11="",0,'Market Cap'!I11/'Net Income'!I11))</f>
        <v>3.8494539212874259</v>
      </c>
      <c r="J11" s="50">
        <f>IF(OR('Net Income'!J11=0,'Net Income'!J11=""),"",IF('Market Cap'!J11="",0,'Market Cap'!J11/'Net Income'!J11))</f>
        <v>130.85266262883141</v>
      </c>
      <c r="K11" s="50">
        <f>IF(OR('Net Income'!K11=0,'Net Income'!K11=""),"",IF('Market Cap'!K11="",0,'Market Cap'!K11/'Net Income'!K11))</f>
        <v>7.0089575665474078</v>
      </c>
      <c r="L11" s="50">
        <f>IF(OR('Net Income'!L11=0,'Net Income'!L11=""),"",IF('Market Cap'!L11="",0,'Market Cap'!L11/'Net Income'!L11))</f>
        <v>7.3341995988596409</v>
      </c>
      <c r="M11" s="50">
        <f>IF(OR('Net Income'!M11=0,'Net Income'!M11=""),"",IF('Market Cap'!M11="",0,'Market Cap'!M11/'Net Income'!M11))</f>
        <v>5.7002345669945811</v>
      </c>
      <c r="N11" s="50">
        <f>IF(OR('Net Income'!N11=0,'Net Income'!N11=""),"",IF('Market Cap'!N11="",0,'Market Cap'!N11/'Net Income'!N11))</f>
        <v>6.1206528251873449</v>
      </c>
    </row>
    <row r="12" spans="1:14" x14ac:dyDescent="0.3">
      <c r="A12" s="8" t="s">
        <v>59</v>
      </c>
      <c r="B12" s="8" t="s">
        <v>60</v>
      </c>
      <c r="C12" s="8" t="s">
        <v>46</v>
      </c>
      <c r="D12" s="8" t="s">
        <v>43</v>
      </c>
      <c r="E12" s="50">
        <f>IF(OR('Net Income'!E12=0,'Net Income'!E12=""),"",IF('Market Cap'!E12="",0,'Market Cap'!E12/'Net Income'!E12))</f>
        <v>15.356485051640298</v>
      </c>
      <c r="F12" s="50">
        <f>IF(OR('Net Income'!F12=0,'Net Income'!F12=""),"",IF('Market Cap'!F12="",0,'Market Cap'!F12/'Net Income'!F12))</f>
        <v>170.40698500734317</v>
      </c>
      <c r="G12" s="50">
        <f>IF(OR('Net Income'!G12=0,'Net Income'!G12=""),"",IF('Market Cap'!G12="",0,'Market Cap'!G12/'Net Income'!G12))</f>
        <v>11.354183814597762</v>
      </c>
      <c r="H12" s="50">
        <f>IF(OR('Net Income'!H12=0,'Net Income'!H12=""),"",IF('Market Cap'!H12="",0,'Market Cap'!H12/'Net Income'!H12))</f>
        <v>3.9412012598985453</v>
      </c>
      <c r="I12" s="50">
        <f>IF(OR('Net Income'!I12=0,'Net Income'!I12=""),"",IF('Market Cap'!I12="",0,'Market Cap'!I12/'Net Income'!I12))</f>
        <v>5.8437209591314678</v>
      </c>
      <c r="J12" s="50">
        <f>IF(OR('Net Income'!J12=0,'Net Income'!J12=""),"",IF('Market Cap'!J12="",0,'Market Cap'!J12/'Net Income'!J12))</f>
        <v>4.2702649167035984</v>
      </c>
      <c r="K12" s="50">
        <f>IF(OR('Net Income'!K12=0,'Net Income'!K12=""),"",IF('Market Cap'!K12="",0,'Market Cap'!K12/'Net Income'!K12))</f>
        <v>4.8949082737187286</v>
      </c>
      <c r="L12" s="50">
        <f>IF(OR('Net Income'!L12=0,'Net Income'!L12=""),"",IF('Market Cap'!L12="",0,'Market Cap'!L12/'Net Income'!L12))</f>
        <v>1.8708890812884971</v>
      </c>
      <c r="M12" s="50">
        <f>IF(OR('Net Income'!M12=0,'Net Income'!M12=""),"",IF('Market Cap'!M12="",0,'Market Cap'!M12/'Net Income'!M12))</f>
        <v>2.8219696048097527</v>
      </c>
      <c r="N12" s="50">
        <f>IF(OR('Net Income'!N12=0,'Net Income'!N12=""),"",IF('Market Cap'!N12="",0,'Market Cap'!N12/'Net Income'!N12))</f>
        <v>6.1821639269696123</v>
      </c>
    </row>
    <row r="13" spans="1:14" x14ac:dyDescent="0.3">
      <c r="A13" s="8" t="s">
        <v>61</v>
      </c>
      <c r="B13" s="8" t="s">
        <v>62</v>
      </c>
      <c r="C13" s="8" t="s">
        <v>46</v>
      </c>
      <c r="D13" s="8" t="s">
        <v>43</v>
      </c>
      <c r="E13" s="50">
        <f>IF(OR('Net Income'!E13=0,'Net Income'!E13=""),"",IF('Market Cap'!E13="",0,'Market Cap'!E13/'Net Income'!E13))</f>
        <v>27.222756026490067</v>
      </c>
      <c r="F13" s="50">
        <f>IF(OR('Net Income'!F13=0,'Net Income'!F13=""),"",IF('Market Cap'!F13="",0,'Market Cap'!F13/'Net Income'!F13))</f>
        <v>31.717610670615496</v>
      </c>
      <c r="G13" s="50">
        <f>IF(OR('Net Income'!G13=0,'Net Income'!G13=""),"",IF('Market Cap'!G13="",0,'Market Cap'!G13/'Net Income'!G13))</f>
        <v>11.99771572240579</v>
      </c>
      <c r="H13" s="50">
        <f>IF(OR('Net Income'!H13=0,'Net Income'!H13=""),"",IF('Market Cap'!H13="",0,'Market Cap'!H13/'Net Income'!H13))</f>
        <v>8.1365125703092911</v>
      </c>
      <c r="I13" s="50">
        <f>IF(OR('Net Income'!I13=0,'Net Income'!I13=""),"",IF('Market Cap'!I13="",0,'Market Cap'!I13/'Net Income'!I13))</f>
        <v>11.923503049983017</v>
      </c>
      <c r="J13" s="50">
        <f>IF(OR('Net Income'!J13=0,'Net Income'!J13=""),"",IF('Market Cap'!J13="",0,'Market Cap'!J13/'Net Income'!J13))</f>
        <v>7.1595647849337611</v>
      </c>
      <c r="K13" s="50">
        <f>IF(OR('Net Income'!K13=0,'Net Income'!K13=""),"",IF('Market Cap'!K13="",0,'Market Cap'!K13/'Net Income'!K13))</f>
        <v>6.7275907792538518</v>
      </c>
      <c r="L13" s="50">
        <f>IF(OR('Net Income'!L13=0,'Net Income'!L13=""),"",IF('Market Cap'!L13="",0,'Market Cap'!L13/'Net Income'!L13))</f>
        <v>7.3123309211702185</v>
      </c>
      <c r="M13" s="50">
        <f>IF(OR('Net Income'!M13=0,'Net Income'!M13=""),"",IF('Market Cap'!M13="",0,'Market Cap'!M13/'Net Income'!M13))</f>
        <v>5.275007146506371</v>
      </c>
      <c r="N13" s="50">
        <f>IF(OR('Net Income'!N13=0,'Net Income'!N13=""),"",IF('Market Cap'!N13="",0,'Market Cap'!N13/'Net Income'!N13))</f>
        <v>6.9217873586143073</v>
      </c>
    </row>
    <row r="14" spans="1:14" x14ac:dyDescent="0.3">
      <c r="A14" s="8" t="s">
        <v>63</v>
      </c>
      <c r="B14" s="8" t="s">
        <v>64</v>
      </c>
      <c r="C14" s="8" t="s">
        <v>46</v>
      </c>
      <c r="D14" s="8" t="s">
        <v>43</v>
      </c>
      <c r="E14" s="50">
        <f>IF(OR('Net Income'!E14=0,'Net Income'!E14=""),"",IF('Market Cap'!E14="",0,'Market Cap'!E14/'Net Income'!E14))</f>
        <v>26.363384218928164</v>
      </c>
      <c r="F14" s="50">
        <f>IF(OR('Net Income'!F14=0,'Net Income'!F14=""),"",IF('Market Cap'!F14="",0,'Market Cap'!F14/'Net Income'!F14))</f>
        <v>32.296086638604933</v>
      </c>
      <c r="G14" s="50">
        <f>IF(OR('Net Income'!G14=0,'Net Income'!G14=""),"",IF('Market Cap'!G14="",0,'Market Cap'!G14/'Net Income'!G14))</f>
        <v>20.714351167340066</v>
      </c>
      <c r="H14" s="50">
        <f>IF(OR('Net Income'!H14=0,'Net Income'!H14=""),"",IF('Market Cap'!H14="",0,'Market Cap'!H14/'Net Income'!H14))</f>
        <v>28.726430608302394</v>
      </c>
      <c r="I14" s="50">
        <f>IF(OR('Net Income'!I14=0,'Net Income'!I14=""),"",IF('Market Cap'!I14="",0,'Market Cap'!I14/'Net Income'!I14))</f>
        <v>30.20340997937743</v>
      </c>
      <c r="J14" s="50">
        <f>IF(OR('Net Income'!J14=0,'Net Income'!J14=""),"",IF('Market Cap'!J14="",0,'Market Cap'!J14/'Net Income'!J14))</f>
        <v>56.358950213517836</v>
      </c>
      <c r="K14" s="50">
        <f>IF(OR('Net Income'!K14=0,'Net Income'!K14=""),"",IF('Market Cap'!K14="",0,'Market Cap'!K14/'Net Income'!K14))</f>
        <v>50.870549220856745</v>
      </c>
      <c r="L14" s="50">
        <f>IF(OR('Net Income'!L14=0,'Net Income'!L14=""),"",IF('Market Cap'!L14="",0,'Market Cap'!L14/'Net Income'!L14))</f>
        <v>32.057248555315319</v>
      </c>
      <c r="M14" s="50">
        <f>IF(OR('Net Income'!M14=0,'Net Income'!M14=""),"",IF('Market Cap'!M14="",0,'Market Cap'!M14/'Net Income'!M14))</f>
        <v>35.241500824326778</v>
      </c>
      <c r="N14" s="50">
        <f>IF(OR('Net Income'!N14=0,'Net Income'!N14=""),"",IF('Market Cap'!N14="",0,'Market Cap'!N14/'Net Income'!N14))</f>
        <v>35.843693615972221</v>
      </c>
    </row>
    <row r="15" spans="1:14" x14ac:dyDescent="0.3">
      <c r="A15" s="8" t="s">
        <v>65</v>
      </c>
      <c r="B15" s="8" t="s">
        <v>66</v>
      </c>
      <c r="C15" s="8" t="s">
        <v>46</v>
      </c>
      <c r="D15" s="8" t="s">
        <v>43</v>
      </c>
      <c r="E15" s="50">
        <f>IF(OR('Net Income'!E15=0,'Net Income'!E15=""),"",IF('Market Cap'!E15="",0,'Market Cap'!E15/'Net Income'!E15))</f>
        <v>43.384001011857706</v>
      </c>
      <c r="F15" s="50"/>
      <c r="G15" s="50">
        <f>IF(OR('Net Income'!G15=0,'Net Income'!G15=""),"",IF('Market Cap'!G15="",0,'Market Cap'!G15/'Net Income'!G15))</f>
        <v>40.157839040745763</v>
      </c>
      <c r="H15" s="50">
        <f>IF(OR('Net Income'!H15=0,'Net Income'!H15=""),"",IF('Market Cap'!H15="",0,'Market Cap'!H15/'Net Income'!H15))</f>
        <v>17.195159229962545</v>
      </c>
      <c r="I15" s="50">
        <f>IF(OR('Net Income'!I15=0,'Net Income'!I15=""),"",IF('Market Cap'!I15="",0,'Market Cap'!I15/'Net Income'!I15))</f>
        <v>8.6281075555555553</v>
      </c>
      <c r="J15" s="50"/>
      <c r="K15" s="50">
        <f>IF(OR('Net Income'!K15=0,'Net Income'!K15=""),"",IF('Market Cap'!K15="",0,'Market Cap'!K15/'Net Income'!K15))</f>
        <v>9.8943837800928609</v>
      </c>
      <c r="L15" s="50">
        <f>IF(OR('Net Income'!L15=0,'Net Income'!L15=""),"",IF('Market Cap'!L15="",0,'Market Cap'!L15/'Net Income'!L15))</f>
        <v>11.257984148841794</v>
      </c>
      <c r="M15" s="50">
        <f>IF(OR('Net Income'!M15=0,'Net Income'!M15=""),"",IF('Market Cap'!M15="",0,'Market Cap'!M15/'Net Income'!M15))</f>
        <v>9.5116349150769235</v>
      </c>
      <c r="N15" s="50" t="str">
        <f>IF(OR('Net Income'!N15=0,'Net Income'!N15=""),"",IF('Market Cap'!N15="",0,'Market Cap'!N15/'Net Income'!N15))</f>
        <v/>
      </c>
    </row>
    <row r="16" spans="1:14" x14ac:dyDescent="0.3">
      <c r="A16" s="8" t="s">
        <v>67</v>
      </c>
      <c r="B16" s="8" t="s">
        <v>68</v>
      </c>
      <c r="C16" s="8" t="s">
        <v>46</v>
      </c>
      <c r="D16" s="8" t="s">
        <v>43</v>
      </c>
      <c r="E16" s="50">
        <f>IF(OR('Net Income'!E16=0,'Net Income'!E16=""),"",IF('Market Cap'!E16="",0,'Market Cap'!E16/'Net Income'!E16))</f>
        <v>26.479854958474405</v>
      </c>
      <c r="F16" s="50">
        <f>IF(OR('Net Income'!F16=0,'Net Income'!F16=""),"",IF('Market Cap'!F16="",0,'Market Cap'!F16/'Net Income'!F16))</f>
        <v>27.453498138063587</v>
      </c>
      <c r="G16" s="50">
        <f>IF(OR('Net Income'!G16=0,'Net Income'!G16=""),"",IF('Market Cap'!G16="",0,'Market Cap'!G16/'Net Income'!G16))</f>
        <v>29.292012771844036</v>
      </c>
      <c r="H16" s="50">
        <f>IF(OR('Net Income'!H16=0,'Net Income'!H16=""),"",IF('Market Cap'!H16="",0,'Market Cap'!H16/'Net Income'!H16))</f>
        <v>24.995785980977434</v>
      </c>
      <c r="I16" s="50">
        <f>IF(OR('Net Income'!I16=0,'Net Income'!I16=""),"",IF('Market Cap'!I16="",0,'Market Cap'!I16/'Net Income'!I16))</f>
        <v>35.92765696986941</v>
      </c>
      <c r="J16" s="50">
        <f>IF(OR('Net Income'!J16=0,'Net Income'!J16=""),"",IF('Market Cap'!J16="",0,'Market Cap'!J16/'Net Income'!J16))</f>
        <v>37.577102822435869</v>
      </c>
      <c r="K16" s="50">
        <f>IF(OR('Net Income'!K16=0,'Net Income'!K16=""),"",IF('Market Cap'!K16="",0,'Market Cap'!K16/'Net Income'!K16))</f>
        <v>30.756890628939313</v>
      </c>
      <c r="L16" s="50">
        <f>IF(OR('Net Income'!L16=0,'Net Income'!L16=""),"",IF('Market Cap'!L16="",0,'Market Cap'!L16/'Net Income'!L16))</f>
        <v>31.259825741883798</v>
      </c>
      <c r="M16" s="50">
        <f>IF(OR('Net Income'!M16=0,'Net Income'!M16=""),"",IF('Market Cap'!M16="",0,'Market Cap'!M16/'Net Income'!M16))</f>
        <v>32.516631191937385</v>
      </c>
      <c r="N16" s="50">
        <f>IF(OR('Net Income'!N16=0,'Net Income'!N16=""),"",IF('Market Cap'!N16="",0,'Market Cap'!N16/'Net Income'!N16))</f>
        <v>29.570126620982961</v>
      </c>
    </row>
    <row r="17" spans="1:14" x14ac:dyDescent="0.3">
      <c r="A17" s="8" t="s">
        <v>69</v>
      </c>
      <c r="B17" s="8" t="s">
        <v>70</v>
      </c>
      <c r="C17" s="8" t="s">
        <v>46</v>
      </c>
      <c r="D17" s="8" t="s">
        <v>43</v>
      </c>
      <c r="E17" s="50">
        <f>IF(OR('Net Income'!E17=0,'Net Income'!E17=""),"",IF('Market Cap'!E17="",0,'Market Cap'!E17/'Net Income'!E17))</f>
        <v>16.657131977481786</v>
      </c>
      <c r="F17" s="50">
        <f>IF(OR('Net Income'!F17=0,'Net Income'!F17=""),"",IF('Market Cap'!F17="",0,'Market Cap'!F17/'Net Income'!F17))</f>
        <v>16.264128023159532</v>
      </c>
      <c r="G17" s="50">
        <f>IF(OR('Net Income'!G17=0,'Net Income'!G17=""),"",IF('Market Cap'!G17="",0,'Market Cap'!G17/'Net Income'!G17))</f>
        <v>13.747482012188408</v>
      </c>
      <c r="H17" s="50">
        <f>IF(OR('Net Income'!H17=0,'Net Income'!H17=""),"",IF('Market Cap'!H17="",0,'Market Cap'!H17/'Net Income'!H17))</f>
        <v>10.781206661799958</v>
      </c>
      <c r="I17" s="50">
        <f>IF(OR('Net Income'!I17=0,'Net Income'!I17=""),"",IF('Market Cap'!I17="",0,'Market Cap'!I17/'Net Income'!I17))</f>
        <v>33.04777072897884</v>
      </c>
      <c r="J17" s="50">
        <f>IF(OR('Net Income'!J17=0,'Net Income'!J17=""),"",IF('Market Cap'!J17="",0,'Market Cap'!J17/'Net Income'!J17))</f>
        <v>32.246356427034485</v>
      </c>
      <c r="K17" s="50">
        <f>IF(OR('Net Income'!K17=0,'Net Income'!K17=""),"",IF('Market Cap'!K17="",0,'Market Cap'!K17/'Net Income'!K17))</f>
        <v>22.466637780714958</v>
      </c>
      <c r="L17" s="50">
        <f>IF(OR('Net Income'!L17=0,'Net Income'!L17=""),"",IF('Market Cap'!L17="",0,'Market Cap'!L17/'Net Income'!L17))</f>
        <v>30.384962146932224</v>
      </c>
      <c r="M17" s="50">
        <f>IF(OR('Net Income'!M17=0,'Net Income'!M17=""),"",IF('Market Cap'!M17="",0,'Market Cap'!M17/'Net Income'!M17))</f>
        <v>19.887378166183826</v>
      </c>
      <c r="N17" s="50">
        <f>IF(OR('Net Income'!N17=0,'Net Income'!N17=""),"",IF('Market Cap'!N17="",0,'Market Cap'!N17/'Net Income'!N17))</f>
        <v>9.9737571821550741</v>
      </c>
    </row>
    <row r="18" spans="1:14" x14ac:dyDescent="0.3">
      <c r="A18" s="8" t="s">
        <v>71</v>
      </c>
      <c r="B18" s="8" t="s">
        <v>72</v>
      </c>
      <c r="C18" s="8" t="s">
        <v>46</v>
      </c>
      <c r="D18" s="8" t="s">
        <v>43</v>
      </c>
      <c r="E18" s="50"/>
      <c r="F18" s="50"/>
      <c r="G18" s="50">
        <f>IF(OR('Net Income'!G18=0,'Net Income'!G18=""),"",IF('Market Cap'!G18="",0,'Market Cap'!G18/'Net Income'!G18))</f>
        <v>14.72902603301719</v>
      </c>
      <c r="H18" s="50">
        <f>IF(OR('Net Income'!H18=0,'Net Income'!H18=""),"",IF('Market Cap'!H18="",0,'Market Cap'!H18/'Net Income'!H18))</f>
        <v>12.027074898870577</v>
      </c>
      <c r="I18" s="50">
        <f>IF(OR('Net Income'!I18=0,'Net Income'!I18=""),"",IF('Market Cap'!I18="",0,'Market Cap'!I18/'Net Income'!I18))</f>
        <v>336.16660136182435</v>
      </c>
      <c r="J18" s="50"/>
      <c r="K18" s="50">
        <f>IF(OR('Net Income'!K18=0,'Net Income'!K18=""),"",IF('Market Cap'!K18="",0,'Market Cap'!K18/'Net Income'!K18))</f>
        <v>7.4860337192922177</v>
      </c>
      <c r="L18" s="50">
        <f>IF(OR('Net Income'!L18=0,'Net Income'!L18=""),"",IF('Market Cap'!L18="",0,'Market Cap'!L18/'Net Income'!L18))</f>
        <v>3.333873108662778</v>
      </c>
      <c r="M18" s="50">
        <f>IF(OR('Net Income'!M18=0,'Net Income'!M18=""),"",IF('Market Cap'!M18="",0,'Market Cap'!M18/'Net Income'!M18))</f>
        <v>10.629496960804863</v>
      </c>
      <c r="N18" s="50">
        <f>IF(OR('Net Income'!N18=0,'Net Income'!N18=""),"",IF('Market Cap'!N18="",0,'Market Cap'!N18/'Net Income'!N18))</f>
        <v>15.798821852134147</v>
      </c>
    </row>
    <row r="19" spans="1:14" x14ac:dyDescent="0.3">
      <c r="A19" s="8" t="s">
        <v>73</v>
      </c>
      <c r="B19" s="8" t="s">
        <v>74</v>
      </c>
      <c r="C19" s="8" t="s">
        <v>46</v>
      </c>
      <c r="D19" s="8" t="s">
        <v>43</v>
      </c>
      <c r="E19" s="50" t="str">
        <f>IF(OR('Net Income'!E19=0,'Net Income'!E19=""),"",IF('Market Cap'!E19="",0,'Market Cap'!E19/'Net Income'!E19))</f>
        <v/>
      </c>
      <c r="F19" s="50" t="str">
        <f>IF(OR('Net Income'!F19=0,'Net Income'!F19=""),"",IF('Market Cap'!F19="",0,'Market Cap'!F19/'Net Income'!F19))</f>
        <v/>
      </c>
      <c r="G19" s="50" t="str">
        <f>IF(OR('Net Income'!G19=0,'Net Income'!G19=""),"",IF('Market Cap'!G19="",0,'Market Cap'!G19/'Net Income'!G19))</f>
        <v/>
      </c>
      <c r="H19" s="50" t="str">
        <f>IF(OR('Net Income'!H19=0,'Net Income'!H19=""),"",IF('Market Cap'!H19="",0,'Market Cap'!H19/'Net Income'!H19))</f>
        <v/>
      </c>
      <c r="I19" s="50" t="str">
        <f>IF(OR('Net Income'!I19=0,'Net Income'!I19=""),"",IF('Market Cap'!I19="",0,'Market Cap'!I19/'Net Income'!I19))</f>
        <v/>
      </c>
      <c r="J19" s="50" t="str">
        <f>IF(OR('Net Income'!J19=0,'Net Income'!J19=""),"",IF('Market Cap'!J19="",0,'Market Cap'!J19/'Net Income'!J19))</f>
        <v/>
      </c>
      <c r="K19" s="50" t="str">
        <f>IF(OR('Net Income'!K19=0,'Net Income'!K19=""),"",IF('Market Cap'!K19="",0,'Market Cap'!K19/'Net Income'!K19))</f>
        <v/>
      </c>
      <c r="L19" s="50" t="str">
        <f>IF(OR('Net Income'!L19=0,'Net Income'!L19=""),"",IF('Market Cap'!L19="",0,'Market Cap'!L19/'Net Income'!L19))</f>
        <v/>
      </c>
      <c r="M19" s="50" t="str">
        <f>IF(OR('Net Income'!M19=0,'Net Income'!M19=""),"",IF('Market Cap'!M19="",0,'Market Cap'!M19/'Net Income'!M19))</f>
        <v/>
      </c>
      <c r="N19" s="50" t="str">
        <f>IF(OR('Net Income'!N19=0,'Net Income'!N19=""),"",IF('Market Cap'!N19="",0,'Market Cap'!N19/'Net Income'!N19))</f>
        <v/>
      </c>
    </row>
    <row r="20" spans="1:14" x14ac:dyDescent="0.3">
      <c r="A20" s="8" t="s">
        <v>75</v>
      </c>
      <c r="B20" s="8" t="s">
        <v>76</v>
      </c>
      <c r="C20" s="8" t="s">
        <v>46</v>
      </c>
      <c r="D20" s="8" t="s">
        <v>43</v>
      </c>
      <c r="E20" s="50" t="str">
        <f>IF(OR('Net Income'!E20=0,'Net Income'!E20=""),"",IF('Market Cap'!E20="",0,'Market Cap'!E20/'Net Income'!E20))</f>
        <v/>
      </c>
      <c r="F20" s="50" t="str">
        <f>IF(OR('Net Income'!F20=0,'Net Income'!F20=""),"",IF('Market Cap'!F20="",0,'Market Cap'!F20/'Net Income'!F20))</f>
        <v/>
      </c>
      <c r="G20" s="50">
        <f>IF(OR('Net Income'!G20=0,'Net Income'!G20=""),"",IF('Market Cap'!G20="",0,'Market Cap'!G20/'Net Income'!G20))</f>
        <v>30.75367776567867</v>
      </c>
      <c r="H20" s="50">
        <f>IF(OR('Net Income'!H20=0,'Net Income'!H20=""),"",IF('Market Cap'!H20="",0,'Market Cap'!H20/'Net Income'!H20))</f>
        <v>20.79603495956303</v>
      </c>
      <c r="I20" s="50">
        <f>IF(OR('Net Income'!I20=0,'Net Income'!I20=""),"",IF('Market Cap'!I20="",0,'Market Cap'!I20/'Net Income'!I20))</f>
        <v>39.698368395183799</v>
      </c>
      <c r="J20" s="50">
        <f>IF(OR('Net Income'!J20=0,'Net Income'!J20=""),"",IF('Market Cap'!J20="",0,'Market Cap'!J20/'Net Income'!J20))</f>
        <v>57.358796973431147</v>
      </c>
      <c r="K20" s="50">
        <f>IF(OR('Net Income'!K20=0,'Net Income'!K20=""),"",IF('Market Cap'!K20="",0,'Market Cap'!K20/'Net Income'!K20))</f>
        <v>50.509306460174756</v>
      </c>
      <c r="L20" s="50">
        <f>IF(OR('Net Income'!L20=0,'Net Income'!L20=""),"",IF('Market Cap'!L20="",0,'Market Cap'!L20/'Net Income'!L20))</f>
        <v>39.248571434698597</v>
      </c>
      <c r="M20" s="50">
        <f>IF(OR('Net Income'!M20=0,'Net Income'!M20=""),"",IF('Market Cap'!M20="",0,'Market Cap'!M20/'Net Income'!M20))</f>
        <v>44.174300026836029</v>
      </c>
      <c r="N20" s="50">
        <f>IF(OR('Net Income'!N20=0,'Net Income'!N20=""),"",IF('Market Cap'!N20="",0,'Market Cap'!N20/'Net Income'!N20))</f>
        <v>48.706967251624143</v>
      </c>
    </row>
    <row r="21" spans="1:14" x14ac:dyDescent="0.3">
      <c r="A21" s="8" t="s">
        <v>77</v>
      </c>
      <c r="B21" s="8" t="s">
        <v>78</v>
      </c>
      <c r="C21" s="8" t="s">
        <v>46</v>
      </c>
      <c r="D21" s="8" t="s">
        <v>43</v>
      </c>
      <c r="E21" s="50">
        <f>IF(OR('Net Income'!E21=0,'Net Income'!E21=""),"",IF('Market Cap'!E21="",0,'Market Cap'!E21/'Net Income'!E21))</f>
        <v>24.189769740134285</v>
      </c>
      <c r="F21" s="50">
        <f>IF(OR('Net Income'!F21=0,'Net Income'!F21=""),"",IF('Market Cap'!F21="",0,'Market Cap'!F21/'Net Income'!F21))</f>
        <v>15.238418949105489</v>
      </c>
      <c r="G21" s="50">
        <f>IF(OR('Net Income'!G21=0,'Net Income'!G21=""),"",IF('Market Cap'!G21="",0,'Market Cap'!G21/'Net Income'!G21))</f>
        <v>23.96076955849647</v>
      </c>
      <c r="H21" s="50">
        <f>IF(OR('Net Income'!H21=0,'Net Income'!H21=""),"",IF('Market Cap'!H21="",0,'Market Cap'!H21/'Net Income'!H21))</f>
        <v>22.039233124256381</v>
      </c>
      <c r="I21" s="50">
        <f>IF(OR('Net Income'!I21=0,'Net Income'!I21=""),"",IF('Market Cap'!I21="",0,'Market Cap'!I21/'Net Income'!I21))</f>
        <v>22.528845308411213</v>
      </c>
      <c r="J21" s="50">
        <f>IF(OR('Net Income'!J21=0,'Net Income'!J21=""),"",IF('Market Cap'!J21="",0,'Market Cap'!J21/'Net Income'!J21))</f>
        <v>25.219027936372541</v>
      </c>
      <c r="K21" s="50">
        <f>IF(OR('Net Income'!K21=0,'Net Income'!K21=""),"",IF('Market Cap'!K21="",0,'Market Cap'!K21/'Net Income'!K21))</f>
        <v>24.726509790786185</v>
      </c>
      <c r="L21" s="50">
        <f>IF(OR('Net Income'!L21=0,'Net Income'!L21=""),"",IF('Market Cap'!L21="",0,'Market Cap'!L21/'Net Income'!L21))</f>
        <v>22.091102153953862</v>
      </c>
      <c r="M21" s="50">
        <f>IF(OR('Net Income'!M21=0,'Net Income'!M21=""),"",IF('Market Cap'!M21="",0,'Market Cap'!M21/'Net Income'!M21))</f>
        <v>13.644591995711714</v>
      </c>
      <c r="N21" s="50">
        <f>IF(OR('Net Income'!N21=0,'Net Income'!N21=""),"",IF('Market Cap'!N21="",0,'Market Cap'!N21/'Net Income'!N21))</f>
        <v>15.722928620311674</v>
      </c>
    </row>
    <row r="22" spans="1:14" x14ac:dyDescent="0.3">
      <c r="A22" s="8" t="s">
        <v>79</v>
      </c>
      <c r="B22" s="8" t="s">
        <v>80</v>
      </c>
      <c r="C22" s="8" t="s">
        <v>46</v>
      </c>
      <c r="D22" s="8" t="s">
        <v>43</v>
      </c>
      <c r="E22" s="50">
        <f>IF(OR('Net Income'!E22=0,'Net Income'!E22=""),"",IF('Market Cap'!E22="",0,'Market Cap'!E22/'Net Income'!E22))</f>
        <v>20.059210482499999</v>
      </c>
      <c r="F22" s="50">
        <f>IF(OR('Net Income'!F22=0,'Net Income'!F22=""),"",IF('Market Cap'!F22="",0,'Market Cap'!F22/'Net Income'!F22))</f>
        <v>15.548924908248914</v>
      </c>
      <c r="G22" s="50">
        <f>IF(OR('Net Income'!G22=0,'Net Income'!G22=""),"",IF('Market Cap'!G22="",0,'Market Cap'!G22/'Net Income'!G22))</f>
        <v>17.202674801193318</v>
      </c>
      <c r="H22" s="50">
        <f>IF(OR('Net Income'!H22=0,'Net Income'!H22=""),"",IF('Market Cap'!H22="",0,'Market Cap'!H22/'Net Income'!H22))</f>
        <v>14.164134040156084</v>
      </c>
      <c r="I22" s="50">
        <f>IF(OR('Net Income'!I22=0,'Net Income'!I22=""),"",IF('Market Cap'!I22="",0,'Market Cap'!I22/'Net Income'!I22))</f>
        <v>14.889334193933109</v>
      </c>
      <c r="J22" s="50">
        <f>IF(OR('Net Income'!J22=0,'Net Income'!J22=""),"",IF('Market Cap'!J22="",0,'Market Cap'!J22/'Net Income'!J22))</f>
        <v>14.451806060588041</v>
      </c>
      <c r="K22" s="50">
        <f>IF(OR('Net Income'!K22=0,'Net Income'!K22=""),"",IF('Market Cap'!K22="",0,'Market Cap'!K22/'Net Income'!K22))</f>
        <v>16.036380067826087</v>
      </c>
      <c r="L22" s="50">
        <f>IF(OR('Net Income'!L22=0,'Net Income'!L22=""),"",IF('Market Cap'!L22="",0,'Market Cap'!L22/'Net Income'!L22))</f>
        <v>14.363960817554858</v>
      </c>
      <c r="M22" s="50">
        <f>IF(OR('Net Income'!M22=0,'Net Income'!M22=""),"",IF('Market Cap'!M22="",0,'Market Cap'!M22/'Net Income'!M22))</f>
        <v>9.7300115902129587</v>
      </c>
      <c r="N22" s="50">
        <f>IF(OR('Net Income'!N22=0,'Net Income'!N22=""),"",IF('Market Cap'!N22="",0,'Market Cap'!N22/'Net Income'!N22))</f>
        <v>10.001632422669363</v>
      </c>
    </row>
    <row r="23" spans="1:14" x14ac:dyDescent="0.3">
      <c r="A23" s="8" t="s">
        <v>81</v>
      </c>
      <c r="B23" s="8" t="s">
        <v>82</v>
      </c>
      <c r="C23" s="8" t="s">
        <v>46</v>
      </c>
      <c r="D23" s="8" t="s">
        <v>43</v>
      </c>
      <c r="E23" s="50" t="str">
        <f>IF(OR('Net Income'!E23=0,'Net Income'!E23=""),"",IF('Market Cap'!E23="",0,'Market Cap'!E23/'Net Income'!E23))</f>
        <v/>
      </c>
      <c r="F23" s="50">
        <f>IF(OR('Net Income'!F23=0,'Net Income'!F23=""),"",IF('Market Cap'!F23="",0,'Market Cap'!F23/'Net Income'!F23))</f>
        <v>26.959453686277921</v>
      </c>
      <c r="G23" s="50">
        <f>IF(OR('Net Income'!G23=0,'Net Income'!G23=""),"",IF('Market Cap'!G23="",0,'Market Cap'!G23/'Net Income'!G23))</f>
        <v>29.067204528828267</v>
      </c>
      <c r="H23" s="50">
        <f>IF(OR('Net Income'!H23=0,'Net Income'!H23=""),"",IF('Market Cap'!H23="",0,'Market Cap'!H23/'Net Income'!H23))</f>
        <v>26.000104808228166</v>
      </c>
      <c r="I23" s="50">
        <f>IF(OR('Net Income'!I23=0,'Net Income'!I23=""),"",IF('Market Cap'!I23="",0,'Market Cap'!I23/'Net Income'!I23))</f>
        <v>37.584661928570746</v>
      </c>
      <c r="J23" s="50">
        <f>IF(OR('Net Income'!J23=0,'Net Income'!J23=""),"",IF('Market Cap'!J23="",0,'Market Cap'!J23/'Net Income'!J23))</f>
        <v>55.22648724422838</v>
      </c>
      <c r="K23" s="50">
        <f>IF(OR('Net Income'!K23=0,'Net Income'!K23=""),"",IF('Market Cap'!K23="",0,'Market Cap'!K23/'Net Income'!K23))</f>
        <v>53.575054902076261</v>
      </c>
      <c r="L23" s="50">
        <f>IF(OR('Net Income'!L23=0,'Net Income'!L23=""),"",IF('Market Cap'!L23="",0,'Market Cap'!L23/'Net Income'!L23))</f>
        <v>30.793030172292124</v>
      </c>
      <c r="M23" s="50">
        <f>IF(OR('Net Income'!M23=0,'Net Income'!M23=""),"",IF('Market Cap'!M23="",0,'Market Cap'!M23/'Net Income'!M23))</f>
        <v>32.243057708462814</v>
      </c>
      <c r="N23" s="50">
        <f>IF(OR('Net Income'!N23=0,'Net Income'!N23=""),"",IF('Market Cap'!N23="",0,'Market Cap'!N23/'Net Income'!N23))</f>
        <v>25.871818450070641</v>
      </c>
    </row>
    <row r="24" spans="1:14" x14ac:dyDescent="0.3">
      <c r="A24" s="8" t="s">
        <v>83</v>
      </c>
      <c r="B24" s="8" t="s">
        <v>84</v>
      </c>
      <c r="C24" s="8" t="s">
        <v>46</v>
      </c>
      <c r="D24" s="8" t="s">
        <v>43</v>
      </c>
      <c r="E24" s="50">
        <f>IF(OR('Net Income'!E24=0,'Net Income'!E24=""),"",IF('Market Cap'!E24="",0,'Market Cap'!E24/'Net Income'!E24))</f>
        <v>13.007168026249799</v>
      </c>
      <c r="F24" s="50">
        <f>IF(OR('Net Income'!F24=0,'Net Income'!F24=""),"",IF('Market Cap'!F24="",0,'Market Cap'!F24/'Net Income'!F24))</f>
        <v>17.595667533297817</v>
      </c>
      <c r="G24" s="50">
        <f>IF(OR('Net Income'!G24=0,'Net Income'!G24=""),"",IF('Market Cap'!G24="",0,'Market Cap'!G24/'Net Income'!G24))</f>
        <v>21.205083396929531</v>
      </c>
      <c r="H24" s="50">
        <f>IF(OR('Net Income'!H24=0,'Net Income'!H24=""),"",IF('Market Cap'!H24="",0,'Market Cap'!H24/'Net Income'!H24))</f>
        <v>16.264566336774529</v>
      </c>
      <c r="I24" s="50">
        <f>IF(OR('Net Income'!I24=0,'Net Income'!I24=""),"",IF('Market Cap'!I24="",0,'Market Cap'!I24/'Net Income'!I24))</f>
        <v>16.620948396271697</v>
      </c>
      <c r="J24" s="50">
        <f>IF(OR('Net Income'!J24=0,'Net Income'!J24=""),"",IF('Market Cap'!J24="",0,'Market Cap'!J24/'Net Income'!J24))</f>
        <v>25.269489156509529</v>
      </c>
      <c r="K24" s="50">
        <f>IF(OR('Net Income'!K24=0,'Net Income'!K24=""),"",IF('Market Cap'!K24="",0,'Market Cap'!K24/'Net Income'!K24))</f>
        <v>35.095297913590834</v>
      </c>
      <c r="L24" s="50">
        <f>IF(OR('Net Income'!L24=0,'Net Income'!L24=""),"",IF('Market Cap'!L24="",0,'Market Cap'!L24/'Net Income'!L24))</f>
        <v>16.704932563443489</v>
      </c>
      <c r="M24" s="50">
        <f>IF(OR('Net Income'!M24=0,'Net Income'!M24=""),"",IF('Market Cap'!M24="",0,'Market Cap'!M24/'Net Income'!M24))</f>
        <v>18.272904418472375</v>
      </c>
      <c r="N24" s="50">
        <f>IF(OR('Net Income'!N24=0,'Net Income'!N24=""),"",IF('Market Cap'!N24="",0,'Market Cap'!N24/'Net Income'!N24))</f>
        <v>20.122585582239292</v>
      </c>
    </row>
    <row r="25" spans="1:14" x14ac:dyDescent="0.3">
      <c r="A25" s="8" t="s">
        <v>85</v>
      </c>
      <c r="B25" s="8" t="s">
        <v>86</v>
      </c>
      <c r="C25" s="8" t="s">
        <v>46</v>
      </c>
      <c r="D25" s="8" t="s">
        <v>43</v>
      </c>
      <c r="E25" s="50">
        <f>IF(OR('Net Income'!E25=0,'Net Income'!E25=""),"",IF('Market Cap'!E25="",0,'Market Cap'!E25/'Net Income'!E25))</f>
        <v>17.861401406440304</v>
      </c>
      <c r="F25" s="50">
        <f>IF(OR('Net Income'!F25=0,'Net Income'!F25=""),"",IF('Market Cap'!F25="",0,'Market Cap'!F25/'Net Income'!F25))</f>
        <v>12.373768774570879</v>
      </c>
      <c r="G25" s="50">
        <f>IF(OR('Net Income'!G25=0,'Net Income'!G25=""),"",IF('Market Cap'!G25="",0,'Market Cap'!G25/'Net Income'!G25))</f>
        <v>5.9530407003485513</v>
      </c>
      <c r="H25" s="50">
        <f>IF(OR('Net Income'!H25=0,'Net Income'!H25=""),"",IF('Market Cap'!H25="",0,'Market Cap'!H25/'Net Income'!H25))</f>
        <v>7.9099353505061725</v>
      </c>
      <c r="I25" s="50">
        <f>IF(OR('Net Income'!I25=0,'Net Income'!I25=""),"",IF('Market Cap'!I25="",0,'Market Cap'!I25/'Net Income'!I25))</f>
        <v>9.8192328072692483</v>
      </c>
      <c r="J25" s="50">
        <f>IF(OR('Net Income'!J25=0,'Net Income'!J25=""),"",IF('Market Cap'!J25="",0,'Market Cap'!J25/'Net Income'!J25))</f>
        <v>10.631473240768996</v>
      </c>
      <c r="K25" s="50">
        <f>IF(OR('Net Income'!K25=0,'Net Income'!K25=""),"",IF('Market Cap'!K25="",0,'Market Cap'!K25/'Net Income'!K25))</f>
        <v>10.510641870967742</v>
      </c>
      <c r="L25" s="50">
        <f>IF(OR('Net Income'!L25=0,'Net Income'!L25=""),"",IF('Market Cap'!L25="",0,'Market Cap'!L25/'Net Income'!L25))</f>
        <v>9.1747721762959582</v>
      </c>
      <c r="M25" s="50">
        <f>IF(OR('Net Income'!M25=0,'Net Income'!M25=""),"",IF('Market Cap'!M25="",0,'Market Cap'!M25/'Net Income'!M25))</f>
        <v>6.2788612946659761</v>
      </c>
      <c r="N25" s="50">
        <f>IF(OR('Net Income'!N25=0,'Net Income'!N25=""),"",IF('Market Cap'!N25="",0,'Market Cap'!N25/'Net Income'!N25))</f>
        <v>8.0252633741057</v>
      </c>
    </row>
    <row r="26" spans="1:14" x14ac:dyDescent="0.3">
      <c r="A26" s="8" t="s">
        <v>87</v>
      </c>
      <c r="B26" s="8" t="s">
        <v>88</v>
      </c>
      <c r="C26" s="8" t="s">
        <v>46</v>
      </c>
      <c r="D26" s="8" t="s">
        <v>43</v>
      </c>
      <c r="E26" s="50" t="str">
        <f>IF(OR('Net Income'!E26=0,'Net Income'!E26=""),"",IF('Market Cap'!E26="",0,'Market Cap'!E26/'Net Income'!E26))</f>
        <v/>
      </c>
      <c r="F26" s="50" t="str">
        <f>IF(OR('Net Income'!F26=0,'Net Income'!F26=""),"",IF('Market Cap'!F26="",0,'Market Cap'!F26/'Net Income'!F26))</f>
        <v/>
      </c>
      <c r="G26" s="50">
        <f>IF(OR('Net Income'!G26=0,'Net Income'!G26=""),"",IF('Market Cap'!G26="",0,'Market Cap'!G26/'Net Income'!G26))</f>
        <v>13.818809253806794</v>
      </c>
      <c r="H26" s="50">
        <f>IF(OR('Net Income'!H26=0,'Net Income'!H26=""),"",IF('Market Cap'!H26="",0,'Market Cap'!H26/'Net Income'!H26))</f>
        <v>12.974358960710244</v>
      </c>
      <c r="I26" s="50">
        <f>IF(OR('Net Income'!I26=0,'Net Income'!I26=""),"",IF('Market Cap'!I26="",0,'Market Cap'!I26/'Net Income'!I26))</f>
        <v>10.549607492318533</v>
      </c>
      <c r="J26" s="50">
        <f>IF(OR('Net Income'!J26=0,'Net Income'!J26=""),"",IF('Market Cap'!J26="",0,'Market Cap'!J26/'Net Income'!J26))</f>
        <v>10.939210064842211</v>
      </c>
      <c r="K26" s="50">
        <f>IF(OR('Net Income'!K26=0,'Net Income'!K26=""),"",IF('Market Cap'!K26="",0,'Market Cap'!K26/'Net Income'!K26))</f>
        <v>13.503095373374162</v>
      </c>
      <c r="L26" s="50">
        <f>IF(OR('Net Income'!L26=0,'Net Income'!L26=""),"",IF('Market Cap'!L26="",0,'Market Cap'!L26/'Net Income'!L26))</f>
        <v>10.324819971175188</v>
      </c>
      <c r="M26" s="50">
        <f>IF(OR('Net Income'!M26=0,'Net Income'!M26=""),"",IF('Market Cap'!M26="",0,'Market Cap'!M26/'Net Income'!M26))</f>
        <v>9.5540627152112982</v>
      </c>
      <c r="N26" s="50">
        <f>IF(OR('Net Income'!N26=0,'Net Income'!N26=""),"",IF('Market Cap'!N26="",0,'Market Cap'!N26/'Net Income'!N26))</f>
        <v>9.1652589133431057</v>
      </c>
    </row>
    <row r="27" spans="1:14" x14ac:dyDescent="0.3">
      <c r="A27" s="8" t="s">
        <v>89</v>
      </c>
      <c r="B27" s="8" t="s">
        <v>90</v>
      </c>
      <c r="C27" s="8" t="s">
        <v>46</v>
      </c>
      <c r="D27" s="8" t="s">
        <v>43</v>
      </c>
      <c r="E27" s="50" t="str">
        <f>IF(OR('Net Income'!E27=0,'Net Income'!E27=""),"",IF('Market Cap'!E27="",0,'Market Cap'!E27/'Net Income'!E27))</f>
        <v/>
      </c>
      <c r="F27" s="50" t="str">
        <f>IF(OR('Net Income'!F27=0,'Net Income'!F27=""),"",IF('Market Cap'!F27="",0,'Market Cap'!F27/'Net Income'!F27))</f>
        <v/>
      </c>
      <c r="G27" s="50" t="str">
        <f>IF(OR('Net Income'!G27=0,'Net Income'!G27=""),"",IF('Market Cap'!G27="",0,'Market Cap'!G27/'Net Income'!G27))</f>
        <v/>
      </c>
      <c r="H27" s="50" t="str">
        <f>IF(OR('Net Income'!H27=0,'Net Income'!H27=""),"",IF('Market Cap'!H27="",0,'Market Cap'!H27/'Net Income'!H27))</f>
        <v/>
      </c>
      <c r="I27" s="50" t="str">
        <f>IF(OR('Net Income'!I27=0,'Net Income'!I27=""),"",IF('Market Cap'!I27="",0,'Market Cap'!I27/'Net Income'!I27))</f>
        <v/>
      </c>
      <c r="J27" s="50" t="str">
        <f>IF(OR('Net Income'!J27=0,'Net Income'!J27=""),"",IF('Market Cap'!J27="",0,'Market Cap'!J27/'Net Income'!J27))</f>
        <v/>
      </c>
      <c r="K27" s="50" t="str">
        <f>IF(OR('Net Income'!K27=0,'Net Income'!K27=""),"",IF('Market Cap'!K27="",0,'Market Cap'!K27/'Net Income'!K27))</f>
        <v/>
      </c>
      <c r="L27" s="50" t="str">
        <f>IF(OR('Net Income'!L27=0,'Net Income'!L27=""),"",IF('Market Cap'!L27="",0,'Market Cap'!L27/'Net Income'!L27))</f>
        <v/>
      </c>
      <c r="M27" s="50">
        <f>IF(OR('Net Income'!M27=0,'Net Income'!M27=""),"",IF('Market Cap'!M27="",0,'Market Cap'!M27/'Net Income'!M27))</f>
        <v>10.056651376146789</v>
      </c>
      <c r="N27" s="50">
        <f>IF(OR('Net Income'!N27=0,'Net Income'!N27=""),"",IF('Market Cap'!N27="",0,'Market Cap'!N27/'Net Income'!N27))</f>
        <v>7.1455014326647568</v>
      </c>
    </row>
    <row r="28" spans="1:14" x14ac:dyDescent="0.3">
      <c r="A28" s="8" t="s">
        <v>91</v>
      </c>
      <c r="B28" s="8" t="s">
        <v>92</v>
      </c>
      <c r="C28" s="8" t="s">
        <v>46</v>
      </c>
      <c r="D28" s="8" t="s">
        <v>43</v>
      </c>
      <c r="E28" s="50">
        <f>IF(OR('Net Income'!E28=0,'Net Income'!E28=""),"",IF('Market Cap'!E28="",0,'Market Cap'!E28/'Net Income'!E28))</f>
        <v>15.218900821355236</v>
      </c>
      <c r="F28" s="50">
        <f>IF(OR('Net Income'!F28=0,'Net Income'!F28=""),"",IF('Market Cap'!F28="",0,'Market Cap'!F28/'Net Income'!F28))</f>
        <v>15.177036871287129</v>
      </c>
      <c r="G28" s="50">
        <f>IF(OR('Net Income'!G28=0,'Net Income'!G28=""),"",IF('Market Cap'!G28="",0,'Market Cap'!G28/'Net Income'!G28))</f>
        <v>20.903263537906138</v>
      </c>
      <c r="H28" s="50">
        <f>IF(OR('Net Income'!H28=0,'Net Income'!H28=""),"",IF('Market Cap'!H28="",0,'Market Cap'!H28/'Net Income'!H28))</f>
        <v>8.6698750491159142</v>
      </c>
      <c r="I28" s="50">
        <f>IF(OR('Net Income'!I28=0,'Net Income'!I28=""),"",IF('Market Cap'!I28="",0,'Market Cap'!I28/'Net Income'!I28))</f>
        <v>7.317723873325213</v>
      </c>
      <c r="J28" s="50">
        <f>IF(OR('Net Income'!J28=0,'Net Income'!J28=""),"",IF('Market Cap'!J28="",0,'Market Cap'!J28/'Net Income'!J28))</f>
        <v>14.098513443983402</v>
      </c>
      <c r="K28" s="50">
        <f>IF(OR('Net Income'!K28=0,'Net Income'!K28=""),"",IF('Market Cap'!K28="",0,'Market Cap'!K28/'Net Income'!K28))</f>
        <v>6.1842025597269625</v>
      </c>
      <c r="L28" s="50">
        <f>IF(OR('Net Income'!L28=0,'Net Income'!L28=""),"",IF('Market Cap'!L28="",0,'Market Cap'!L28/'Net Income'!L28))</f>
        <v>5.0021299029126212</v>
      </c>
      <c r="M28" s="50">
        <f>IF(OR('Net Income'!M28=0,'Net Income'!M28=""),"",IF('Market Cap'!M28="",0,'Market Cap'!M28/'Net Income'!M28))</f>
        <v>13.062441610942249</v>
      </c>
      <c r="N28" s="50">
        <f>IF(OR('Net Income'!N28=0,'Net Income'!N28=""),"",IF('Market Cap'!N28="",0,'Market Cap'!N28/'Net Income'!N28))</f>
        <v>13.889860810055866</v>
      </c>
    </row>
    <row r="29" spans="1:14" x14ac:dyDescent="0.3">
      <c r="A29" s="8" t="s">
        <v>93</v>
      </c>
      <c r="B29" s="8" t="s">
        <v>94</v>
      </c>
      <c r="C29" s="8" t="s">
        <v>46</v>
      </c>
      <c r="D29" s="8" t="s">
        <v>43</v>
      </c>
      <c r="E29" s="50">
        <f>IF(OR('Net Income'!E29=0,'Net Income'!E29=""),"",IF('Market Cap'!E29="",0,'Market Cap'!E29/'Net Income'!E29))</f>
        <v>12.644741145330826</v>
      </c>
      <c r="F29" s="50">
        <f>IF(OR('Net Income'!F29=0,'Net Income'!F29=""),"",IF('Market Cap'!F29="",0,'Market Cap'!F29/'Net Income'!F29))</f>
        <v>7.25408796810851</v>
      </c>
      <c r="G29" s="50">
        <f>IF(OR('Net Income'!G29=0,'Net Income'!G29=""),"",IF('Market Cap'!G29="",0,'Market Cap'!G29/'Net Income'!G29))</f>
        <v>9.8405929439616102</v>
      </c>
      <c r="H29" s="50">
        <f>IF(OR('Net Income'!H29=0,'Net Income'!H29=""),"",IF('Market Cap'!H29="",0,'Market Cap'!H29/'Net Income'!H29))</f>
        <v>8.0868286300120378</v>
      </c>
      <c r="I29" s="50">
        <f>IF(OR('Net Income'!I29=0,'Net Income'!I29=""),"",IF('Market Cap'!I29="",0,'Market Cap'!I29/'Net Income'!I29))</f>
        <v>9.480613352206797</v>
      </c>
      <c r="J29" s="50">
        <f>IF(OR('Net Income'!J29=0,'Net Income'!J29=""),"",IF('Market Cap'!J29="",0,'Market Cap'!J29/'Net Income'!J29))</f>
        <v>9.1596769480597366</v>
      </c>
      <c r="K29" s="50">
        <f>IF(OR('Net Income'!K29=0,'Net Income'!K29=""),"",IF('Market Cap'!K29="",0,'Market Cap'!K29/'Net Income'!K29))</f>
        <v>10.518186532784529</v>
      </c>
      <c r="L29" s="50">
        <f>IF(OR('Net Income'!L29=0,'Net Income'!L29=""),"",IF('Market Cap'!L29="",0,'Market Cap'!L29/'Net Income'!L29))</f>
        <v>7.6395034835944022</v>
      </c>
      <c r="M29" s="50">
        <f>IF(OR('Net Income'!M29=0,'Net Income'!M29=""),"",IF('Market Cap'!M29="",0,'Market Cap'!M29/'Net Income'!M29))</f>
        <v>8.9813537536769505</v>
      </c>
      <c r="N29" s="50">
        <f>IF(OR('Net Income'!N29=0,'Net Income'!N29=""),"",IF('Market Cap'!N29="",0,'Market Cap'!N29/'Net Income'!N29))</f>
        <v>9.1464365034765684</v>
      </c>
    </row>
    <row r="30" spans="1:14" x14ac:dyDescent="0.3">
      <c r="A30" s="8" t="s">
        <v>95</v>
      </c>
      <c r="B30" s="8" t="s">
        <v>96</v>
      </c>
      <c r="C30" s="8" t="s">
        <v>46</v>
      </c>
      <c r="D30" s="8" t="s">
        <v>43</v>
      </c>
      <c r="E30" s="50">
        <f>IF(OR('Net Income'!E30=0,'Net Income'!E30=""),"",IF('Market Cap'!E30="",0,'Market Cap'!E30/'Net Income'!E30))</f>
        <v>19.248510908776797</v>
      </c>
      <c r="F30" s="50">
        <f>IF(OR('Net Income'!F30=0,'Net Income'!F30=""),"",IF('Market Cap'!F30="",0,'Market Cap'!F30/'Net Income'!F30))</f>
        <v>21.017840572578464</v>
      </c>
      <c r="G30" s="50">
        <f>IF(OR('Net Income'!G30=0,'Net Income'!G30=""),"",IF('Market Cap'!G30="",0,'Market Cap'!G30/'Net Income'!G30))</f>
        <v>26.045105993079364</v>
      </c>
      <c r="H30" s="50">
        <f>IF(OR('Net Income'!H30=0,'Net Income'!H30=""),"",IF('Market Cap'!H30="",0,'Market Cap'!H30/'Net Income'!H30))</f>
        <v>22.082975684832807</v>
      </c>
      <c r="I30" s="50">
        <f>IF(OR('Net Income'!I30=0,'Net Income'!I30=""),"",IF('Market Cap'!I30="",0,'Market Cap'!I30/'Net Income'!I30))</f>
        <v>28.120995071636674</v>
      </c>
      <c r="J30" s="50">
        <f>IF(OR('Net Income'!J30=0,'Net Income'!J30=""),"",IF('Market Cap'!J30="",0,'Market Cap'!J30/'Net Income'!J30))</f>
        <v>42.181000554351407</v>
      </c>
      <c r="K30" s="50">
        <f>IF(OR('Net Income'!K30=0,'Net Income'!K30=""),"",IF('Market Cap'!K30="",0,'Market Cap'!K30/'Net Income'!K30))</f>
        <v>43.203074806483826</v>
      </c>
      <c r="L30" s="50">
        <f>IF(OR('Net Income'!L30=0,'Net Income'!L30=""),"",IF('Market Cap'!L30="",0,'Market Cap'!L30/'Net Income'!L30))</f>
        <v>21.945430764450787</v>
      </c>
      <c r="M30" s="50">
        <f>IF(OR('Net Income'!M30=0,'Net Income'!M30=""),"",IF('Market Cap'!M30="",0,'Market Cap'!M30/'Net Income'!M30))</f>
        <v>24.585992069694132</v>
      </c>
      <c r="N30" s="50">
        <f>IF(OR('Net Income'!N30=0,'Net Income'!N30=""),"",IF('Market Cap'!N30="",0,'Market Cap'!N30/'Net Income'!N30))</f>
        <v>21.562448898273285</v>
      </c>
    </row>
    <row r="31" spans="1:14" x14ac:dyDescent="0.3">
      <c r="A31" s="8" t="s">
        <v>97</v>
      </c>
      <c r="B31" s="8" t="s">
        <v>98</v>
      </c>
      <c r="C31" s="8" t="s">
        <v>46</v>
      </c>
      <c r="D31" s="8" t="s">
        <v>43</v>
      </c>
      <c r="E31" s="50" t="str">
        <f>IF(OR('Net Income'!E31=0,'Net Income'!E31=""),"",IF('Market Cap'!E31="",0,'Market Cap'!E31/'Net Income'!E31))</f>
        <v/>
      </c>
      <c r="F31" s="50" t="str">
        <f>IF(OR('Net Income'!F31=0,'Net Income'!F31=""),"",IF('Market Cap'!F31="",0,'Market Cap'!F31/'Net Income'!F31))</f>
        <v/>
      </c>
      <c r="G31" s="50" t="str">
        <f>IF(OR('Net Income'!G31=0,'Net Income'!G31=""),"",IF('Market Cap'!G31="",0,'Market Cap'!G31/'Net Income'!G31))</f>
        <v/>
      </c>
      <c r="H31" s="50" t="str">
        <f>IF(OR('Net Income'!H31=0,'Net Income'!H31=""),"",IF('Market Cap'!H31="",0,'Market Cap'!H31/'Net Income'!H31))</f>
        <v/>
      </c>
      <c r="I31" s="50" t="str">
        <f>IF(OR('Net Income'!I31=0,'Net Income'!I31=""),"",IF('Market Cap'!I31="",0,'Market Cap'!I31/'Net Income'!I31))</f>
        <v/>
      </c>
      <c r="J31" s="50">
        <f>IF(OR('Net Income'!J31=0,'Net Income'!J31=""),"",IF('Market Cap'!J31="",0,'Market Cap'!J31/'Net Income'!J31))</f>
        <v>80.186142926379318</v>
      </c>
      <c r="K31" s="50">
        <f>IF(OR('Net Income'!K31=0,'Net Income'!K31=""),"",IF('Market Cap'!K31="",0,'Market Cap'!K31/'Net Income'!K31))</f>
        <v>309.52870364971244</v>
      </c>
      <c r="L31" s="50">
        <f>IF(OR('Net Income'!L31=0,'Net Income'!L31=""),"",IF('Market Cap'!L31="",0,'Market Cap'!L31/'Net Income'!L31))</f>
        <v>68.9530574548467</v>
      </c>
      <c r="M31" s="50"/>
      <c r="N31" s="50">
        <f>IF(OR('Net Income'!N31=0,'Net Income'!N31=""),"",IF('Market Cap'!N31="",0,'Market Cap'!N31/'Net Income'!N31))</f>
        <v>41.024700378224317</v>
      </c>
    </row>
    <row r="32" spans="1:14" x14ac:dyDescent="0.3">
      <c r="A32" s="8" t="s">
        <v>99</v>
      </c>
      <c r="B32" s="8" t="s">
        <v>100</v>
      </c>
      <c r="C32" s="8" t="s">
        <v>46</v>
      </c>
      <c r="D32" s="8" t="s">
        <v>43</v>
      </c>
      <c r="E32" s="50" t="str">
        <f>IF(OR('Net Income'!E32=0,'Net Income'!E32=""),"",IF('Market Cap'!E32="",0,'Market Cap'!E32/'Net Income'!E32))</f>
        <v/>
      </c>
      <c r="F32" s="50" t="str">
        <f>IF(OR('Net Income'!F32=0,'Net Income'!F32=""),"",IF('Market Cap'!F32="",0,'Market Cap'!F32/'Net Income'!F32))</f>
        <v/>
      </c>
      <c r="G32" s="50" t="str">
        <f>IF(OR('Net Income'!G32=0,'Net Income'!G32=""),"",IF('Market Cap'!G32="",0,'Market Cap'!G32/'Net Income'!G32))</f>
        <v/>
      </c>
      <c r="H32" s="50">
        <f>IF(OR('Net Income'!H32=0,'Net Income'!H32=""),"",IF('Market Cap'!H32="",0,'Market Cap'!H32/'Net Income'!H32))</f>
        <v>12.858950060935205</v>
      </c>
      <c r="I32" s="50">
        <f>IF(OR('Net Income'!I32=0,'Net Income'!I32=""),"",IF('Market Cap'!I32="",0,'Market Cap'!I32/'Net Income'!I32))</f>
        <v>11.731570706678779</v>
      </c>
      <c r="J32" s="50">
        <f>IF(OR('Net Income'!J32=0,'Net Income'!J32=""),"",IF('Market Cap'!J32="",0,'Market Cap'!J32/'Net Income'!J32))</f>
        <v>103.81271530007264</v>
      </c>
      <c r="K32" s="50">
        <f>IF(OR('Net Income'!K32=0,'Net Income'!K32=""),"",IF('Market Cap'!K32="",0,'Market Cap'!K32/'Net Income'!K32))</f>
        <v>20.178602095139961</v>
      </c>
      <c r="L32" s="50">
        <f>IF(OR('Net Income'!L32=0,'Net Income'!L32=""),"",IF('Market Cap'!L32="",0,'Market Cap'!L32/'Net Income'!L32))</f>
        <v>9.574875526618154</v>
      </c>
      <c r="M32" s="50">
        <f>IF(OR('Net Income'!M32=0,'Net Income'!M32=""),"",IF('Market Cap'!M32="",0,'Market Cap'!M32/'Net Income'!M32))</f>
        <v>10.290556900726392</v>
      </c>
      <c r="N32" s="50">
        <f>IF(OR('Net Income'!N32=0,'Net Income'!N32=""),"",IF('Market Cap'!N32="",0,'Market Cap'!N32/'Net Income'!N32))</f>
        <v>12.461939833262461</v>
      </c>
    </row>
    <row r="33" spans="1:14" x14ac:dyDescent="0.3">
      <c r="A33" s="8" t="s">
        <v>101</v>
      </c>
      <c r="B33" s="8" t="s">
        <v>102</v>
      </c>
      <c r="C33" s="8" t="s">
        <v>46</v>
      </c>
      <c r="D33" s="8" t="s">
        <v>43</v>
      </c>
      <c r="E33" s="50" t="str">
        <f>IF(OR('Net Income'!E33=0,'Net Income'!E33=""),"",IF('Market Cap'!E33="",0,'Market Cap'!E33/'Net Income'!E33))</f>
        <v/>
      </c>
      <c r="F33" s="50">
        <f>IF(OR('Net Income'!F33=0,'Net Income'!F33=""),"",IF('Market Cap'!F33="",0,'Market Cap'!F33/'Net Income'!F33))</f>
        <v>13.250086977491961</v>
      </c>
      <c r="G33" s="50">
        <f>IF(OR('Net Income'!G33=0,'Net Income'!G33=""),"",IF('Market Cap'!G33="",0,'Market Cap'!G33/'Net Income'!G33))</f>
        <v>11.931818177939043</v>
      </c>
      <c r="H33" s="50">
        <f>IF(OR('Net Income'!H33=0,'Net Income'!H33=""),"",IF('Market Cap'!H33="",0,'Market Cap'!H33/'Net Income'!H33))</f>
        <v>6.5072099356683344</v>
      </c>
      <c r="I33" s="50">
        <f>IF(OR('Net Income'!I33=0,'Net Income'!I33=""),"",IF('Market Cap'!I33="",0,'Market Cap'!I33/'Net Income'!I33))</f>
        <v>9.8097038704918038</v>
      </c>
      <c r="J33" s="50">
        <f>IF(OR('Net Income'!J33=0,'Net Income'!J33=""),"",IF('Market Cap'!J33="",0,'Market Cap'!J33/'Net Income'!J33))</f>
        <v>8.9669336629660314</v>
      </c>
      <c r="K33" s="50">
        <f>IF(OR('Net Income'!K33=0,'Net Income'!K33=""),"",IF('Market Cap'!K33="",0,'Market Cap'!K33/'Net Income'!K33))</f>
        <v>9.5133849757034223</v>
      </c>
      <c r="L33" s="50">
        <f>IF(OR('Net Income'!L33=0,'Net Income'!L33=""),"",IF('Market Cap'!L33="",0,'Market Cap'!L33/'Net Income'!L33))</f>
        <v>7.5132957554942967</v>
      </c>
      <c r="M33" s="50">
        <f>IF(OR('Net Income'!M33=0,'Net Income'!M33=""),"",IF('Market Cap'!M33="",0,'Market Cap'!M33/'Net Income'!M33))</f>
        <v>6.9925826034651406</v>
      </c>
      <c r="N33" s="50">
        <f>IF(OR('Net Income'!N33=0,'Net Income'!N33=""),"",IF('Market Cap'!N33="",0,'Market Cap'!N33/'Net Income'!N33))</f>
        <v>8.8441558454864602</v>
      </c>
    </row>
    <row r="34" spans="1:14" x14ac:dyDescent="0.3">
      <c r="A34" s="8" t="s">
        <v>103</v>
      </c>
      <c r="B34" s="8" t="s">
        <v>104</v>
      </c>
      <c r="C34" s="8" t="s">
        <v>46</v>
      </c>
      <c r="D34" s="8" t="s">
        <v>43</v>
      </c>
      <c r="E34" s="50">
        <f>IF(OR('Net Income'!E34=0,'Net Income'!E34=""),"",IF('Market Cap'!E34="",0,'Market Cap'!E34/'Net Income'!E34))</f>
        <v>20.25469827551402</v>
      </c>
      <c r="F34" s="50">
        <f>IF(OR('Net Income'!F34=0,'Net Income'!F34=""),"",IF('Market Cap'!F34="",0,'Market Cap'!F34/'Net Income'!F34))</f>
        <v>21.231822101910566</v>
      </c>
      <c r="G34" s="50">
        <f>IF(OR('Net Income'!G34=0,'Net Income'!G34=""),"",IF('Market Cap'!G34="",0,'Market Cap'!G34/'Net Income'!G34))</f>
        <v>24.338997356828195</v>
      </c>
      <c r="H34" s="50">
        <f>IF(OR('Net Income'!H34=0,'Net Income'!H34=""),"",IF('Market Cap'!H34="",0,'Market Cap'!H34/'Net Income'!H34))</f>
        <v>32.880766538461536</v>
      </c>
      <c r="I34" s="50">
        <f>IF(OR('Net Income'!I34=0,'Net Income'!I34=""),"",IF('Market Cap'!I34="",0,'Market Cap'!I34/'Net Income'!I34))</f>
        <v>19.365949006849316</v>
      </c>
      <c r="J34" s="50">
        <f>IF(OR('Net Income'!J34=0,'Net Income'!J34=""),"",IF('Market Cap'!J34="",0,'Market Cap'!J34/'Net Income'!J34))</f>
        <v>43.011280449438203</v>
      </c>
      <c r="K34" s="50">
        <f>IF(OR('Net Income'!K34=0,'Net Income'!K34=""),"",IF('Market Cap'!K34="",0,'Market Cap'!K34/'Net Income'!K34))</f>
        <v>28.31636</v>
      </c>
      <c r="L34" s="50">
        <f>IF(OR('Net Income'!L34=0,'Net Income'!L34=""),"",IF('Market Cap'!L34="",0,'Market Cap'!L34/'Net Income'!L34))</f>
        <v>18.120646865079365</v>
      </c>
      <c r="M34" s="50">
        <f>IF(OR('Net Income'!M34=0,'Net Income'!M34=""),"",IF('Market Cap'!M34="",0,'Market Cap'!M34/'Net Income'!M34))</f>
        <v>21.474226774896032</v>
      </c>
      <c r="N34" s="50">
        <f>IF(OR('Net Income'!N34=0,'Net Income'!N34=""),"",IF('Market Cap'!N34="",0,'Market Cap'!N34/'Net Income'!N34))</f>
        <v>23.813108916323731</v>
      </c>
    </row>
    <row r="35" spans="1:14" x14ac:dyDescent="0.3">
      <c r="A35" s="8" t="s">
        <v>105</v>
      </c>
      <c r="B35" s="8" t="s">
        <v>106</v>
      </c>
      <c r="C35" s="8" t="s">
        <v>46</v>
      </c>
      <c r="D35" s="8" t="s">
        <v>43</v>
      </c>
      <c r="E35" s="50"/>
      <c r="F35" s="50"/>
      <c r="G35" s="50"/>
      <c r="H35" s="50"/>
      <c r="I35" s="50">
        <f>IF(OR('Net Income'!I35=0,'Net Income'!I35=""),"",IF('Market Cap'!I35="",0,'Market Cap'!I35/'Net Income'!I35))</f>
        <v>23.332866127346939</v>
      </c>
      <c r="J35" s="50"/>
      <c r="K35" s="50"/>
      <c r="L35" s="50"/>
      <c r="M35" s="50">
        <f>IF(OR('Net Income'!M35=0,'Net Income'!M35=""),"",IF('Market Cap'!M35="",0,'Market Cap'!M35/'Net Income'!M35))</f>
        <v>16.384734109776538</v>
      </c>
      <c r="N35" s="50">
        <f>IF(OR('Net Income'!N35=0,'Net Income'!N35=""),"",IF('Market Cap'!N35="",0,'Market Cap'!N35/'Net Income'!N35))</f>
        <v>16.139611699346407</v>
      </c>
    </row>
    <row r="36" spans="1:14" x14ac:dyDescent="0.3">
      <c r="A36" s="8" t="s">
        <v>107</v>
      </c>
      <c r="B36" s="8" t="s">
        <v>108</v>
      </c>
      <c r="C36" s="8" t="s">
        <v>46</v>
      </c>
      <c r="D36" s="8" t="s">
        <v>43</v>
      </c>
      <c r="E36" s="50">
        <f>IF(OR('Net Income'!E36=0,'Net Income'!E36=""),"",IF('Market Cap'!E36="",0,'Market Cap'!E36/'Net Income'!E36))</f>
        <v>13.766251037382876</v>
      </c>
      <c r="F36" s="50">
        <f>IF(OR('Net Income'!F36=0,'Net Income'!F36=""),"",IF('Market Cap'!F36="",0,'Market Cap'!F36/'Net Income'!F36))</f>
        <v>15.761401249407665</v>
      </c>
      <c r="G36" s="50">
        <f>IF(OR('Net Income'!G36=0,'Net Income'!G36=""),"",IF('Market Cap'!G36="",0,'Market Cap'!G36/'Net Income'!G36))</f>
        <v>15.376030173333334</v>
      </c>
      <c r="H36" s="50">
        <f>IF(OR('Net Income'!H36=0,'Net Income'!H36=""),"",IF('Market Cap'!H36="",0,'Market Cap'!H36/'Net Income'!H36))</f>
        <v>13.780995803083332</v>
      </c>
      <c r="I36" s="50">
        <f>IF(OR('Net Income'!I36=0,'Net Income'!I36=""),"",IF('Market Cap'!I36="",0,'Market Cap'!I36/'Net Income'!I36))</f>
        <v>14.201634991587156</v>
      </c>
      <c r="J36" s="50">
        <f>IF(OR('Net Income'!J36=0,'Net Income'!J36=""),"",IF('Market Cap'!J36="",0,'Market Cap'!J36/'Net Income'!J36))</f>
        <v>13.670568659400544</v>
      </c>
      <c r="K36" s="50">
        <f>IF(OR('Net Income'!K36=0,'Net Income'!K36=""),"",IF('Market Cap'!K36="",0,'Market Cap'!K36/'Net Income'!K36))</f>
        <v>11.587846437700534</v>
      </c>
      <c r="L36" s="50">
        <f>IF(OR('Net Income'!L36=0,'Net Income'!L36=""),"",IF('Market Cap'!L36="",0,'Market Cap'!L36/'Net Income'!L36))</f>
        <v>22.525756979463488</v>
      </c>
      <c r="M36" s="50">
        <f>IF(OR('Net Income'!M36=0,'Net Income'!M36=""),"",IF('Market Cap'!M36="",0,'Market Cap'!M36/'Net Income'!M36))</f>
        <v>13.766993124405287</v>
      </c>
      <c r="N36" s="50">
        <f>IF(OR('Net Income'!N36=0,'Net Income'!N36=""),"",IF('Market Cap'!N36="",0,'Market Cap'!N36/'Net Income'!N36))</f>
        <v>11.401805942589355</v>
      </c>
    </row>
    <row r="37" spans="1:14" x14ac:dyDescent="0.3">
      <c r="A37" s="8" t="s">
        <v>109</v>
      </c>
      <c r="B37" s="8" t="s">
        <v>110</v>
      </c>
      <c r="C37" s="8" t="s">
        <v>46</v>
      </c>
      <c r="D37" s="8" t="s">
        <v>43</v>
      </c>
      <c r="E37" s="50">
        <f>IF(OR('Net Income'!E37=0,'Net Income'!E37=""),"",IF('Market Cap'!E37="",0,'Market Cap'!E37/'Net Income'!E37))</f>
        <v>38.804077544910179</v>
      </c>
      <c r="F37" s="50">
        <f>IF(OR('Net Income'!F37=0,'Net Income'!F37=""),"",IF('Market Cap'!F37="",0,'Market Cap'!F37/'Net Income'!F37))</f>
        <v>7.267190537992235</v>
      </c>
      <c r="G37" s="50">
        <f>IF(OR('Net Income'!G37=0,'Net Income'!G37=""),"",IF('Market Cap'!G37="",0,'Market Cap'!G37/'Net Income'!G37))</f>
        <v>6.670174185047264</v>
      </c>
      <c r="H37" s="50">
        <f>IF(OR('Net Income'!H37=0,'Net Income'!H37=""),"",IF('Market Cap'!H37="",0,'Market Cap'!H37/'Net Income'!H37))</f>
        <v>5.3946447422394677</v>
      </c>
      <c r="I37" s="50">
        <f>IF(OR('Net Income'!I37=0,'Net Income'!I37=""),"",IF('Market Cap'!I37="",0,'Market Cap'!I37/'Net Income'!I37))</f>
        <v>3.1154732195711263</v>
      </c>
      <c r="J37" s="50">
        <f>IF(OR('Net Income'!J37=0,'Net Income'!J37=""),"",IF('Market Cap'!J37="",0,'Market Cap'!J37/'Net Income'!J37))</f>
        <v>780.51963172413798</v>
      </c>
      <c r="K37" s="50">
        <f>IF(OR('Net Income'!K37=0,'Net Income'!K37=""),"",IF('Market Cap'!K37="",0,'Market Cap'!K37/'Net Income'!K37))</f>
        <v>3.5957359126760564</v>
      </c>
      <c r="L37" s="50">
        <f>IF(OR('Net Income'!L37=0,'Net Income'!L37=""),"",IF('Market Cap'!L37="",0,'Market Cap'!L37/'Net Income'!L37))</f>
        <v>2.4785749235073515</v>
      </c>
      <c r="M37" s="50">
        <f>IF(OR('Net Income'!M37=0,'Net Income'!M37=""),"",IF('Market Cap'!M37="",0,'Market Cap'!M37/'Net Income'!M37))</f>
        <v>3.5378865481824047</v>
      </c>
      <c r="N37" s="50">
        <f>IF(OR('Net Income'!N37=0,'Net Income'!N37=""),"",IF('Market Cap'!N37="",0,'Market Cap'!N37/'Net Income'!N37))</f>
        <v>6.7920062342444725</v>
      </c>
    </row>
    <row r="38" spans="1:14" x14ac:dyDescent="0.3">
      <c r="A38" s="8" t="s">
        <v>111</v>
      </c>
      <c r="B38" s="8" t="s">
        <v>112</v>
      </c>
      <c r="C38" s="8" t="s">
        <v>46</v>
      </c>
      <c r="D38" s="8" t="s">
        <v>43</v>
      </c>
      <c r="E38" s="50">
        <f>IF(OR('Net Income'!E38=0,'Net Income'!E38=""),"",IF('Market Cap'!E38="",0,'Market Cap'!E38/'Net Income'!E38))</f>
        <v>33.625252338171428</v>
      </c>
      <c r="F38" s="50">
        <f>IF(OR('Net Income'!F38=0,'Net Income'!F38=""),"",IF('Market Cap'!F38="",0,'Market Cap'!F38/'Net Income'!F38))</f>
        <v>82.573248308429754</v>
      </c>
      <c r="G38" s="50">
        <f>IF(OR('Net Income'!G38=0,'Net Income'!G38=""),"",IF('Market Cap'!G38="",0,'Market Cap'!G38/'Net Income'!G38))</f>
        <v>89.928466364862388</v>
      </c>
      <c r="H38" s="50">
        <f>IF(OR('Net Income'!H38=0,'Net Income'!H38=""),"",IF('Market Cap'!H38="",0,'Market Cap'!H38/'Net Income'!H38))</f>
        <v>7.8919560947882132</v>
      </c>
      <c r="I38" s="50">
        <f>IF(OR('Net Income'!I38=0,'Net Income'!I38=""),"",IF('Market Cap'!I38="",0,'Market Cap'!I38/'Net Income'!I38))</f>
        <v>23.391176599631784</v>
      </c>
      <c r="J38" s="50">
        <f>IF(OR('Net Income'!J38=0,'Net Income'!J38=""),"",IF('Market Cap'!J38="",0,'Market Cap'!J38/'Net Income'!J38))</f>
        <v>29.91834373319168</v>
      </c>
      <c r="K38" s="50">
        <f>IF(OR('Net Income'!K38=0,'Net Income'!K38=""),"",IF('Market Cap'!K38="",0,'Market Cap'!K38/'Net Income'!K38))</f>
        <v>22.339474897599999</v>
      </c>
      <c r="L38" s="50">
        <f>IF(OR('Net Income'!L38=0,'Net Income'!L38=""),"",IF('Market Cap'!L38="",0,'Market Cap'!L38/'Net Income'!L38))</f>
        <v>8.0720950902550506</v>
      </c>
      <c r="M38" s="50">
        <f>IF(OR('Net Income'!M38=0,'Net Income'!M38=""),"",IF('Market Cap'!M38="",0,'Market Cap'!M38/'Net Income'!M38))</f>
        <v>11.233348314175657</v>
      </c>
      <c r="N38" s="50">
        <f>IF(OR('Net Income'!N38=0,'Net Income'!N38=""),"",IF('Market Cap'!N38="",0,'Market Cap'!N38/'Net Income'!N38))</f>
        <v>14.552312616448299</v>
      </c>
    </row>
    <row r="39" spans="1:14" x14ac:dyDescent="0.3">
      <c r="A39" s="8" t="s">
        <v>113</v>
      </c>
      <c r="B39" s="8" t="s">
        <v>114</v>
      </c>
      <c r="C39" s="8" t="s">
        <v>46</v>
      </c>
      <c r="D39" s="8" t="s">
        <v>43</v>
      </c>
      <c r="E39" s="50"/>
      <c r="F39" s="50">
        <f>IF(OR('Net Income'!F39=0,'Net Income'!F39=""),"",IF('Market Cap'!F39="",0,'Market Cap'!F39/'Net Income'!F39))</f>
        <v>381.03108964031247</v>
      </c>
      <c r="G39" s="50">
        <f>IF(OR('Net Income'!G39=0,'Net Income'!G39=""),"",IF('Market Cap'!G39="",0,'Market Cap'!G39/'Net Income'!G39))</f>
        <v>34.48784164563817</v>
      </c>
      <c r="H39" s="50">
        <f>IF(OR('Net Income'!H39=0,'Net Income'!H39=""),"",IF('Market Cap'!H39="",0,'Market Cap'!H39/'Net Income'!H39))</f>
        <v>14.682142019968884</v>
      </c>
      <c r="I39" s="50">
        <f>IF(OR('Net Income'!I39=0,'Net Income'!I39=""),"",IF('Market Cap'!I39="",0,'Market Cap'!I39/'Net Income'!I39))</f>
        <v>17.927603535881921</v>
      </c>
      <c r="J39" s="50"/>
      <c r="K39" s="50">
        <f>IF(OR('Net Income'!K39=0,'Net Income'!K39=""),"",IF('Market Cap'!K39="",0,'Market Cap'!K39/'Net Income'!K39))</f>
        <v>11.249855840740381</v>
      </c>
      <c r="L39" s="50">
        <f>IF(OR('Net Income'!L39=0,'Net Income'!L39=""),"",IF('Market Cap'!L39="",0,'Market Cap'!L39/'Net Income'!L39))</f>
        <v>8.0586383844466738</v>
      </c>
      <c r="M39" s="50">
        <f>IF(OR('Net Income'!M39=0,'Net Income'!M39=""),"",IF('Market Cap'!M39="",0,'Market Cap'!M39/'Net Income'!M39))</f>
        <v>5.2296098140587253</v>
      </c>
      <c r="N39" s="50">
        <f>IF(OR('Net Income'!N39=0,'Net Income'!N39=""),"",IF('Market Cap'!N39="",0,'Market Cap'!N39/'Net Income'!N39))</f>
        <v>10.337737174910199</v>
      </c>
    </row>
    <row r="40" spans="1:14" x14ac:dyDescent="0.3">
      <c r="A40" s="8" t="s">
        <v>115</v>
      </c>
      <c r="B40" s="8" t="s">
        <v>116</v>
      </c>
      <c r="C40" s="8" t="s">
        <v>46</v>
      </c>
      <c r="D40" s="8" t="s">
        <v>43</v>
      </c>
      <c r="E40" s="50">
        <f>IF(OR('Net Income'!E40=0,'Net Income'!E40=""),"",IF('Market Cap'!E40="",0,'Market Cap'!E40/'Net Income'!E40))</f>
        <v>16.081081078488666</v>
      </c>
      <c r="F40" s="50">
        <f>IF(OR('Net Income'!F40=0,'Net Income'!F40=""),"",IF('Market Cap'!F40="",0,'Market Cap'!F40/'Net Income'!F40))</f>
        <v>13.809523803743485</v>
      </c>
      <c r="G40" s="50">
        <f>IF(OR('Net Income'!G40=0,'Net Income'!G40=""),"",IF('Market Cap'!G40="",0,'Market Cap'!G40/'Net Income'!G40))</f>
        <v>14.035087716402732</v>
      </c>
      <c r="H40" s="50">
        <f>IF(OR('Net Income'!H40=0,'Net Income'!H40=""),"",IF('Market Cap'!H40="",0,'Market Cap'!H40/'Net Income'!H40))</f>
        <v>14.403409086343052</v>
      </c>
      <c r="I40" s="50">
        <f>IF(OR('Net Income'!I40=0,'Net Income'!I40=""),"",IF('Market Cap'!I40="",0,'Market Cap'!I40/'Net Income'!I40))</f>
        <v>15.782493363594348</v>
      </c>
      <c r="J40" s="50">
        <f>IF(OR('Net Income'!J40=0,'Net Income'!J40=""),"",IF('Market Cap'!J40="",0,'Market Cap'!J40/'Net Income'!J40))</f>
        <v>15.984654726288987</v>
      </c>
      <c r="K40" s="50">
        <f>IF(OR('Net Income'!K40=0,'Net Income'!K40=""),"",IF('Market Cap'!K40="",0,'Market Cap'!K40/'Net Income'!K40))</f>
        <v>17.80295063132759</v>
      </c>
      <c r="L40" s="50">
        <f>IF(OR('Net Income'!L40=0,'Net Income'!L40=""),"",IF('Market Cap'!L40="",0,'Market Cap'!L40/'Net Income'!L40))</f>
        <v>15.785355759626604</v>
      </c>
      <c r="M40" s="50">
        <f>IF(OR('Net Income'!M40=0,'Net Income'!M40=""),"",IF('Market Cap'!M40="",0,'Market Cap'!M40/'Net Income'!M40))</f>
        <v>16.944563254212785</v>
      </c>
      <c r="N40" s="50">
        <f>IF(OR('Net Income'!N40=0,'Net Income'!N40=""),"",IF('Market Cap'!N40="",0,'Market Cap'!N40/'Net Income'!N40))</f>
        <v>14.423622943761183</v>
      </c>
    </row>
    <row r="41" spans="1:14" x14ac:dyDescent="0.3">
      <c r="A41" s="8" t="s">
        <v>117</v>
      </c>
      <c r="B41" s="8" t="s">
        <v>118</v>
      </c>
      <c r="C41" s="8" t="s">
        <v>46</v>
      </c>
      <c r="D41" s="8" t="s">
        <v>43</v>
      </c>
      <c r="E41" s="50">
        <f>IF(OR('Net Income'!E41=0,'Net Income'!E41=""),"",IF('Market Cap'!E41="",0,'Market Cap'!E41/'Net Income'!E41))</f>
        <v>25.555752467560676</v>
      </c>
      <c r="F41" s="50"/>
      <c r="G41" s="50">
        <f>IF(OR('Net Income'!G41=0,'Net Income'!G41=""),"",IF('Market Cap'!G41="",0,'Market Cap'!G41/'Net Income'!G41))</f>
        <v>5.5899885850093414</v>
      </c>
      <c r="H41" s="50">
        <f>IF(OR('Net Income'!H41=0,'Net Income'!H41=""),"",IF('Market Cap'!H41="",0,'Market Cap'!H41/'Net Income'!H41))</f>
        <v>5.2796676568224985</v>
      </c>
      <c r="I41" s="50">
        <f>IF(OR('Net Income'!I41=0,'Net Income'!I41=""),"",IF('Market Cap'!I41="",0,'Market Cap'!I41/'Net Income'!I41))</f>
        <v>8.5804656448265639</v>
      </c>
      <c r="J41" s="50"/>
      <c r="K41" s="50">
        <f>IF(OR('Net Income'!K41=0,'Net Income'!K41=""),"",IF('Market Cap'!K41="",0,'Market Cap'!K41/'Net Income'!K41))</f>
        <v>14.352005944656488</v>
      </c>
      <c r="L41" s="50">
        <f>IF(OR('Net Income'!L41=0,'Net Income'!L41=""),"",IF('Market Cap'!L41="",0,'Market Cap'!L41/'Net Income'!L41))</f>
        <v>4.25242471972747</v>
      </c>
      <c r="M41" s="50">
        <f>IF(OR('Net Income'!M41=0,'Net Income'!M41=""),"",IF('Market Cap'!M41="",0,'Market Cap'!M41/'Net Income'!M41))</f>
        <v>4.4256082549700224</v>
      </c>
      <c r="N41" s="50">
        <f>IF(OR('Net Income'!N41=0,'Net Income'!N41=""),"",IF('Market Cap'!N41="",0,'Market Cap'!N41/'Net Income'!N41))</f>
        <v>6.7125452392221421</v>
      </c>
    </row>
    <row r="42" spans="1:14" x14ac:dyDescent="0.3">
      <c r="A42" s="8" t="s">
        <v>119</v>
      </c>
      <c r="B42" s="8" t="s">
        <v>120</v>
      </c>
      <c r="C42" s="8" t="s">
        <v>46</v>
      </c>
      <c r="D42" s="8" t="s">
        <v>43</v>
      </c>
      <c r="E42" s="50">
        <f>IF(OR('Net Income'!E42=0,'Net Income'!E42=""),"",IF('Market Cap'!E42="",0,'Market Cap'!E42/'Net Income'!E42))</f>
        <v>5.825959564541213</v>
      </c>
      <c r="F42" s="50">
        <f>IF(OR('Net Income'!F42=0,'Net Income'!F42=""),"",IF('Market Cap'!F42="",0,'Market Cap'!F42/'Net Income'!F42))</f>
        <v>4.5356800000000002</v>
      </c>
      <c r="G42" s="50"/>
      <c r="H42" s="50">
        <f>IF(OR('Net Income'!H42=0,'Net Income'!H42=""),"",IF('Market Cap'!H42="",0,'Market Cap'!H42/'Net Income'!H42))</f>
        <v>2.6465587478559178</v>
      </c>
      <c r="I42" s="50">
        <f>IF(OR('Net Income'!I42=0,'Net Income'!I42=""),"",IF('Market Cap'!I42="",0,'Market Cap'!I42/'Net Income'!I42))</f>
        <v>4.0556144044321334</v>
      </c>
      <c r="J42" s="50">
        <f>IF(OR('Net Income'!J42=0,'Net Income'!J42=""),"",IF('Market Cap'!J42="",0,'Market Cap'!J42/'Net Income'!J42))</f>
        <v>3.9580873621713315</v>
      </c>
      <c r="K42" s="50">
        <f>IF(OR('Net Income'!K42=0,'Net Income'!K42=""),"",IF('Market Cap'!K42="",0,'Market Cap'!K42/'Net Income'!K42))</f>
        <v>5.4616053303542929</v>
      </c>
      <c r="L42" s="50">
        <f>IF(OR('Net Income'!L42=0,'Net Income'!L42=""),"",IF('Market Cap'!L42="",0,'Market Cap'!L42/'Net Income'!L42))</f>
        <v>6.2101664761904765</v>
      </c>
      <c r="M42" s="50">
        <f>IF(OR('Net Income'!M42=0,'Net Income'!M42=""),"",IF('Market Cap'!M42="",0,'Market Cap'!M42/'Net Income'!M42))</f>
        <v>3.3556403269754767</v>
      </c>
      <c r="N42" s="50">
        <f>IF(OR('Net Income'!N42=0,'Net Income'!N42=""),"",IF('Market Cap'!N42="",0,'Market Cap'!N42/'Net Income'!N42))</f>
        <v>8.02</v>
      </c>
    </row>
    <row r="43" spans="1:14" x14ac:dyDescent="0.3">
      <c r="A43" s="6" t="s">
        <v>121</v>
      </c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3">
      <c r="A44" s="8" t="s">
        <v>122</v>
      </c>
      <c r="B44" s="8" t="s">
        <v>123</v>
      </c>
      <c r="C44" s="8" t="s">
        <v>124</v>
      </c>
      <c r="D44" s="8" t="s">
        <v>121</v>
      </c>
      <c r="E44" s="50">
        <f>IF(OR('Net Income'!E44=0,'Net Income'!E44=""),"",IF('Market Cap'!E44="",0,'Market Cap'!E44/'Net Income'!E44))</f>
        <v>28.580661423312304</v>
      </c>
      <c r="F44" s="50">
        <f>IF(OR('Net Income'!F44=0,'Net Income'!F44=""),"",IF('Market Cap'!F44="",0,'Market Cap'!F44/'Net Income'!F44))</f>
        <v>29.555820689675517</v>
      </c>
      <c r="G44" s="50">
        <f>IF(OR('Net Income'!G44=0,'Net Income'!G44=""),"",IF('Market Cap'!G44="",0,'Market Cap'!G44/'Net Income'!G44))</f>
        <v>30.83843950952598</v>
      </c>
      <c r="H44" s="50">
        <f>IF(OR('Net Income'!H44=0,'Net Income'!H44=""),"",IF('Market Cap'!H44="",0,'Market Cap'!H44/'Net Income'!H44))</f>
        <v>21.859202005170388</v>
      </c>
      <c r="I44" s="50">
        <f>IF(OR('Net Income'!I44=0,'Net Income'!I44=""),"",IF('Market Cap'!I44="",0,'Market Cap'!I44/'Net Income'!I44))</f>
        <v>28.980895652125504</v>
      </c>
      <c r="J44" s="50">
        <f>IF(OR('Net Income'!J44=0,'Net Income'!J44=""),"",IF('Market Cap'!J44="",0,'Market Cap'!J44/'Net Income'!J44))</f>
        <v>134.57627259166665</v>
      </c>
      <c r="K44" s="50">
        <f>IF(OR('Net Income'!K44=0,'Net Income'!K44=""),"",IF('Market Cap'!K44="",0,'Market Cap'!K44/'Net Income'!K44))</f>
        <v>32.952144469705097</v>
      </c>
      <c r="L44" s="50">
        <f>IF(OR('Net Income'!L44=0,'Net Income'!L44=""),"",IF('Market Cap'!L44="",0,'Market Cap'!L44/'Net Income'!L44))</f>
        <v>91.963709261181108</v>
      </c>
      <c r="M44" s="50"/>
      <c r="N44" s="50">
        <f>IF(OR('Net Income'!N44=0,'Net Income'!N44=""),"",IF('Market Cap'!N44="",0,'Market Cap'!N44/'Net Income'!N44))</f>
        <v>55.340867920418845</v>
      </c>
    </row>
    <row r="45" spans="1:14" x14ac:dyDescent="0.3">
      <c r="A45" s="8" t="s">
        <v>125</v>
      </c>
      <c r="B45" s="8" t="s">
        <v>126</v>
      </c>
      <c r="C45" s="8" t="s">
        <v>124</v>
      </c>
      <c r="D45" s="8" t="s">
        <v>121</v>
      </c>
      <c r="E45" s="50">
        <f>IF(OR('Net Income'!E45=0,'Net Income'!E45=""),"",IF('Market Cap'!E45="",0,'Market Cap'!E45/'Net Income'!E45))</f>
        <v>18.285505920715874</v>
      </c>
      <c r="F45" s="50">
        <f>IF(OR('Net Income'!F45=0,'Net Income'!F45=""),"",IF('Market Cap'!F45="",0,'Market Cap'!F45/'Net Income'!F45))</f>
        <v>48.768768912834169</v>
      </c>
      <c r="G45" s="50">
        <f>IF(OR('Net Income'!G45=0,'Net Income'!G45=""),"",IF('Market Cap'!G45="",0,'Market Cap'!G45/'Net Income'!G45))</f>
        <v>22.305553490998957</v>
      </c>
      <c r="H45" s="50">
        <f>IF(OR('Net Income'!H45=0,'Net Income'!H45=""),"",IF('Market Cap'!H45="",0,'Market Cap'!H45/'Net Income'!H45))</f>
        <v>21.361536972678454</v>
      </c>
      <c r="I45" s="50"/>
      <c r="J45" s="50"/>
      <c r="K45" s="50">
        <f>IF(OR('Net Income'!K45=0,'Net Income'!K45=""),"",IF('Market Cap'!K45="",0,'Market Cap'!K45/'Net Income'!K45))</f>
        <v>20.825214570918586</v>
      </c>
      <c r="L45" s="50">
        <f>IF(OR('Net Income'!L45=0,'Net Income'!L45=""),"",IF('Market Cap'!L45="",0,'Market Cap'!L45/'Net Income'!L45))</f>
        <v>20.641637600428538</v>
      </c>
      <c r="M45" s="50">
        <f>IF(OR('Net Income'!M45=0,'Net Income'!M45=""),"",IF('Market Cap'!M45="",0,'Market Cap'!M45/'Net Income'!M45))</f>
        <v>29.159146667278968</v>
      </c>
      <c r="N45" s="50">
        <f>IF(OR('Net Income'!N45=0,'Net Income'!N45=""),"",IF('Market Cap'!N45="",0,'Market Cap'!N45/'Net Income'!N45))</f>
        <v>28.891840131706051</v>
      </c>
    </row>
    <row r="46" spans="1:14" x14ac:dyDescent="0.3">
      <c r="A46" s="8" t="s">
        <v>127</v>
      </c>
      <c r="B46" s="8" t="s">
        <v>128</v>
      </c>
      <c r="C46" s="8" t="s">
        <v>124</v>
      </c>
      <c r="D46" s="8" t="s">
        <v>121</v>
      </c>
      <c r="E46" s="50">
        <f>IF(OR('Net Income'!E46=0,'Net Income'!E46=""),"",IF('Market Cap'!E46="",0,'Market Cap'!E46/'Net Income'!E46))</f>
        <v>11.23212940649184</v>
      </c>
      <c r="F46" s="50">
        <f>IF(OR('Net Income'!F46=0,'Net Income'!F46=""),"",IF('Market Cap'!F46="",0,'Market Cap'!F46/'Net Income'!F46))</f>
        <v>10.371611374400697</v>
      </c>
      <c r="G46" s="50">
        <f>IF(OR('Net Income'!G46=0,'Net Income'!G46=""),"",IF('Market Cap'!G46="",0,'Market Cap'!G46/'Net Income'!G46))</f>
        <v>12.56701443782155</v>
      </c>
      <c r="H46" s="50">
        <f>IF(OR('Net Income'!H46=0,'Net Income'!H46=""),"",IF('Market Cap'!H46="",0,'Market Cap'!H46/'Net Income'!H46))</f>
        <v>10.0400308630394</v>
      </c>
      <c r="I46" s="50">
        <f>IF(OR('Net Income'!I46=0,'Net Income'!I46=""),"",IF('Market Cap'!I46="",0,'Market Cap'!I46/'Net Income'!I46))</f>
        <v>11.553437353449583</v>
      </c>
      <c r="J46" s="50">
        <f>IF(OR('Net Income'!J46=0,'Net Income'!J46=""),"",IF('Market Cap'!J46="",0,'Market Cap'!J46/'Net Income'!J46))</f>
        <v>12.174900314411635</v>
      </c>
      <c r="K46" s="50">
        <f>IF(OR('Net Income'!K46=0,'Net Income'!K46=""),"",IF('Market Cap'!K46="",0,'Market Cap'!K46/'Net Income'!K46))</f>
        <v>12.908983958562784</v>
      </c>
      <c r="L46" s="50">
        <f>IF(OR('Net Income'!L46=0,'Net Income'!L46=""),"",IF('Market Cap'!L46="",0,'Market Cap'!L46/'Net Income'!L46))</f>
        <v>12.66515187958262</v>
      </c>
      <c r="M46" s="50">
        <f>IF(OR('Net Income'!M46=0,'Net Income'!M46=""),"",IF('Market Cap'!M46="",0,'Market Cap'!M46/'Net Income'!M46))</f>
        <v>11.223298871654373</v>
      </c>
      <c r="N46" s="50">
        <f>IF(OR('Net Income'!N46=0,'Net Income'!N46=""),"",IF('Market Cap'!N46="",0,'Market Cap'!N46/'Net Income'!N46))</f>
        <v>11.574454314771927</v>
      </c>
    </row>
    <row r="47" spans="1:14" x14ac:dyDescent="0.3">
      <c r="A47" s="8" t="s">
        <v>129</v>
      </c>
      <c r="B47" s="8" t="s">
        <v>130</v>
      </c>
      <c r="C47" s="8" t="s">
        <v>124</v>
      </c>
      <c r="D47" s="8" t="s">
        <v>121</v>
      </c>
      <c r="E47" s="50">
        <f>IF(OR('Net Income'!E47=0,'Net Income'!E47=""),"",IF('Market Cap'!E47="",0,'Market Cap'!E47/'Net Income'!E47))</f>
        <v>16.291656603962878</v>
      </c>
      <c r="F47" s="50">
        <f>IF(OR('Net Income'!F47=0,'Net Income'!F47=""),"",IF('Market Cap'!F47="",0,'Market Cap'!F47/'Net Income'!F47))</f>
        <v>19.997751600098621</v>
      </c>
      <c r="G47" s="50">
        <f>IF(OR('Net Income'!G47=0,'Net Income'!G47=""),"",IF('Market Cap'!G47="",0,'Market Cap'!G47/'Net Income'!G47))</f>
        <v>13.798341146758803</v>
      </c>
      <c r="H47" s="50">
        <f>IF(OR('Net Income'!H47=0,'Net Income'!H47=""),"",IF('Market Cap'!H47="",0,'Market Cap'!H47/'Net Income'!H47))</f>
        <v>11.848320560866794</v>
      </c>
      <c r="I47" s="50">
        <f>IF(OR('Net Income'!I47=0,'Net Income'!I47=""),"",IF('Market Cap'!I47="",0,'Market Cap'!I47/'Net Income'!I47))</f>
        <v>24.296763805970148</v>
      </c>
      <c r="J47" s="50"/>
      <c r="K47" s="50">
        <f>IF(OR('Net Income'!K47=0,'Net Income'!K47=""),"",IF('Market Cap'!K47="",0,'Market Cap'!K47/'Net Income'!K47))</f>
        <v>10.274059862393626</v>
      </c>
      <c r="L47" s="50"/>
      <c r="M47" s="50">
        <f>IF(OR('Net Income'!M47=0,'Net Income'!M47=""),"",IF('Market Cap'!M47="",0,'Market Cap'!M47/'Net Income'!M47))</f>
        <v>193.5245688</v>
      </c>
      <c r="N47" s="50">
        <f>IF(OR('Net Income'!N47=0,'Net Income'!N47=""),"",IF('Market Cap'!N47="",0,'Market Cap'!N47/'Net Income'!N47))</f>
        <v>29.282745084745763</v>
      </c>
    </row>
    <row r="48" spans="1:14" x14ac:dyDescent="0.3">
      <c r="A48" s="8" t="s">
        <v>131</v>
      </c>
      <c r="B48" s="8" t="s">
        <v>132</v>
      </c>
      <c r="C48" s="8" t="s">
        <v>124</v>
      </c>
      <c r="D48" s="8" t="s">
        <v>121</v>
      </c>
      <c r="E48" s="50">
        <f>IF(OR('Net Income'!E48=0,'Net Income'!E48=""),"",IF('Market Cap'!E48="",0,'Market Cap'!E48/'Net Income'!E48))</f>
        <v>10.063365248120585</v>
      </c>
      <c r="F48" s="50">
        <f>IF(OR('Net Income'!F48=0,'Net Income'!F48=""),"",IF('Market Cap'!F48="",0,'Market Cap'!F48/'Net Income'!F48))</f>
        <v>8.4935750657511289</v>
      </c>
      <c r="G48" s="50">
        <f>IF(OR('Net Income'!G48=0,'Net Income'!G48=""),"",IF('Market Cap'!G48="",0,'Market Cap'!G48/'Net Income'!G48))</f>
        <v>6.5863410197679819</v>
      </c>
      <c r="H48" s="50">
        <f>IF(OR('Net Income'!H48=0,'Net Income'!H48=""),"",IF('Market Cap'!H48="",0,'Market Cap'!H48/'Net Income'!H48))</f>
        <v>6.4438758142812977</v>
      </c>
      <c r="I48" s="50">
        <f>IF(OR('Net Income'!I48=0,'Net Income'!I48=""),"",IF('Market Cap'!I48="",0,'Market Cap'!I48/'Net Income'!I48))</f>
        <v>9.7934393482034583</v>
      </c>
      <c r="J48" s="50">
        <f>IF(OR('Net Income'!J48=0,'Net Income'!J48=""),"",IF('Market Cap'!J48="",0,'Market Cap'!J48/'Net Income'!J48))</f>
        <v>12.617977846015894</v>
      </c>
      <c r="K48" s="50">
        <f>IF(OR('Net Income'!K48=0,'Net Income'!K48=""),"",IF('Market Cap'!K48="",0,'Market Cap'!K48/'Net Income'!K48))</f>
        <v>4.7159434658795023</v>
      </c>
      <c r="L48" s="50">
        <f>IF(OR('Net Income'!L48=0,'Net Income'!L48=""),"",IF('Market Cap'!L48="",0,'Market Cap'!L48/'Net Income'!L48))</f>
        <v>3.0538362976210913</v>
      </c>
      <c r="M48" s="50">
        <f>IF(OR('Net Income'!M48=0,'Net Income'!M48=""),"",IF('Market Cap'!M48="",0,'Market Cap'!M48/'Net Income'!M48))</f>
        <v>5.7598417793675818</v>
      </c>
      <c r="N48" s="50">
        <f>IF(OR('Net Income'!N48=0,'Net Income'!N48=""),"",IF('Market Cap'!N48="",0,'Market Cap'!N48/'Net Income'!N48))</f>
        <v>6.181881228216735</v>
      </c>
    </row>
    <row r="49" spans="1:14" x14ac:dyDescent="0.3">
      <c r="A49" s="8" t="s">
        <v>133</v>
      </c>
      <c r="B49" s="8" t="s">
        <v>134</v>
      </c>
      <c r="C49" s="8" t="s">
        <v>124</v>
      </c>
      <c r="D49" s="8" t="s">
        <v>121</v>
      </c>
      <c r="E49" s="50">
        <f>IF(OR('Net Income'!E49=0,'Net Income'!E49=""),"",IF('Market Cap'!E49="",0,'Market Cap'!E49/'Net Income'!E49))</f>
        <v>22.929190316223842</v>
      </c>
      <c r="F49" s="50">
        <f>IF(OR('Net Income'!F49=0,'Net Income'!F49=""),"",IF('Market Cap'!F49="",0,'Market Cap'!F49/'Net Income'!F49))</f>
        <v>17.923338980445816</v>
      </c>
      <c r="G49" s="50">
        <f>IF(OR('Net Income'!G49=0,'Net Income'!G49=""),"",IF('Market Cap'!G49="",0,'Market Cap'!G49/'Net Income'!G49))</f>
        <v>12.027149245617503</v>
      </c>
      <c r="H49" s="50">
        <f>IF(OR('Net Income'!H49=0,'Net Income'!H49=""),"",IF('Market Cap'!H49="",0,'Market Cap'!H49/'Net Income'!H49))</f>
        <v>33.77855669616519</v>
      </c>
      <c r="I49" s="50">
        <f>IF(OR('Net Income'!I49=0,'Net Income'!I49=""),"",IF('Market Cap'!I49="",0,'Market Cap'!I49/'Net Income'!I49))</f>
        <v>29.41434111111111</v>
      </c>
      <c r="J49" s="50"/>
      <c r="K49" s="50">
        <f>IF(OR('Net Income'!K49=0,'Net Income'!K49=""),"",IF('Market Cap'!K49="",0,'Market Cap'!K49/'Net Income'!K49))</f>
        <v>46.173740000000002</v>
      </c>
      <c r="L49" s="50">
        <f>IF(OR('Net Income'!L49=0,'Net Income'!L49=""),"",IF('Market Cap'!L49="",0,'Market Cap'!L49/'Net Income'!L49))</f>
        <v>11.441050265060241</v>
      </c>
      <c r="M49" s="50"/>
      <c r="N49" s="50"/>
    </row>
    <row r="50" spans="1:14" x14ac:dyDescent="0.3">
      <c r="A50" s="8" t="s">
        <v>135</v>
      </c>
      <c r="B50" s="8" t="s">
        <v>136</v>
      </c>
      <c r="C50" s="8" t="s">
        <v>124</v>
      </c>
      <c r="D50" s="8" t="s">
        <v>121</v>
      </c>
      <c r="E50" s="50">
        <f>IF(OR('Net Income'!E50=0,'Net Income'!E50=""),"",IF('Market Cap'!E50="",0,'Market Cap'!E50/'Net Income'!E50))</f>
        <v>28.922857111272727</v>
      </c>
      <c r="F50" s="50">
        <f>IF(OR('Net Income'!F50=0,'Net Income'!F50=""),"",IF('Market Cap'!F50="",0,'Market Cap'!F50/'Net Income'!F50))</f>
        <v>25.785063625387874</v>
      </c>
      <c r="G50" s="50">
        <f>IF(OR('Net Income'!G50=0,'Net Income'!G50=""),"",IF('Market Cap'!G50="",0,'Market Cap'!G50/'Net Income'!G50))</f>
        <v>32.470217650000002</v>
      </c>
      <c r="H50" s="50">
        <f>IF(OR('Net Income'!H50=0,'Net Income'!H50=""),"",IF('Market Cap'!H50="",0,'Market Cap'!H50/'Net Income'!H50))</f>
        <v>28.620318503076927</v>
      </c>
      <c r="I50" s="50">
        <f>IF(OR('Net Income'!I50=0,'Net Income'!I50=""),"",IF('Market Cap'!I50="",0,'Market Cap'!I50/'Net Income'!I50))</f>
        <v>33.691148528690803</v>
      </c>
      <c r="J50" s="50">
        <f>IF(OR('Net Income'!J50=0,'Net Income'!J50=""),"",IF('Market Cap'!J50="",0,'Market Cap'!J50/'Net Income'!J50))</f>
        <v>38.251401516000001</v>
      </c>
      <c r="K50" s="50">
        <f>IF(OR('Net Income'!K50=0,'Net Income'!K50=""),"",IF('Market Cap'!K50="",0,'Market Cap'!K50/'Net Income'!K50))</f>
        <v>32.131504347836987</v>
      </c>
      <c r="L50" s="50">
        <f>IF(OR('Net Income'!L50=0,'Net Income'!L50=""),"",IF('Market Cap'!L50="",0,'Market Cap'!L50/'Net Income'!L50))</f>
        <v>32.205291503046354</v>
      </c>
      <c r="M50" s="50">
        <f>IF(OR('Net Income'!M50=0,'Net Income'!M50=""),"",IF('Market Cap'!M50="",0,'Market Cap'!M50/'Net Income'!M50))</f>
        <v>41.819750174999996</v>
      </c>
      <c r="N50" s="50">
        <f>IF(OR('Net Income'!N50=0,'Net Income'!N50=""),"",IF('Market Cap'!N50="",0,'Market Cap'!N50/'Net Income'!N50))</f>
        <v>30.586588350877193</v>
      </c>
    </row>
    <row r="51" spans="1:14" x14ac:dyDescent="0.3">
      <c r="A51" s="8" t="s">
        <v>137</v>
      </c>
      <c r="B51" s="8" t="s">
        <v>138</v>
      </c>
      <c r="C51" s="8" t="s">
        <v>124</v>
      </c>
      <c r="D51" s="8" t="s">
        <v>121</v>
      </c>
      <c r="E51" s="50">
        <f>IF(OR('Net Income'!E51=0,'Net Income'!E51=""),"",IF('Market Cap'!E51="",0,'Market Cap'!E51/'Net Income'!E51))</f>
        <v>20.436328767123289</v>
      </c>
      <c r="F51" s="50">
        <f>IF(OR('Net Income'!F51=0,'Net Income'!F51=""),"",IF('Market Cap'!F51="",0,'Market Cap'!F51/'Net Income'!F51))</f>
        <v>22.641132389675271</v>
      </c>
      <c r="G51" s="50">
        <f>IF(OR('Net Income'!G51=0,'Net Income'!G51=""),"",IF('Market Cap'!G51="",0,'Market Cap'!G51/'Net Income'!G51))</f>
        <v>22.596909645232817</v>
      </c>
      <c r="H51" s="50">
        <f>IF(OR('Net Income'!H51=0,'Net Income'!H51=""),"",IF('Market Cap'!H51="",0,'Market Cap'!H51/'Net Income'!H51))</f>
        <v>12.8252766326752</v>
      </c>
      <c r="I51" s="50">
        <f>IF(OR('Net Income'!I51=0,'Net Income'!I51=""),"",IF('Market Cap'!I51="",0,'Market Cap'!I51/'Net Income'!I51))</f>
        <v>16.04919648596529</v>
      </c>
      <c r="J51" s="50">
        <f>IF(OR('Net Income'!J51=0,'Net Income'!J51=""),"",IF('Market Cap'!J51="",0,'Market Cap'!J51/'Net Income'!J51))</f>
        <v>20.977556270096464</v>
      </c>
      <c r="K51" s="50">
        <f>IF(OR('Net Income'!K51=0,'Net Income'!K51=""),"",IF('Market Cap'!K51="",0,'Market Cap'!K51/'Net Income'!K51))</f>
        <v>27.426076288199866</v>
      </c>
      <c r="L51" s="50">
        <f>IF(OR('Net Income'!L51=0,'Net Income'!L51=""),"",IF('Market Cap'!L51="",0,'Market Cap'!L51/'Net Income'!L51))</f>
        <v>10.404533152909337</v>
      </c>
      <c r="M51" s="50">
        <f>IF(OR('Net Income'!M51=0,'Net Income'!M51=""),"",IF('Market Cap'!M51="",0,'Market Cap'!M51/'Net Income'!M51))</f>
        <v>17.589232060428031</v>
      </c>
      <c r="N51" s="50">
        <f>IF(OR('Net Income'!N51=0,'Net Income'!N51=""),"",IF('Market Cap'!N51="",0,'Market Cap'!N51/'Net Income'!N51))</f>
        <v>15.619612085042894</v>
      </c>
    </row>
    <row r="52" spans="1:14" x14ac:dyDescent="0.3">
      <c r="A52" s="8" t="s">
        <v>139</v>
      </c>
      <c r="B52" s="8" t="s">
        <v>140</v>
      </c>
      <c r="C52" s="8" t="s">
        <v>124</v>
      </c>
      <c r="D52" s="8" t="s">
        <v>121</v>
      </c>
      <c r="E52" s="50">
        <f>IF(OR('Net Income'!E52=0,'Net Income'!E52=""),"",IF('Market Cap'!E52="",0,'Market Cap'!E52/'Net Income'!E52))</f>
        <v>10.890776299830508</v>
      </c>
      <c r="F52" s="50">
        <f>IF(OR('Net Income'!F52=0,'Net Income'!F52=""),"",IF('Market Cap'!F52="",0,'Market Cap'!F52/'Net Income'!F52))</f>
        <v>32.543343535842297</v>
      </c>
      <c r="G52" s="50">
        <f>IF(OR('Net Income'!G52=0,'Net Income'!G52=""),"",IF('Market Cap'!G52="",0,'Market Cap'!G52/'Net Income'!G52))</f>
        <v>101.55335942371795</v>
      </c>
      <c r="H52" s="50">
        <f>IF(OR('Net Income'!H52=0,'Net Income'!H52=""),"",IF('Market Cap'!H52="",0,'Market Cap'!H52/'Net Income'!H52))</f>
        <v>8.3538769343121384</v>
      </c>
      <c r="I52" s="50">
        <f>IF(OR('Net Income'!I52=0,'Net Income'!I52=""),"",IF('Market Cap'!I52="",0,'Market Cap'!I52/'Net Income'!I52))</f>
        <v>10.734494005714286</v>
      </c>
      <c r="J52" s="50"/>
      <c r="K52" s="50">
        <f>IF(OR('Net Income'!K52=0,'Net Income'!K52=""),"",IF('Market Cap'!K52="",0,'Market Cap'!K52/'Net Income'!K52))</f>
        <v>19.484354817348837</v>
      </c>
      <c r="L52" s="50">
        <f>IF(OR('Net Income'!L52=0,'Net Income'!L52=""),"",IF('Market Cap'!L52="",0,'Market Cap'!L52/'Net Income'!L52))</f>
        <v>7.7148721146759582</v>
      </c>
      <c r="M52" s="50">
        <f>IF(OR('Net Income'!M52=0,'Net Income'!M52=""),"",IF('Market Cap'!M52="",0,'Market Cap'!M52/'Net Income'!M52))</f>
        <v>6.026854570521583</v>
      </c>
      <c r="N52" s="50">
        <f>IF(OR('Net Income'!N52=0,'Net Income'!N52=""),"",IF('Market Cap'!N52="",0,'Market Cap'!N52/'Net Income'!N52))</f>
        <v>6.9777974449010083</v>
      </c>
    </row>
    <row r="53" spans="1:14" x14ac:dyDescent="0.3">
      <c r="A53" s="8" t="s">
        <v>141</v>
      </c>
      <c r="B53" s="8" t="s">
        <v>142</v>
      </c>
      <c r="C53" s="8" t="s">
        <v>124</v>
      </c>
      <c r="D53" s="8" t="s">
        <v>121</v>
      </c>
      <c r="E53" s="50">
        <f>IF(OR('Net Income'!E53=0,'Net Income'!E53=""),"",IF('Market Cap'!E53="",0,'Market Cap'!E53/'Net Income'!E53))</f>
        <v>14.643249981667521</v>
      </c>
      <c r="F53" s="50">
        <f>IF(OR('Net Income'!F53=0,'Net Income'!F53=""),"",IF('Market Cap'!F53="",0,'Market Cap'!F53/'Net Income'!F53))</f>
        <v>11.658162355040142</v>
      </c>
      <c r="G53" s="50">
        <f>IF(OR('Net Income'!G53=0,'Net Income'!G53=""),"",IF('Market Cap'!G53="",0,'Market Cap'!G53/'Net Income'!G53))</f>
        <v>13.40816189774174</v>
      </c>
      <c r="H53" s="50">
        <f>IF(OR('Net Income'!H53=0,'Net Income'!H53=""),"",IF('Market Cap'!H53="",0,'Market Cap'!H53/'Net Income'!H53))</f>
        <v>7.4034445863390053</v>
      </c>
      <c r="I53" s="50"/>
      <c r="J53" s="50"/>
      <c r="K53" s="50">
        <f>IF(OR('Net Income'!K53=0,'Net Income'!K53=""),"",IF('Market Cap'!K53="",0,'Market Cap'!K53/'Net Income'!K53))</f>
        <v>12.975195094760313</v>
      </c>
      <c r="L53" s="50">
        <f>IF(OR('Net Income'!L53=0,'Net Income'!L53=""),"",IF('Market Cap'!L53="",0,'Market Cap'!L53/'Net Income'!L53))</f>
        <v>99.786096256684488</v>
      </c>
      <c r="M53" s="50">
        <f>IF(OR('Net Income'!M53=0,'Net Income'!M53=""),"",IF('Market Cap'!M53="",0,'Market Cap'!M53/'Net Income'!M53))</f>
        <v>13.403666551366308</v>
      </c>
      <c r="N53" s="50">
        <f>IF(OR('Net Income'!N53=0,'Net Income'!N53=""),"",IF('Market Cap'!N53="",0,'Market Cap'!N53/'Net Income'!N53))</f>
        <v>11.099315068493151</v>
      </c>
    </row>
    <row r="54" spans="1:14" x14ac:dyDescent="0.3">
      <c r="A54" s="8" t="s">
        <v>143</v>
      </c>
      <c r="B54" s="8" t="s">
        <v>144</v>
      </c>
      <c r="C54" s="8" t="s">
        <v>124</v>
      </c>
      <c r="D54" s="8" t="s">
        <v>121</v>
      </c>
      <c r="E54" s="50" t="str">
        <f>IF(OR('Net Income'!E54=0,'Net Income'!E54=""),"",IF('Market Cap'!E54="",0,'Market Cap'!E54/'Net Income'!E54))</f>
        <v/>
      </c>
      <c r="F54" s="50">
        <f>IF(OR('Net Income'!F54=0,'Net Income'!F54=""),"",IF('Market Cap'!F54="",0,'Market Cap'!F54/'Net Income'!F54))</f>
        <v>16.602452830188678</v>
      </c>
      <c r="G54" s="50">
        <f>IF(OR('Net Income'!G54=0,'Net Income'!G54=""),"",IF('Market Cap'!G54="",0,'Market Cap'!G54/'Net Income'!G54))</f>
        <v>8.62778948045794</v>
      </c>
      <c r="H54" s="50">
        <f>IF(OR('Net Income'!H54=0,'Net Income'!H54=""),"",IF('Market Cap'!H54="",0,'Market Cap'!H54/'Net Income'!H54))</f>
        <v>4.5363590978606689</v>
      </c>
      <c r="I54" s="50">
        <f>IF(OR('Net Income'!I54=0,'Net Income'!I54=""),"",IF('Market Cap'!I54="",0,'Market Cap'!I54/'Net Income'!I54))</f>
        <v>13.721205814855074</v>
      </c>
      <c r="J54" s="50">
        <f>IF(OR('Net Income'!J54=0,'Net Income'!J54=""),"",IF('Market Cap'!J54="",0,'Market Cap'!J54/'Net Income'!J54))</f>
        <v>20.336314181612202</v>
      </c>
      <c r="K54" s="50">
        <f>IF(OR('Net Income'!K54=0,'Net Income'!K54=""),"",IF('Market Cap'!K54="",0,'Market Cap'!K54/'Net Income'!K54))</f>
        <v>6.4786908806930699</v>
      </c>
      <c r="L54" s="50"/>
      <c r="M54" s="50"/>
      <c r="N54" s="50"/>
    </row>
    <row r="55" spans="1:14" x14ac:dyDescent="0.3">
      <c r="A55" s="8" t="s">
        <v>145</v>
      </c>
      <c r="B55" s="8" t="s">
        <v>146</v>
      </c>
      <c r="C55" s="8" t="s">
        <v>124</v>
      </c>
      <c r="D55" s="8" t="s">
        <v>121</v>
      </c>
      <c r="E55" s="50" t="str">
        <f>IF(OR('Net Income'!E55=0,'Net Income'!E55=""),"",IF('Market Cap'!E55="",0,'Market Cap'!E55/'Net Income'!E55))</f>
        <v/>
      </c>
      <c r="F55" s="50" t="str">
        <f>IF(OR('Net Income'!F55=0,'Net Income'!F55=""),"",IF('Market Cap'!F55="",0,'Market Cap'!F55/'Net Income'!F55))</f>
        <v/>
      </c>
      <c r="G55" s="50" t="str">
        <f>IF(OR('Net Income'!G55=0,'Net Income'!G55=""),"",IF('Market Cap'!G55="",0,'Market Cap'!G55/'Net Income'!G55))</f>
        <v/>
      </c>
      <c r="H55" s="50" t="str">
        <f>IF(OR('Net Income'!H55=0,'Net Income'!H55=""),"",IF('Market Cap'!H55="",0,'Market Cap'!H55/'Net Income'!H55))</f>
        <v/>
      </c>
      <c r="I55" s="50" t="str">
        <f>IF(OR('Net Income'!I55=0,'Net Income'!I55=""),"",IF('Market Cap'!I55="",0,'Market Cap'!I55/'Net Income'!I55))</f>
        <v/>
      </c>
      <c r="J55" s="50" t="str">
        <f>IF(OR('Net Income'!J55=0,'Net Income'!J55=""),"",IF('Market Cap'!J55="",0,'Market Cap'!J55/'Net Income'!J55))</f>
        <v/>
      </c>
      <c r="K55" s="50" t="str">
        <f>IF(OR('Net Income'!K55=0,'Net Income'!K55=""),"",IF('Market Cap'!K55="",0,'Market Cap'!K55/'Net Income'!K55))</f>
        <v/>
      </c>
      <c r="L55" s="50">
        <f>IF(OR('Net Income'!L55=0,'Net Income'!L55=""),"",IF('Market Cap'!L55="",0,'Market Cap'!L55/'Net Income'!L55))</f>
        <v>8.939758718161352</v>
      </c>
      <c r="M55" s="50">
        <f>IF(OR('Net Income'!M55=0,'Net Income'!M55=""),"",IF('Market Cap'!M55="",0,'Market Cap'!M55/'Net Income'!M55))</f>
        <v>7.3717509933774839</v>
      </c>
      <c r="N55" s="50">
        <f>IF(OR('Net Income'!N55=0,'Net Income'!N55=""),"",IF('Market Cap'!N55="",0,'Market Cap'!N55/'Net Income'!N55))</f>
        <v>10.114689655172414</v>
      </c>
    </row>
    <row r="56" spans="1:14" x14ac:dyDescent="0.3">
      <c r="A56" s="8" t="s">
        <v>147</v>
      </c>
      <c r="B56" s="8" t="s">
        <v>148</v>
      </c>
      <c r="C56" s="8" t="s">
        <v>124</v>
      </c>
      <c r="D56" s="8" t="s">
        <v>121</v>
      </c>
      <c r="E56" s="50"/>
      <c r="F56" s="50"/>
      <c r="G56" s="50"/>
      <c r="H56" s="50">
        <f>IF(OR('Net Income'!H56=0,'Net Income'!H56=""),"",IF('Market Cap'!H56="",0,'Market Cap'!H56/'Net Income'!H56))</f>
        <v>56.29486888707865</v>
      </c>
      <c r="I56" s="50"/>
      <c r="J56" s="50">
        <f>IF(OR('Net Income'!J56=0,'Net Income'!J56=""),"",IF('Market Cap'!J56="",0,'Market Cap'!J56/'Net Income'!J56))</f>
        <v>38.117959577878786</v>
      </c>
      <c r="K56" s="50">
        <f>IF(OR('Net Income'!K56=0,'Net Income'!K56=""),"",IF('Market Cap'!K56="",0,'Market Cap'!K56/'Net Income'!K56))</f>
        <v>9.7688921775898514</v>
      </c>
      <c r="L56" s="50">
        <f>IF(OR('Net Income'!L56=0,'Net Income'!L56=""),"",IF('Market Cap'!L56="",0,'Market Cap'!L56/'Net Income'!L56))</f>
        <v>3.9962155656108598</v>
      </c>
      <c r="M56" s="50">
        <f>IF(OR('Net Income'!M56=0,'Net Income'!M56=""),"",IF('Market Cap'!M56="",0,'Market Cap'!M56/'Net Income'!M56))</f>
        <v>5.9691801591015441</v>
      </c>
      <c r="N56" s="50">
        <f>IF(OR('Net Income'!N56=0,'Net Income'!N56=""),"",IF('Market Cap'!N56="",0,'Market Cap'!N56/'Net Income'!N56))</f>
        <v>9.8554676173499711</v>
      </c>
    </row>
    <row r="57" spans="1:14" x14ac:dyDescent="0.3">
      <c r="A57" s="8" t="s">
        <v>149</v>
      </c>
      <c r="B57" s="8" t="s">
        <v>150</v>
      </c>
      <c r="C57" s="8" t="s">
        <v>124</v>
      </c>
      <c r="D57" s="8" t="s">
        <v>121</v>
      </c>
      <c r="E57" s="50">
        <f>IF(OR('Net Income'!E57=0,'Net Income'!E57=""),"",IF('Market Cap'!E57="",0,'Market Cap'!E57/'Net Income'!E57))</f>
        <v>22.625065293719008</v>
      </c>
      <c r="F57" s="50">
        <f>IF(OR('Net Income'!F57=0,'Net Income'!F57=""),"",IF('Market Cap'!F57="",0,'Market Cap'!F57/'Net Income'!F57))</f>
        <v>11.214354767313585</v>
      </c>
      <c r="G57" s="50">
        <f>IF(OR('Net Income'!G57=0,'Net Income'!G57=""),"",IF('Market Cap'!G57="",0,'Market Cap'!G57/'Net Income'!G57))</f>
        <v>20.485036730847533</v>
      </c>
      <c r="H57" s="50">
        <f>IF(OR('Net Income'!H57=0,'Net Income'!H57=""),"",IF('Market Cap'!H57="",0,'Market Cap'!H57/'Net Income'!H57))</f>
        <v>23.764172536637147</v>
      </c>
      <c r="I57" s="50">
        <f>IF(OR('Net Income'!I57=0,'Net Income'!I57=""),"",IF('Market Cap'!I57="",0,'Market Cap'!I57/'Net Income'!I57))</f>
        <v>25.601030600059769</v>
      </c>
      <c r="J57" s="50">
        <f>IF(OR('Net Income'!J57=0,'Net Income'!J57=""),"",IF('Market Cap'!J57="",0,'Market Cap'!J57/'Net Income'!J57))</f>
        <v>23.655664147606259</v>
      </c>
      <c r="K57" s="50">
        <f>IF(OR('Net Income'!K57=0,'Net Income'!K57=""),"",IF('Market Cap'!K57="",0,'Market Cap'!K57/'Net Income'!K57))</f>
        <v>22.319279319335372</v>
      </c>
      <c r="L57" s="50">
        <f>IF(OR('Net Income'!L57=0,'Net Income'!L57=""),"",IF('Market Cap'!L57="",0,'Market Cap'!L57/'Net Income'!L57))</f>
        <v>19.832707040283726</v>
      </c>
      <c r="M57" s="50">
        <f>IF(OR('Net Income'!M57=0,'Net Income'!M57=""),"",IF('Market Cap'!M57="",0,'Market Cap'!M57/'Net Income'!M57))</f>
        <v>19.766161460150812</v>
      </c>
      <c r="N57" s="50">
        <f>IF(OR('Net Income'!N57=0,'Net Income'!N57=""),"",IF('Market Cap'!N57="",0,'Market Cap'!N57/'Net Income'!N57))</f>
        <v>20.981045932768797</v>
      </c>
    </row>
    <row r="58" spans="1:14" x14ac:dyDescent="0.3">
      <c r="A58" s="8" t="s">
        <v>151</v>
      </c>
      <c r="B58" s="8" t="s">
        <v>152</v>
      </c>
      <c r="C58" s="8" t="s">
        <v>124</v>
      </c>
      <c r="D58" s="8" t="s">
        <v>121</v>
      </c>
      <c r="E58" s="50">
        <f>IF(OR('Net Income'!E58=0,'Net Income'!E58=""),"",IF('Market Cap'!E58="",0,'Market Cap'!E58/'Net Income'!E58))</f>
        <v>20.407596510857143</v>
      </c>
      <c r="F58" s="50">
        <f>IF(OR('Net Income'!F58=0,'Net Income'!F58=""),"",IF('Market Cap'!F58="",0,'Market Cap'!F58/'Net Income'!F58))</f>
        <v>14.241990531049641</v>
      </c>
      <c r="G58" s="50">
        <f>IF(OR('Net Income'!G58=0,'Net Income'!G58=""),"",IF('Market Cap'!G58="",0,'Market Cap'!G58/'Net Income'!G58))</f>
        <v>17.591691168123848</v>
      </c>
      <c r="H58" s="50">
        <f>IF(OR('Net Income'!H58=0,'Net Income'!H58=""),"",IF('Market Cap'!H58="",0,'Market Cap'!H58/'Net Income'!H58))</f>
        <v>14.221948864843373</v>
      </c>
      <c r="I58" s="50">
        <f>IF(OR('Net Income'!I58=0,'Net Income'!I58=""),"",IF('Market Cap'!I58="",0,'Market Cap'!I58/'Net Income'!I58))</f>
        <v>16.001552739447199</v>
      </c>
      <c r="J58" s="50">
        <f>IF(OR('Net Income'!J58=0,'Net Income'!J58=""),"",IF('Market Cap'!J58="",0,'Market Cap'!J58/'Net Income'!J58))</f>
        <v>16.815862332326283</v>
      </c>
      <c r="K58" s="50">
        <f>IF(OR('Net Income'!K58=0,'Net Income'!K58=""),"",IF('Market Cap'!K58="",0,'Market Cap'!K58/'Net Income'!K58))</f>
        <v>13.790380856235899</v>
      </c>
      <c r="L58" s="50">
        <f>IF(OR('Net Income'!L58=0,'Net Income'!L58=""),"",IF('Market Cap'!L58="",0,'Market Cap'!L58/'Net Income'!L58))</f>
        <v>7.9696579721179326</v>
      </c>
      <c r="M58" s="50">
        <f>IF(OR('Net Income'!M58=0,'Net Income'!M58=""),"",IF('Market Cap'!M58="",0,'Market Cap'!M58/'Net Income'!M58))</f>
        <v>14.504593645531685</v>
      </c>
      <c r="N58" s="50">
        <f>IF(OR('Net Income'!N58=0,'Net Income'!N58=""),"",IF('Market Cap'!N58="",0,'Market Cap'!N58/'Net Income'!N58))</f>
        <v>11.892613768145258</v>
      </c>
    </row>
    <row r="59" spans="1:14" x14ac:dyDescent="0.3">
      <c r="A59" s="8" t="s">
        <v>153</v>
      </c>
      <c r="B59" s="8" t="s">
        <v>154</v>
      </c>
      <c r="C59" s="8" t="s">
        <v>124</v>
      </c>
      <c r="D59" s="8" t="s">
        <v>121</v>
      </c>
      <c r="E59" s="50" t="str">
        <f>IF(OR('Net Income'!E59=0,'Net Income'!E59=""),"",IF('Market Cap'!E59="",0,'Market Cap'!E59/'Net Income'!E59))</f>
        <v/>
      </c>
      <c r="F59" s="50" t="str">
        <f>IF(OR('Net Income'!F59=0,'Net Income'!F59=""),"",IF('Market Cap'!F59="",0,'Market Cap'!F59/'Net Income'!F59))</f>
        <v/>
      </c>
      <c r="G59" s="50" t="str">
        <f>IF(OR('Net Income'!G59=0,'Net Income'!G59=""),"",IF('Market Cap'!G59="",0,'Market Cap'!G59/'Net Income'!G59))</f>
        <v/>
      </c>
      <c r="H59" s="50" t="str">
        <f>IF(OR('Net Income'!H59=0,'Net Income'!H59=""),"",IF('Market Cap'!H59="",0,'Market Cap'!H59/'Net Income'!H59))</f>
        <v/>
      </c>
      <c r="I59" s="50" t="str">
        <f>IF(OR('Net Income'!I59=0,'Net Income'!I59=""),"",IF('Market Cap'!I59="",0,'Market Cap'!I59/'Net Income'!I59))</f>
        <v/>
      </c>
      <c r="J59" s="50" t="str">
        <f>IF(OR('Net Income'!J59=0,'Net Income'!J59=""),"",IF('Market Cap'!J59="",0,'Market Cap'!J59/'Net Income'!J59))</f>
        <v/>
      </c>
      <c r="K59" s="50" t="str">
        <f>IF(OR('Net Income'!K59=0,'Net Income'!K59=""),"",IF('Market Cap'!K59="",0,'Market Cap'!K59/'Net Income'!K59))</f>
        <v/>
      </c>
      <c r="L59" s="50" t="str">
        <f>IF(OR('Net Income'!L59=0,'Net Income'!L59=""),"",IF('Market Cap'!L59="",0,'Market Cap'!L59/'Net Income'!L59))</f>
        <v/>
      </c>
      <c r="M59" s="50">
        <f>IF(OR('Net Income'!M59=0,'Net Income'!M59=""),"",IF('Market Cap'!M59="",0,'Market Cap'!M59/'Net Income'!M59))</f>
        <v>14.044707952317239</v>
      </c>
      <c r="N59" s="50">
        <f>IF(OR('Net Income'!N59=0,'Net Income'!N59=""),"",IF('Market Cap'!N59="",0,'Market Cap'!N59/'Net Income'!N59))</f>
        <v>14.816430957683743</v>
      </c>
    </row>
    <row r="60" spans="1:14" x14ac:dyDescent="0.3">
      <c r="A60" s="8" t="s">
        <v>155</v>
      </c>
      <c r="B60" s="8" t="s">
        <v>156</v>
      </c>
      <c r="C60" s="8" t="s">
        <v>124</v>
      </c>
      <c r="D60" s="8" t="s">
        <v>121</v>
      </c>
      <c r="E60" s="50">
        <f>IF(OR('Net Income'!E60=0,'Net Income'!E60=""),"",IF('Market Cap'!E60="",0,'Market Cap'!E60/'Net Income'!E60))</f>
        <v>23.352664413030116</v>
      </c>
      <c r="F60" s="50">
        <f>IF(OR('Net Income'!F60=0,'Net Income'!F60=""),"",IF('Market Cap'!F60="",0,'Market Cap'!F60/'Net Income'!F60))</f>
        <v>28.285981308411216</v>
      </c>
      <c r="G60" s="50">
        <f>IF(OR('Net Income'!G60=0,'Net Income'!G60=""),"",IF('Market Cap'!G60="",0,'Market Cap'!G60/'Net Income'!G60))</f>
        <v>20.111066165848023</v>
      </c>
      <c r="H60" s="50">
        <f>IF(OR('Net Income'!H60=0,'Net Income'!H60=""),"",IF('Market Cap'!H60="",0,'Market Cap'!H60/'Net Income'!H60))</f>
        <v>32.445263157894736</v>
      </c>
      <c r="I60" s="50">
        <f>IF(OR('Net Income'!I60=0,'Net Income'!I60=""),"",IF('Market Cap'!I60="",0,'Market Cap'!I60/'Net Income'!I60))</f>
        <v>13.120468957660908</v>
      </c>
      <c r="J60" s="50">
        <f>IF(OR('Net Income'!J60=0,'Net Income'!J60=""),"",IF('Market Cap'!J60="",0,'Market Cap'!J60/'Net Income'!J60))</f>
        <v>10.515008891523415</v>
      </c>
      <c r="K60" s="50">
        <f>IF(OR('Net Income'!K60=0,'Net Income'!K60=""),"",IF('Market Cap'!K60="",0,'Market Cap'!K60/'Net Income'!K60))</f>
        <v>12.854645256431263</v>
      </c>
      <c r="L60" s="50">
        <f>IF(OR('Net Income'!L60=0,'Net Income'!L60=""),"",IF('Market Cap'!L60="",0,'Market Cap'!L60/'Net Income'!L60))</f>
        <v>11.583312085989251</v>
      </c>
      <c r="M60" s="50">
        <f>IF(OR('Net Income'!M60=0,'Net Income'!M60=""),"",IF('Market Cap'!M60="",0,'Market Cap'!M60/'Net Income'!M60))</f>
        <v>6.0843265122554531</v>
      </c>
      <c r="N60" s="50">
        <f>IF(OR('Net Income'!N60=0,'Net Income'!N60=""),"",IF('Market Cap'!N60="",0,'Market Cap'!N60/'Net Income'!N60))</f>
        <v>12.727167454723883</v>
      </c>
    </row>
    <row r="61" spans="1:14" x14ac:dyDescent="0.3">
      <c r="A61" s="8" t="s">
        <v>157</v>
      </c>
      <c r="B61" s="8" t="s">
        <v>158</v>
      </c>
      <c r="C61" s="8" t="s">
        <v>124</v>
      </c>
      <c r="D61" s="8" t="s">
        <v>121</v>
      </c>
      <c r="E61" s="50"/>
      <c r="F61" s="50"/>
      <c r="G61" s="50">
        <f>IF(OR('Net Income'!G61=0,'Net Income'!G61=""),"",IF('Market Cap'!G61="",0,'Market Cap'!G61/'Net Income'!G61))</f>
        <v>4.9251770700636941</v>
      </c>
      <c r="H61" s="50">
        <f>IF(OR('Net Income'!H61=0,'Net Income'!H61=""),"",IF('Market Cap'!H61="",0,'Market Cap'!H61/'Net Income'!H61))</f>
        <v>5.9839590443686008</v>
      </c>
      <c r="I61" s="50">
        <f>IF(OR('Net Income'!I61=0,'Net Income'!I61=""),"",IF('Market Cap'!I61="",0,'Market Cap'!I61/'Net Income'!I61))</f>
        <v>29.340537634408602</v>
      </c>
      <c r="J61" s="50">
        <f>IF(OR('Net Income'!J61=0,'Net Income'!J61=""),"",IF('Market Cap'!J61="",0,'Market Cap'!J61/'Net Income'!J61))</f>
        <v>23.224601769911505</v>
      </c>
      <c r="K61" s="50">
        <f>IF(OR('Net Income'!K61=0,'Net Income'!K61=""),"",IF('Market Cap'!K61="",0,'Market Cap'!K61/'Net Income'!K61))</f>
        <v>6.7771306757620975</v>
      </c>
      <c r="L61" s="50">
        <f>IF(OR('Net Income'!L61=0,'Net Income'!L61=""),"",IF('Market Cap'!L61="",0,'Market Cap'!L61/'Net Income'!L61))</f>
        <v>13.294358274167122</v>
      </c>
      <c r="M61" s="50">
        <f>IF(OR('Net Income'!M61=0,'Net Income'!M61=""),"",IF('Market Cap'!M61="",0,'Market Cap'!M61/'Net Income'!M61))</f>
        <v>61.563036750483562</v>
      </c>
      <c r="N61" s="50">
        <f>IF(OR('Net Income'!N61=0,'Net Income'!N61=""),"",IF('Market Cap'!N61="",0,'Market Cap'!N61/'Net Income'!N61))</f>
        <v>6.4853233281836236</v>
      </c>
    </row>
    <row r="62" spans="1:14" x14ac:dyDescent="0.3">
      <c r="A62" s="8" t="s">
        <v>159</v>
      </c>
      <c r="B62" s="8" t="s">
        <v>160</v>
      </c>
      <c r="C62" s="8" t="s">
        <v>124</v>
      </c>
      <c r="D62" s="8" t="s">
        <v>121</v>
      </c>
      <c r="E62" s="50">
        <f>IF(OR('Net Income'!E62=0,'Net Income'!E62=""),"",IF('Market Cap'!E62="",0,'Market Cap'!E62/'Net Income'!E62))</f>
        <v>26.470191381759943</v>
      </c>
      <c r="F62" s="50">
        <f>IF(OR('Net Income'!F62=0,'Net Income'!F62=""),"",IF('Market Cap'!F62="",0,'Market Cap'!F62/'Net Income'!F62))</f>
        <v>25.517741579397367</v>
      </c>
      <c r="G62" s="50">
        <f>IF(OR('Net Income'!G62=0,'Net Income'!G62=""),"",IF('Market Cap'!G62="",0,'Market Cap'!G62/'Net Income'!G62))</f>
        <v>19.913481650044101</v>
      </c>
      <c r="H62" s="50">
        <f>IF(OR('Net Income'!H62=0,'Net Income'!H62=""),"",IF('Market Cap'!H62="",0,'Market Cap'!H62/'Net Income'!H62))</f>
        <v>11.856145347242229</v>
      </c>
      <c r="I62" s="50">
        <f>IF(OR('Net Income'!I62=0,'Net Income'!I62=""),"",IF('Market Cap'!I62="",0,'Market Cap'!I62/'Net Income'!I62))</f>
        <v>14.83869667400956</v>
      </c>
      <c r="J62" s="50">
        <f>IF(OR('Net Income'!J62=0,'Net Income'!J62=""),"",IF('Market Cap'!J62="",0,'Market Cap'!J62/'Net Income'!J62))</f>
        <v>12.35733717666081</v>
      </c>
      <c r="K62" s="50">
        <f>IF(OR('Net Income'!K62=0,'Net Income'!K62=""),"",IF('Market Cap'!K62="",0,'Market Cap'!K62/'Net Income'!K62))</f>
        <v>10.866551419801981</v>
      </c>
      <c r="L62" s="50">
        <f>IF(OR('Net Income'!L62=0,'Net Income'!L62=""),"",IF('Market Cap'!L62="",0,'Market Cap'!L62/'Net Income'!L62))</f>
        <v>10.738475223214285</v>
      </c>
      <c r="M62" s="50"/>
      <c r="N62" s="50">
        <f>IF(OR('Net Income'!N62=0,'Net Income'!N62=""),"",IF('Market Cap'!N62="",0,'Market Cap'!N62/'Net Income'!N62))</f>
        <v>40.108234120127392</v>
      </c>
    </row>
    <row r="63" spans="1:14" x14ac:dyDescent="0.3">
      <c r="A63" s="8" t="s">
        <v>161</v>
      </c>
      <c r="B63" s="8" t="s">
        <v>162</v>
      </c>
      <c r="C63" s="8" t="s">
        <v>124</v>
      </c>
      <c r="D63" s="8" t="s">
        <v>121</v>
      </c>
      <c r="E63" s="50">
        <f>IF(OR('Net Income'!E63=0,'Net Income'!E63=""),"",IF('Market Cap'!E63="",0,'Market Cap'!E63/'Net Income'!E63))</f>
        <v>11.074424565078537</v>
      </c>
      <c r="F63" s="50">
        <f>IF(OR('Net Income'!F63=0,'Net Income'!F63=""),"",IF('Market Cap'!F63="",0,'Market Cap'!F63/'Net Income'!F63))</f>
        <v>10.587023662153173</v>
      </c>
      <c r="G63" s="50">
        <f>IF(OR('Net Income'!G63=0,'Net Income'!G63=""),"",IF('Market Cap'!G63="",0,'Market Cap'!G63/'Net Income'!G63))</f>
        <v>13.2605036889902</v>
      </c>
      <c r="H63" s="50">
        <f>IF(OR('Net Income'!H63=0,'Net Income'!H63=""),"",IF('Market Cap'!H63="",0,'Market Cap'!H63/'Net Income'!H63))</f>
        <v>13.249252881897284</v>
      </c>
      <c r="I63" s="50">
        <f>IF(OR('Net Income'!I63=0,'Net Income'!I63=""),"",IF('Market Cap'!I63="",0,'Market Cap'!I63/'Net Income'!I63))</f>
        <v>16.180810270860409</v>
      </c>
      <c r="J63" s="50">
        <f>IF(OR('Net Income'!J63=0,'Net Income'!J63=""),"",IF('Market Cap'!J63="",0,'Market Cap'!J63/'Net Income'!J63))</f>
        <v>17.800546303759713</v>
      </c>
      <c r="K63" s="50">
        <f>IF(OR('Net Income'!K63=0,'Net Income'!K63=""),"",IF('Market Cap'!K63="",0,'Market Cap'!K63/'Net Income'!K63))</f>
        <v>16.37120462721731</v>
      </c>
      <c r="L63" s="50">
        <f>IF(OR('Net Income'!L63=0,'Net Income'!L63=""),"",IF('Market Cap'!L63="",0,'Market Cap'!L63/'Net Income'!L63))</f>
        <v>28.670788057761271</v>
      </c>
      <c r="M63" s="50">
        <f>IF(OR('Net Income'!M63=0,'Net Income'!M63=""),"",IF('Market Cap'!M63="",0,'Market Cap'!M63/'Net Income'!M63))</f>
        <v>14.296100409305129</v>
      </c>
      <c r="N63" s="50">
        <f>IF(OR('Net Income'!N63=0,'Net Income'!N63=""),"",IF('Market Cap'!N63="",0,'Market Cap'!N63/'Net Income'!N63))</f>
        <v>12.50144649607077</v>
      </c>
    </row>
    <row r="64" spans="1:14" x14ac:dyDescent="0.3">
      <c r="A64" s="8" t="s">
        <v>163</v>
      </c>
      <c r="B64" s="8" t="s">
        <v>164</v>
      </c>
      <c r="C64" s="8" t="s">
        <v>124</v>
      </c>
      <c r="D64" s="8" t="s">
        <v>121</v>
      </c>
      <c r="E64" s="50">
        <f>IF(OR('Net Income'!E64=0,'Net Income'!E64=""),"",IF('Market Cap'!E64="",0,'Market Cap'!E64/'Net Income'!E64))</f>
        <v>17.760539832520934</v>
      </c>
      <c r="F64" s="50">
        <f>IF(OR('Net Income'!F64=0,'Net Income'!F64=""),"",IF('Market Cap'!F64="",0,'Market Cap'!F64/'Net Income'!F64))</f>
        <v>24.224905819881055</v>
      </c>
      <c r="G64" s="50">
        <f>IF(OR('Net Income'!G64=0,'Net Income'!G64=""),"",IF('Market Cap'!G64="",0,'Market Cap'!G64/'Net Income'!G64))</f>
        <v>19.458908139915003</v>
      </c>
      <c r="H64" s="50">
        <f>IF(OR('Net Income'!H64=0,'Net Income'!H64=""),"",IF('Market Cap'!H64="",0,'Market Cap'!H64/'Net Income'!H64))</f>
        <v>9.2489977952755904</v>
      </c>
      <c r="I64" s="50">
        <f>IF(OR('Net Income'!I64=0,'Net Income'!I64=""),"",IF('Market Cap'!I64="",0,'Market Cap'!I64/'Net Income'!I64))</f>
        <v>11.815109872582271</v>
      </c>
      <c r="J64" s="50"/>
      <c r="K64" s="50">
        <f>IF(OR('Net Income'!K64=0,'Net Income'!K64=""),"",IF('Market Cap'!K64="",0,'Market Cap'!K64/'Net Income'!K64))</f>
        <v>6.6763912222853898</v>
      </c>
      <c r="L64" s="50">
        <f>IF(OR('Net Income'!L64=0,'Net Income'!L64=""),"",IF('Market Cap'!L64="",0,'Market Cap'!L64/'Net Income'!L64))</f>
        <v>6.308036978579481</v>
      </c>
      <c r="M64" s="50">
        <f>IF(OR('Net Income'!M64=0,'Net Income'!M64=""),"",IF('Market Cap'!M64="",0,'Market Cap'!M64/'Net Income'!M64))</f>
        <v>7.7632575664886723</v>
      </c>
      <c r="N64" s="50">
        <f>IF(OR('Net Income'!N64=0,'Net Income'!N64=""),"",IF('Market Cap'!N64="",0,'Market Cap'!N64/'Net Income'!N64))</f>
        <v>12.337088117128745</v>
      </c>
    </row>
    <row r="65" spans="1:14" x14ac:dyDescent="0.3">
      <c r="A65" s="8" t="s">
        <v>165</v>
      </c>
      <c r="B65" s="8" t="s">
        <v>166</v>
      </c>
      <c r="C65" s="8" t="s">
        <v>124</v>
      </c>
      <c r="D65" s="8" t="s">
        <v>121</v>
      </c>
      <c r="E65" s="50">
        <f>IF(OR('Net Income'!E65=0,'Net Income'!E65=""),"",IF('Market Cap'!E65="",0,'Market Cap'!E65/'Net Income'!E65))</f>
        <v>23.33030135262884</v>
      </c>
      <c r="F65" s="50">
        <f>IF(OR('Net Income'!F65=0,'Net Income'!F65=""),"",IF('Market Cap'!F65="",0,'Market Cap'!F65/'Net Income'!F65))</f>
        <v>23.956164599853871</v>
      </c>
      <c r="G65" s="50">
        <f>IF(OR('Net Income'!G65=0,'Net Income'!G65=""),"",IF('Market Cap'!G65="",0,'Market Cap'!G65/'Net Income'!G65))</f>
        <v>18.783092366851925</v>
      </c>
      <c r="H65" s="50">
        <f>IF(OR('Net Income'!H65=0,'Net Income'!H65=""),"",IF('Market Cap'!H65="",0,'Market Cap'!H65/'Net Income'!H65))</f>
        <v>17.964178527467588</v>
      </c>
      <c r="I65" s="50">
        <f>IF(OR('Net Income'!I65=0,'Net Income'!I65=""),"",IF('Market Cap'!I65="",0,'Market Cap'!I65/'Net Income'!I65))</f>
        <v>19.204052688537171</v>
      </c>
      <c r="J65" s="50">
        <f>IF(OR('Net Income'!J65=0,'Net Income'!J65=""),"",IF('Market Cap'!J65="",0,'Market Cap'!J65/'Net Income'!J65))</f>
        <v>28.468663121732956</v>
      </c>
      <c r="K65" s="50">
        <f>IF(OR('Net Income'!K65=0,'Net Income'!K65=""),"",IF('Market Cap'!K65="",0,'Market Cap'!K65/'Net Income'!K65))</f>
        <v>18.907313956988986</v>
      </c>
      <c r="L65" s="50">
        <f>IF(OR('Net Income'!L65=0,'Net Income'!L65=""),"",IF('Market Cap'!L65="",0,'Market Cap'!L65/'Net Income'!L65))</f>
        <v>22.125213571040508</v>
      </c>
      <c r="M65" s="50">
        <f>IF(OR('Net Income'!M65=0,'Net Income'!M65=""),"",IF('Market Cap'!M65="",0,'Market Cap'!M65/'Net Income'!M65))</f>
        <v>23.277955272625189</v>
      </c>
      <c r="N65" s="50">
        <f>IF(OR('Net Income'!N65=0,'Net Income'!N65=""),"",IF('Market Cap'!N65="",0,'Market Cap'!N65/'Net Income'!N65))</f>
        <v>17.719665272496265</v>
      </c>
    </row>
    <row r="66" spans="1:14" x14ac:dyDescent="0.3">
      <c r="A66" s="8" t="s">
        <v>167</v>
      </c>
      <c r="B66" s="8" t="s">
        <v>168</v>
      </c>
      <c r="C66" s="8" t="s">
        <v>124</v>
      </c>
      <c r="D66" s="8" t="s">
        <v>121</v>
      </c>
      <c r="E66" s="50">
        <f>IF(OR('Net Income'!E66=0,'Net Income'!E66=""),"",IF('Market Cap'!E66="",0,'Market Cap'!E66/'Net Income'!E66))</f>
        <v>17.869234177215191</v>
      </c>
      <c r="F66" s="50">
        <f>IF(OR('Net Income'!F66=0,'Net Income'!F66=""),"",IF('Market Cap'!F66="",0,'Market Cap'!F66/'Net Income'!F66))</f>
        <v>24.01636559139785</v>
      </c>
      <c r="G66" s="50">
        <f>IF(OR('Net Income'!G66=0,'Net Income'!G66=""),"",IF('Market Cap'!G66="",0,'Market Cap'!G66/'Net Income'!G66))</f>
        <v>30.386483544303797</v>
      </c>
      <c r="H66" s="50">
        <f>IF(OR('Net Income'!H66=0,'Net Income'!H66=""),"",IF('Market Cap'!H66="",0,'Market Cap'!H66/'Net Income'!H66))</f>
        <v>21.022041860465116</v>
      </c>
      <c r="I66" s="50">
        <f>IF(OR('Net Income'!I66=0,'Net Income'!I66=""),"",IF('Market Cap'!I66="",0,'Market Cap'!I66/'Net Income'!I66))</f>
        <v>22.077855172413795</v>
      </c>
      <c r="J66" s="50">
        <f>IF(OR('Net Income'!J66=0,'Net Income'!J66=""),"",IF('Market Cap'!J66="",0,'Market Cap'!J66/'Net Income'!J66))</f>
        <v>82.87972826086957</v>
      </c>
      <c r="K66" s="50">
        <f>IF(OR('Net Income'!K66=0,'Net Income'!K66=""),"",IF('Market Cap'!K66="",0,'Market Cap'!K66/'Net Income'!K66))</f>
        <v>39.548020530367836</v>
      </c>
      <c r="L66" s="50">
        <f>IF(OR('Net Income'!L66=0,'Net Income'!L66=""),"",IF('Market Cap'!L66="",0,'Market Cap'!L66/'Net Income'!L66))</f>
        <v>13.567635612666361</v>
      </c>
      <c r="M66" s="50">
        <f>IF(OR('Net Income'!M66=0,'Net Income'!M66=""),"",IF('Market Cap'!M66="",0,'Market Cap'!M66/'Net Income'!M66))</f>
        <v>13.025846350015939</v>
      </c>
      <c r="N66" s="50">
        <f>IF(OR('Net Income'!N66=0,'Net Income'!N66=""),"",IF('Market Cap'!N66="",0,'Market Cap'!N66/'Net Income'!N66))</f>
        <v>31.46</v>
      </c>
    </row>
    <row r="67" spans="1:14" x14ac:dyDescent="0.3">
      <c r="A67" s="8" t="s">
        <v>169</v>
      </c>
      <c r="B67" s="8" t="s">
        <v>170</v>
      </c>
      <c r="C67" s="8" t="s">
        <v>124</v>
      </c>
      <c r="D67" s="8" t="s">
        <v>121</v>
      </c>
      <c r="E67" s="50">
        <f>IF(OR('Net Income'!E67=0,'Net Income'!E67=""),"",IF('Market Cap'!E67="",0,'Market Cap'!E67/'Net Income'!E67))</f>
        <v>8.1797029914529915</v>
      </c>
      <c r="F67" s="50">
        <f>IF(OR('Net Income'!F67=0,'Net Income'!F67=""),"",IF('Market Cap'!F67="",0,'Market Cap'!F67/'Net Income'!F67))</f>
        <v>7.3666382828993671</v>
      </c>
      <c r="G67" s="50">
        <f>IF(OR('Net Income'!G67=0,'Net Income'!G67=""),"",IF('Market Cap'!G67="",0,'Market Cap'!G67/'Net Income'!G67))</f>
        <v>5.9593704513064134</v>
      </c>
      <c r="H67" s="50">
        <f>IF(OR('Net Income'!H67=0,'Net Income'!H67=""),"",IF('Market Cap'!H67="",0,'Market Cap'!H67/'Net Income'!H67))</f>
        <v>5.544542143743965</v>
      </c>
      <c r="I67" s="50">
        <f>IF(OR('Net Income'!I67=0,'Net Income'!I67=""),"",IF('Market Cap'!I67="",0,'Market Cap'!I67/'Net Income'!I67))</f>
        <v>18.448086663862011</v>
      </c>
      <c r="J67" s="50">
        <f>IF(OR('Net Income'!J67=0,'Net Income'!J67=""),"",IF('Market Cap'!J67="",0,'Market Cap'!J67/'Net Income'!J67))</f>
        <v>14.151917287014061</v>
      </c>
      <c r="K67" s="50">
        <f>IF(OR('Net Income'!K67=0,'Net Income'!K67=""),"",IF('Market Cap'!K67="",0,'Market Cap'!K67/'Net Income'!K67))</f>
        <v>6.7830939962476551</v>
      </c>
      <c r="L67" s="50">
        <f>IF(OR('Net Income'!L67=0,'Net Income'!L67=""),"",IF('Market Cap'!L67="",0,'Market Cap'!L67/'Net Income'!L67))</f>
        <v>4.5297372594993446</v>
      </c>
      <c r="M67" s="50">
        <f>IF(OR('Net Income'!M67=0,'Net Income'!M67=""),"",IF('Market Cap'!M67="",0,'Market Cap'!M67/'Net Income'!M67))</f>
        <v>4.7054531895848815</v>
      </c>
      <c r="N67" s="50">
        <f>IF(OR('Net Income'!N67=0,'Net Income'!N67=""),"",IF('Market Cap'!N67="",0,'Market Cap'!N67/'Net Income'!N67))</f>
        <v>5.281434309787401</v>
      </c>
    </row>
    <row r="68" spans="1:14" x14ac:dyDescent="0.3">
      <c r="A68" s="8" t="s">
        <v>171</v>
      </c>
      <c r="B68" s="8" t="s">
        <v>172</v>
      </c>
      <c r="C68" s="8" t="s">
        <v>124</v>
      </c>
      <c r="D68" s="8" t="s">
        <v>121</v>
      </c>
      <c r="E68" s="50">
        <f>IF(OR('Net Income'!E68=0,'Net Income'!E68=""),"",IF('Market Cap'!E68="",0,'Market Cap'!E68/'Net Income'!E68))</f>
        <v>34.932772275260135</v>
      </c>
      <c r="F68" s="50">
        <f>IF(OR('Net Income'!F68=0,'Net Income'!F68=""),"",IF('Market Cap'!F68="",0,'Market Cap'!F68/'Net Income'!F68))</f>
        <v>26.44</v>
      </c>
      <c r="G68" s="50">
        <f>IF(OR('Net Income'!G68=0,'Net Income'!G68=""),"",IF('Market Cap'!G68="",0,'Market Cap'!G68/'Net Income'!G68))</f>
        <v>15.046659024015385</v>
      </c>
      <c r="H68" s="50">
        <f>IF(OR('Net Income'!H68=0,'Net Income'!H68=""),"",IF('Market Cap'!H68="",0,'Market Cap'!H68/'Net Income'!H68))</f>
        <v>11.646480324137523</v>
      </c>
      <c r="I68" s="50">
        <f>IF(OR('Net Income'!I68=0,'Net Income'!I68=""),"",IF('Market Cap'!I68="",0,'Market Cap'!I68/'Net Income'!I68))</f>
        <v>34.699885944924247</v>
      </c>
      <c r="J68" s="50">
        <f>IF(OR('Net Income'!J68=0,'Net Income'!J68=""),"",IF('Market Cap'!J68="",0,'Market Cap'!J68/'Net Income'!J68))</f>
        <v>30.710153586965276</v>
      </c>
      <c r="K68" s="50">
        <f>IF(OR('Net Income'!K68=0,'Net Income'!K68=""),"",IF('Market Cap'!K68="",0,'Market Cap'!K68/'Net Income'!K68))</f>
        <v>32.305917612438627</v>
      </c>
      <c r="L68" s="50">
        <f>IF(OR('Net Income'!L68=0,'Net Income'!L68=""),"",IF('Market Cap'!L68="",0,'Market Cap'!L68/'Net Income'!L68))</f>
        <v>23.647419762537581</v>
      </c>
      <c r="M68" s="50">
        <f>IF(OR('Net Income'!M68=0,'Net Income'!M68=""),"",IF('Market Cap'!M68="",0,'Market Cap'!M68/'Net Income'!M68))</f>
        <v>22.185372599079322</v>
      </c>
      <c r="N68" s="50">
        <f>IF(OR('Net Income'!N68=0,'Net Income'!N68=""),"",IF('Market Cap'!N68="",0,'Market Cap'!N68/'Net Income'!N68))</f>
        <v>21.903285967662946</v>
      </c>
    </row>
    <row r="69" spans="1:14" x14ac:dyDescent="0.3">
      <c r="A69" s="8" t="s">
        <v>173</v>
      </c>
      <c r="B69" s="8" t="s">
        <v>174</v>
      </c>
      <c r="C69" s="8" t="s">
        <v>124</v>
      </c>
      <c r="D69" s="8" t="s">
        <v>121</v>
      </c>
      <c r="E69" s="50">
        <f>IF(OR('Net Income'!E69=0,'Net Income'!E69=""),"",IF('Market Cap'!E69="",0,'Market Cap'!E69/'Net Income'!E69))</f>
        <v>21.147549046875003</v>
      </c>
      <c r="F69" s="50">
        <f>IF(OR('Net Income'!F69=0,'Net Income'!F69=""),"",IF('Market Cap'!F69="",0,'Market Cap'!F69/'Net Income'!F69))</f>
        <v>18.028801268417681</v>
      </c>
      <c r="G69" s="50">
        <f>IF(OR('Net Income'!G69=0,'Net Income'!G69=""),"",IF('Market Cap'!G69="",0,'Market Cap'!G69/'Net Income'!G69))</f>
        <v>20.307679808302485</v>
      </c>
      <c r="H69" s="50">
        <f>IF(OR('Net Income'!H69=0,'Net Income'!H69=""),"",IF('Market Cap'!H69="",0,'Market Cap'!H69/'Net Income'!H69))</f>
        <v>19.604938205816556</v>
      </c>
      <c r="I69" s="50">
        <f>IF(OR('Net Income'!I69=0,'Net Income'!I69=""),"",IF('Market Cap'!I69="",0,'Market Cap'!I69/'Net Income'!I69))</f>
        <v>27.591975987450326</v>
      </c>
      <c r="J69" s="50">
        <f>IF(OR('Net Income'!J69=0,'Net Income'!J69=""),"",IF('Market Cap'!J69="",0,'Market Cap'!J69/'Net Income'!J69))</f>
        <v>81.346187034532363</v>
      </c>
      <c r="K69" s="50">
        <f>IF(OR('Net Income'!K69=0,'Net Income'!K69=""),"",IF('Market Cap'!K69="",0,'Market Cap'!K69/'Net Income'!K69))</f>
        <v>43.092605681081082</v>
      </c>
      <c r="L69" s="50">
        <f>IF(OR('Net Income'!L69=0,'Net Income'!L69=""),"",IF('Market Cap'!L69="",0,'Market Cap'!L69/'Net Income'!L69))</f>
        <v>32.600332143806646</v>
      </c>
      <c r="M69" s="50"/>
      <c r="N69" s="50">
        <f>IF(OR('Net Income'!N69=0,'Net Income'!N69=""),"",IF('Market Cap'!N69="",0,'Market Cap'!N69/'Net Income'!N69))</f>
        <v>27.746660644549763</v>
      </c>
    </row>
    <row r="70" spans="1:14" x14ac:dyDescent="0.3">
      <c r="A70" s="8" t="s">
        <v>175</v>
      </c>
      <c r="B70" s="8" t="s">
        <v>176</v>
      </c>
      <c r="C70" s="8" t="s">
        <v>124</v>
      </c>
      <c r="D70" s="8" t="s">
        <v>121</v>
      </c>
      <c r="E70" s="50">
        <f>IF(OR('Net Income'!E70=0,'Net Income'!E70=""),"",IF('Market Cap'!E70="",0,'Market Cap'!E70/'Net Income'!E70))</f>
        <v>9.8537876801577085</v>
      </c>
      <c r="F70" s="50">
        <f>IF(OR('Net Income'!F70=0,'Net Income'!F70=""),"",IF('Market Cap'!F70="",0,'Market Cap'!F70/'Net Income'!F70))</f>
        <v>11.139355269670542</v>
      </c>
      <c r="G70" s="50">
        <f>IF(OR('Net Income'!G70=0,'Net Income'!G70=""),"",IF('Market Cap'!G70="",0,'Market Cap'!G70/'Net Income'!G70))</f>
        <v>74.03144154186667</v>
      </c>
      <c r="H70" s="50">
        <f>IF(OR('Net Income'!H70=0,'Net Income'!H70=""),"",IF('Market Cap'!H70="",0,'Market Cap'!H70/'Net Income'!H70))</f>
        <v>12.128031015584416</v>
      </c>
      <c r="I70" s="50">
        <f>IF(OR('Net Income'!I70=0,'Net Income'!I70=""),"",IF('Market Cap'!I70="",0,'Market Cap'!I70/'Net Income'!I70))</f>
        <v>13.868184643171807</v>
      </c>
      <c r="J70" s="50">
        <f>IF(OR('Net Income'!J70=0,'Net Income'!J70=""),"",IF('Market Cap'!J70="",0,'Market Cap'!J70/'Net Income'!J70))</f>
        <v>28.126550478943024</v>
      </c>
      <c r="K70" s="50">
        <f>IF(OR('Net Income'!K70=0,'Net Income'!K70=""),"",IF('Market Cap'!K70="",0,'Market Cap'!K70/'Net Income'!K70))</f>
        <v>12.443154287589499</v>
      </c>
      <c r="L70" s="50">
        <f>IF(OR('Net Income'!L70=0,'Net Income'!L70=""),"",IF('Market Cap'!L70="",0,'Market Cap'!L70/'Net Income'!L70))</f>
        <v>12.344635533799535</v>
      </c>
      <c r="M70" s="50">
        <f>IF(OR('Net Income'!M70=0,'Net Income'!M70=""),"",IF('Market Cap'!M70="",0,'Market Cap'!M70/'Net Income'!M70))</f>
        <v>11.073578415371255</v>
      </c>
      <c r="N70" s="50">
        <f>IF(OR('Net Income'!N70=0,'Net Income'!N70=""),"",IF('Market Cap'!N70="",0,'Market Cap'!N70/'Net Income'!N70))</f>
        <v>11.385904493544416</v>
      </c>
    </row>
    <row r="71" spans="1:14" x14ac:dyDescent="0.3">
      <c r="A71" s="8" t="s">
        <v>177</v>
      </c>
      <c r="B71" s="8" t="s">
        <v>178</v>
      </c>
      <c r="C71" s="8" t="s">
        <v>124</v>
      </c>
      <c r="D71" s="8" t="s">
        <v>121</v>
      </c>
      <c r="E71" s="50"/>
      <c r="F71" s="50">
        <f>IF(OR('Net Income'!F71=0,'Net Income'!F71=""),"",IF('Market Cap'!F71="",0,'Market Cap'!F71/'Net Income'!F71))</f>
        <v>11.532296215429403</v>
      </c>
      <c r="G71" s="50">
        <f>IF(OR('Net Income'!G71=0,'Net Income'!G71=""),"",IF('Market Cap'!G71="",0,'Market Cap'!G71/'Net Income'!G71))</f>
        <v>6.4117647058823533</v>
      </c>
      <c r="H71" s="50">
        <f>IF(OR('Net Income'!H71=0,'Net Income'!H71=""),"",IF('Market Cap'!H71="",0,'Market Cap'!H71/'Net Income'!H71))</f>
        <v>4.4954290238986463</v>
      </c>
      <c r="I71" s="50">
        <f>IF(OR('Net Income'!I71=0,'Net Income'!I71=""),"",IF('Market Cap'!I71="",0,'Market Cap'!I71/'Net Income'!I71))</f>
        <v>4.6309280689811665</v>
      </c>
      <c r="J71" s="50">
        <f>IF(OR('Net Income'!J71=0,'Net Income'!J71=""),"",IF('Market Cap'!J71="",0,'Market Cap'!J71/'Net Income'!J71))</f>
        <v>6.5850171559283259</v>
      </c>
      <c r="K71" s="50">
        <f>IF(OR('Net Income'!K71=0,'Net Income'!K71=""),"",IF('Market Cap'!K71="",0,'Market Cap'!K71/'Net Income'!K71))</f>
        <v>5.5964739378011386</v>
      </c>
      <c r="L71" s="50">
        <f>IF(OR('Net Income'!L71=0,'Net Income'!L71=""),"",IF('Market Cap'!L71="",0,'Market Cap'!L71/'Net Income'!L71))</f>
        <v>2.8572924253459577</v>
      </c>
      <c r="M71" s="50">
        <f>IF(OR('Net Income'!M71=0,'Net Income'!M71=""),"",IF('Market Cap'!M71="",0,'Market Cap'!M71/'Net Income'!M71))</f>
        <v>2.7957232952305873</v>
      </c>
      <c r="N71" s="50"/>
    </row>
    <row r="72" spans="1:14" x14ac:dyDescent="0.3">
      <c r="A72" s="8" t="s">
        <v>179</v>
      </c>
      <c r="B72" s="8" t="s">
        <v>180</v>
      </c>
      <c r="C72" s="8" t="s">
        <v>124</v>
      </c>
      <c r="D72" s="8" t="s">
        <v>121</v>
      </c>
      <c r="E72" s="50">
        <f>IF(OR('Net Income'!E72=0,'Net Income'!E72=""),"",IF('Market Cap'!E72="",0,'Market Cap'!E72/'Net Income'!E72))</f>
        <v>53.753628186982212</v>
      </c>
      <c r="F72" s="50">
        <f>IF(OR('Net Income'!F72=0,'Net Income'!F72=""),"",IF('Market Cap'!F72="",0,'Market Cap'!F72/'Net Income'!F72))</f>
        <v>86.66468260596487</v>
      </c>
      <c r="G72" s="50">
        <f>IF(OR('Net Income'!G72=0,'Net Income'!G72=""),"",IF('Market Cap'!G72="",0,'Market Cap'!G72/'Net Income'!G72))</f>
        <v>185.19649452889044</v>
      </c>
      <c r="H72" s="50">
        <f>IF(OR('Net Income'!H72=0,'Net Income'!H72=""),"",IF('Market Cap'!H72="",0,'Market Cap'!H72/'Net Income'!H72))</f>
        <v>43.27058628837063</v>
      </c>
      <c r="I72" s="50"/>
      <c r="J72" s="50">
        <f>IF(OR('Net Income'!J72=0,'Net Income'!J72=""),"",IF('Market Cap'!J72="",0,'Market Cap'!J72/'Net Income'!J72))</f>
        <v>168.61780779467679</v>
      </c>
      <c r="K72" s="50">
        <f>IF(OR('Net Income'!K72=0,'Net Income'!K72=""),"",IF('Market Cap'!K72="",0,'Market Cap'!K72/'Net Income'!K72))</f>
        <v>25.427665917803193</v>
      </c>
      <c r="L72" s="50">
        <f>IF(OR('Net Income'!L72=0,'Net Income'!L72=""),"",IF('Market Cap'!L72="",0,'Market Cap'!L72/'Net Income'!L72))</f>
        <v>27.582556908965032</v>
      </c>
      <c r="M72" s="50">
        <f>IF(OR('Net Income'!M72=0,'Net Income'!M72=""),"",IF('Market Cap'!M72="",0,'Market Cap'!M72/'Net Income'!M72))</f>
        <v>29.344180733541748</v>
      </c>
      <c r="N72" s="50">
        <f>IF(OR('Net Income'!N72=0,'Net Income'!N72=""),"",IF('Market Cap'!N72="",0,'Market Cap'!N72/'Net Income'!N72))</f>
        <v>118.58600806306899</v>
      </c>
    </row>
    <row r="73" spans="1:14" x14ac:dyDescent="0.3">
      <c r="A73" s="8" t="s">
        <v>181</v>
      </c>
      <c r="B73" s="8" t="s">
        <v>182</v>
      </c>
      <c r="C73" s="8" t="s">
        <v>124</v>
      </c>
      <c r="D73" s="8" t="s">
        <v>121</v>
      </c>
      <c r="E73" s="50">
        <f>IF(OR('Net Income'!E73=0,'Net Income'!E73=""),"",IF('Market Cap'!E73="",0,'Market Cap'!E73/'Net Income'!E73))</f>
        <v>15.870797350993378</v>
      </c>
      <c r="F73" s="50">
        <f>IF(OR('Net Income'!F73=0,'Net Income'!F73=""),"",IF('Market Cap'!F73="",0,'Market Cap'!F73/'Net Income'!F73))</f>
        <v>13.613894999999999</v>
      </c>
      <c r="G73" s="50">
        <f>IF(OR('Net Income'!G73=0,'Net Income'!G73=""),"",IF('Market Cap'!G73="",0,'Market Cap'!G73/'Net Income'!G73))</f>
        <v>20.272678571428571</v>
      </c>
      <c r="H73" s="50">
        <f>IF(OR('Net Income'!H73=0,'Net Income'!H73=""),"",IF('Market Cap'!H73="",0,'Market Cap'!H73/'Net Income'!H73))</f>
        <v>11.276839344262296</v>
      </c>
      <c r="I73" s="50">
        <f>IF(OR('Net Income'!I73=0,'Net Income'!I73=""),"",IF('Market Cap'!I73="",0,'Market Cap'!I73/'Net Income'!I73))</f>
        <v>13.162220895522388</v>
      </c>
      <c r="J73" s="50">
        <f>IF(OR('Net Income'!J73=0,'Net Income'!J73=""),"",IF('Market Cap'!J73="",0,'Market Cap'!J73/'Net Income'!J73))</f>
        <v>3737.6586000000002</v>
      </c>
      <c r="K73" s="50">
        <f>IF(OR('Net Income'!K73=0,'Net Income'!K73=""),"",IF('Market Cap'!K73="",0,'Market Cap'!K73/'Net Income'!K73))</f>
        <v>8.321381481481481</v>
      </c>
      <c r="L73" s="50">
        <f>IF(OR('Net Income'!L73=0,'Net Income'!L73=""),"",IF('Market Cap'!L73="",0,'Market Cap'!L73/'Net Income'!L73))</f>
        <v>17.019257383966245</v>
      </c>
      <c r="M73" s="50">
        <f>IF(OR('Net Income'!M73=0,'Net Income'!M73=""),"",IF('Market Cap'!M73="",0,'Market Cap'!M73/'Net Income'!M73))</f>
        <v>23.287233644859814</v>
      </c>
      <c r="N73" s="50">
        <f>IF(OR('Net Income'!N73=0,'Net Income'!N73=""),"",IF('Market Cap'!N73="",0,'Market Cap'!N73/'Net Income'!N73))</f>
        <v>34.467832620920504</v>
      </c>
    </row>
    <row r="74" spans="1:14" x14ac:dyDescent="0.3">
      <c r="A74" s="8" t="s">
        <v>183</v>
      </c>
      <c r="B74" s="8" t="s">
        <v>184</v>
      </c>
      <c r="C74" s="8" t="s">
        <v>124</v>
      </c>
      <c r="D74" s="8" t="s">
        <v>121</v>
      </c>
      <c r="E74" s="50"/>
      <c r="F74" s="50"/>
      <c r="G74" s="50">
        <f>IF(OR('Net Income'!G74=0,'Net Income'!G74=""),"",IF('Market Cap'!G74="",0,'Market Cap'!G74/'Net Income'!G74))</f>
        <v>5.4763586508753859</v>
      </c>
      <c r="H74" s="50">
        <f>IF(OR('Net Income'!H74=0,'Net Income'!H74=""),"",IF('Market Cap'!H74="",0,'Market Cap'!H74/'Net Income'!H74))</f>
        <v>30.113143401015229</v>
      </c>
      <c r="I74" s="50"/>
      <c r="J74" s="50">
        <f>IF(OR('Net Income'!J74=0,'Net Income'!J74=""),"",IF('Market Cap'!J74="",0,'Market Cap'!J74/'Net Income'!J74))</f>
        <v>20.961919143672691</v>
      </c>
      <c r="K74" s="50">
        <f>IF(OR('Net Income'!K74=0,'Net Income'!K74=""),"",IF('Market Cap'!K74="",0,'Market Cap'!K74/'Net Income'!K74))</f>
        <v>33.501495700416086</v>
      </c>
      <c r="L74" s="50">
        <f>IF(OR('Net Income'!L74=0,'Net Income'!L74=""),"",IF('Market Cap'!L74="",0,'Market Cap'!L74/'Net Income'!L74))</f>
        <v>10.581141969083548</v>
      </c>
      <c r="M74" s="50">
        <f>IF(OR('Net Income'!M74=0,'Net Income'!M74=""),"",IF('Market Cap'!M74="",0,'Market Cap'!M74/'Net Income'!M74))</f>
        <v>21.125084399999999</v>
      </c>
      <c r="N74" s="50">
        <f>IF(OR('Net Income'!N74=0,'Net Income'!N74=""),"",IF('Market Cap'!N74="",0,'Market Cap'!N74/'Net Income'!N74))</f>
        <v>4.1746176864654334</v>
      </c>
    </row>
    <row r="75" spans="1:14" x14ac:dyDescent="0.3">
      <c r="A75" s="8" t="s">
        <v>185</v>
      </c>
      <c r="B75" s="8" t="s">
        <v>186</v>
      </c>
      <c r="C75" s="8" t="s">
        <v>124</v>
      </c>
      <c r="D75" s="8" t="s">
        <v>121</v>
      </c>
      <c r="E75" s="50">
        <f>IF(OR('Net Income'!E75=0,'Net Income'!E75=""),"",IF('Market Cap'!E75="",0,'Market Cap'!E75/'Net Income'!E75))</f>
        <v>28.667056135770235</v>
      </c>
      <c r="F75" s="50">
        <f>IF(OR('Net Income'!F75=0,'Net Income'!F75=""),"",IF('Market Cap'!F75="",0,'Market Cap'!F75/'Net Income'!F75))</f>
        <v>27.322054530432389</v>
      </c>
      <c r="G75" s="50">
        <f>IF(OR('Net Income'!G75=0,'Net Income'!G75=""),"",IF('Market Cap'!G75="",0,'Market Cap'!G75/'Net Income'!G75))</f>
        <v>27.645993031358884</v>
      </c>
      <c r="H75" s="50">
        <f>IF(OR('Net Income'!H75=0,'Net Income'!H75=""),"",IF('Market Cap'!H75="",0,'Market Cap'!H75/'Net Income'!H75))</f>
        <v>25.444511388684791</v>
      </c>
      <c r="I75" s="50">
        <f>IF(OR('Net Income'!I75=0,'Net Income'!I75=""),"",IF('Market Cap'!I75="",0,'Market Cap'!I75/'Net Income'!I75))</f>
        <v>43.051267605633804</v>
      </c>
      <c r="J75" s="50">
        <f>IF(OR('Net Income'!J75=0,'Net Income'!J75=""),"",IF('Market Cap'!J75="",0,'Market Cap'!J75/'Net Income'!J75))</f>
        <v>24.632466472303207</v>
      </c>
      <c r="K75" s="50">
        <f>IF(OR('Net Income'!K75=0,'Net Income'!K75=""),"",IF('Market Cap'!K75="",0,'Market Cap'!K75/'Net Income'!K75))</f>
        <v>28.030719095509895</v>
      </c>
      <c r="L75" s="50">
        <f>IF(OR('Net Income'!L75=0,'Net Income'!L75=""),"",IF('Market Cap'!L75="",0,'Market Cap'!L75/'Net Income'!L75))</f>
        <v>49.376663747810859</v>
      </c>
      <c r="M75" s="50">
        <f>IF(OR('Net Income'!M75=0,'Net Income'!M75=""),"",IF('Market Cap'!M75="",0,'Market Cap'!M75/'Net Income'!M75))</f>
        <v>26.514604984525167</v>
      </c>
      <c r="N75" s="50">
        <f>IF(OR('Net Income'!N75=0,'Net Income'!N75=""),"",IF('Market Cap'!N75="",0,'Market Cap'!N75/'Net Income'!N75))</f>
        <v>88.196478873239442</v>
      </c>
    </row>
    <row r="76" spans="1:14" x14ac:dyDescent="0.3">
      <c r="A76" s="8" t="s">
        <v>187</v>
      </c>
      <c r="B76" s="8" t="s">
        <v>188</v>
      </c>
      <c r="C76" s="8" t="s">
        <v>124</v>
      </c>
      <c r="D76" s="8" t="s">
        <v>121</v>
      </c>
      <c r="E76" s="50">
        <f>IF(OR('Net Income'!E76=0,'Net Income'!E76=""),"",IF('Market Cap'!E76="",0,'Market Cap'!E76/'Net Income'!E76))</f>
        <v>32.455234756735784</v>
      </c>
      <c r="F76" s="50">
        <f>IF(OR('Net Income'!F76=0,'Net Income'!F76=""),"",IF('Market Cap'!F76="",0,'Market Cap'!F76/'Net Income'!F76))</f>
        <v>46.840385749815411</v>
      </c>
      <c r="G76" s="50">
        <f>IF(OR('Net Income'!G76=0,'Net Income'!G76=""),"",IF('Market Cap'!G76="",0,'Market Cap'!G76/'Net Income'!G76))</f>
        <v>47.775835472849302</v>
      </c>
      <c r="H76" s="50">
        <f>IF(OR('Net Income'!H76=0,'Net Income'!H76=""),"",IF('Market Cap'!H76="",0,'Market Cap'!H76/'Net Income'!H76))</f>
        <v>52.884778166433193</v>
      </c>
      <c r="I76" s="50">
        <f>IF(OR('Net Income'!I76=0,'Net Income'!I76=""),"",IF('Market Cap'!I76="",0,'Market Cap'!I76/'Net Income'!I76))</f>
        <v>59.652131101795263</v>
      </c>
      <c r="J76" s="50">
        <f>IF(OR('Net Income'!J76=0,'Net Income'!J76=""),"",IF('Market Cap'!J76="",0,'Market Cap'!J76/'Net Income'!J76))</f>
        <v>73.125156104419673</v>
      </c>
      <c r="K76" s="50">
        <f>IF(OR('Net Income'!K76=0,'Net Income'!K76=""),"",IF('Market Cap'!K76="",0,'Market Cap'!K76/'Net Income'!K76))</f>
        <v>95.370536801427718</v>
      </c>
      <c r="L76" s="50">
        <f>IF(OR('Net Income'!L76=0,'Net Income'!L76=""),"",IF('Market Cap'!L76="",0,'Market Cap'!L76/'Net Income'!L76))</f>
        <v>27.678041203373123</v>
      </c>
      <c r="M76" s="50">
        <f>IF(OR('Net Income'!M76=0,'Net Income'!M76=""),"",IF('Market Cap'!M76="",0,'Market Cap'!M76/'Net Income'!M76))</f>
        <v>115.12670858479531</v>
      </c>
      <c r="N76" s="50">
        <f>IF(OR('Net Income'!N76=0,'Net Income'!N76=""),"",IF('Market Cap'!N76="",0,'Market Cap'!N76/'Net Income'!N76))</f>
        <v>176.70822894285715</v>
      </c>
    </row>
    <row r="77" spans="1:14" x14ac:dyDescent="0.3">
      <c r="A77" s="8" t="s">
        <v>189</v>
      </c>
      <c r="B77" s="8" t="s">
        <v>190</v>
      </c>
      <c r="C77" s="8" t="s">
        <v>124</v>
      </c>
      <c r="D77" s="8" t="s">
        <v>121</v>
      </c>
      <c r="E77" s="50">
        <f>IF(OR('Net Income'!E77=0,'Net Income'!E77=""),"",IF('Market Cap'!E77="",0,'Market Cap'!E77/'Net Income'!E77))</f>
        <v>12.2302555778521</v>
      </c>
      <c r="F77" s="50">
        <f>IF(OR('Net Income'!F77=0,'Net Income'!F77=""),"",IF('Market Cap'!F77="",0,'Market Cap'!F77/'Net Income'!F77))</f>
        <v>15.756372700074794</v>
      </c>
      <c r="G77" s="50">
        <f>IF(OR('Net Income'!G77=0,'Net Income'!G77=""),"",IF('Market Cap'!G77="",0,'Market Cap'!G77/'Net Income'!G77))</f>
        <v>16.240875020969636</v>
      </c>
      <c r="H77" s="50">
        <f>IF(OR('Net Income'!H77=0,'Net Income'!H77=""),"",IF('Market Cap'!H77="",0,'Market Cap'!H77/'Net Income'!H77))</f>
        <v>15.487179510935078</v>
      </c>
      <c r="I77" s="50">
        <f>IF(OR('Net Income'!I77=0,'Net Income'!I77=""),"",IF('Market Cap'!I77="",0,'Market Cap'!I77/'Net Income'!I77))</f>
        <v>15.302830841211653</v>
      </c>
      <c r="J77" s="50">
        <f>IF(OR('Net Income'!J77=0,'Net Income'!J77=""),"",IF('Market Cap'!J77="",0,'Market Cap'!J77/'Net Income'!J77))</f>
        <v>21.558220520446095</v>
      </c>
      <c r="K77" s="50">
        <f>IF(OR('Net Income'!K77=0,'Net Income'!K77=""),"",IF('Market Cap'!K77="",0,'Market Cap'!K77/'Net Income'!K77))</f>
        <v>21.630026930241399</v>
      </c>
      <c r="L77" s="50">
        <f>IF(OR('Net Income'!L77=0,'Net Income'!L77=""),"",IF('Market Cap'!L77="",0,'Market Cap'!L77/'Net Income'!L77))</f>
        <v>21.782273865162502</v>
      </c>
      <c r="M77" s="50">
        <f>IF(OR('Net Income'!M77=0,'Net Income'!M77=""),"",IF('Market Cap'!M77="",0,'Market Cap'!M77/'Net Income'!M77))</f>
        <v>13.508623107309095</v>
      </c>
      <c r="N77" s="50">
        <f>IF(OR('Net Income'!N77=0,'Net Income'!N77=""),"",IF('Market Cap'!N77="",0,'Market Cap'!N77/'Net Income'!N77))</f>
        <v>17.210959520539696</v>
      </c>
    </row>
    <row r="78" spans="1:14" x14ac:dyDescent="0.3">
      <c r="A78" s="8" t="s">
        <v>191</v>
      </c>
      <c r="B78" s="8" t="s">
        <v>192</v>
      </c>
      <c r="C78" s="8" t="s">
        <v>124</v>
      </c>
      <c r="D78" s="8" t="s">
        <v>121</v>
      </c>
      <c r="E78" s="50" t="str">
        <f>IF(OR('Net Income'!E78=0,'Net Income'!E78=""),"",IF('Market Cap'!E78="",0,'Market Cap'!E78/'Net Income'!E78))</f>
        <v/>
      </c>
      <c r="F78" s="50" t="str">
        <f>IF(OR('Net Income'!F78=0,'Net Income'!F78=""),"",IF('Market Cap'!F78="",0,'Market Cap'!F78/'Net Income'!F78))</f>
        <v/>
      </c>
      <c r="G78" s="50" t="str">
        <f>IF(OR('Net Income'!G78=0,'Net Income'!G78=""),"",IF('Market Cap'!G78="",0,'Market Cap'!G78/'Net Income'!G78))</f>
        <v/>
      </c>
      <c r="H78" s="50" t="str">
        <f>IF(OR('Net Income'!H78=0,'Net Income'!H78=""),"",IF('Market Cap'!H78="",0,'Market Cap'!H78/'Net Income'!H78))</f>
        <v/>
      </c>
      <c r="I78" s="50" t="str">
        <f>IF(OR('Net Income'!I78=0,'Net Income'!I78=""),"",IF('Market Cap'!I78="",0,'Market Cap'!I78/'Net Income'!I78))</f>
        <v/>
      </c>
      <c r="J78" s="50" t="str">
        <f>IF(OR('Net Income'!J78=0,'Net Income'!J78=""),"",IF('Market Cap'!J78="",0,'Market Cap'!J78/'Net Income'!J78))</f>
        <v/>
      </c>
      <c r="K78" s="50"/>
      <c r="L78" s="50"/>
      <c r="M78" s="50"/>
      <c r="N78" s="50">
        <f>IF(OR('Net Income'!N78=0,'Net Income'!N78=""),"",IF('Market Cap'!N78="",0,'Market Cap'!N78/'Net Income'!N78))</f>
        <v>24.078420489451478</v>
      </c>
    </row>
    <row r="79" spans="1:14" x14ac:dyDescent="0.3">
      <c r="A79" s="8" t="s">
        <v>193</v>
      </c>
      <c r="B79" s="8" t="s">
        <v>194</v>
      </c>
      <c r="C79" s="8" t="s">
        <v>124</v>
      </c>
      <c r="D79" s="8" t="s">
        <v>121</v>
      </c>
      <c r="E79" s="50" t="str">
        <f>IF(OR('Net Income'!E79=0,'Net Income'!E79=""),"",IF('Market Cap'!E79="",0,'Market Cap'!E79/'Net Income'!E79))</f>
        <v/>
      </c>
      <c r="F79" s="50" t="str">
        <f>IF(OR('Net Income'!F79=0,'Net Income'!F79=""),"",IF('Market Cap'!F79="",0,'Market Cap'!F79/'Net Income'!F79))</f>
        <v/>
      </c>
      <c r="G79" s="50" t="str">
        <f>IF(OR('Net Income'!G79=0,'Net Income'!G79=""),"",IF('Market Cap'!G79="",0,'Market Cap'!G79/'Net Income'!G79))</f>
        <v/>
      </c>
      <c r="H79" s="50" t="str">
        <f>IF(OR('Net Income'!H79=0,'Net Income'!H79=""),"",IF('Market Cap'!H79="",0,'Market Cap'!H79/'Net Income'!H79))</f>
        <v/>
      </c>
      <c r="I79" s="50">
        <f>IF(OR('Net Income'!I79=0,'Net Income'!I79=""),"",IF('Market Cap'!I79="",0,'Market Cap'!I79/'Net Income'!I79))</f>
        <v>23.020258136566689</v>
      </c>
      <c r="J79" s="50">
        <f>IF(OR('Net Income'!J79=0,'Net Income'!J79=""),"",IF('Market Cap'!J79="",0,'Market Cap'!J79/'Net Income'!J79))</f>
        <v>27.194330049610205</v>
      </c>
      <c r="K79" s="50">
        <f>IF(OR('Net Income'!K79=0,'Net Income'!K79=""),"",IF('Market Cap'!K79="",0,'Market Cap'!K79/'Net Income'!K79))</f>
        <v>35.77335506658946</v>
      </c>
      <c r="L79" s="50">
        <f>IF(OR('Net Income'!L79=0,'Net Income'!L79=""),"",IF('Market Cap'!L79="",0,'Market Cap'!L79/'Net Income'!L79))</f>
        <v>24.395151285574091</v>
      </c>
      <c r="M79" s="50">
        <f>IF(OR('Net Income'!M79=0,'Net Income'!M79=""),"",IF('Market Cap'!M79="",0,'Market Cap'!M79/'Net Income'!M79))</f>
        <v>35.609447316103378</v>
      </c>
      <c r="N79" s="50">
        <f>IF(OR('Net Income'!N79=0,'Net Income'!N79=""),"",IF('Market Cap'!N79="",0,'Market Cap'!N79/'Net Income'!N79))</f>
        <v>30.954022987868179</v>
      </c>
    </row>
    <row r="80" spans="1:14" x14ac:dyDescent="0.3">
      <c r="A80" s="8" t="s">
        <v>195</v>
      </c>
      <c r="B80" s="8" t="s">
        <v>196</v>
      </c>
      <c r="C80" s="8" t="s">
        <v>124</v>
      </c>
      <c r="D80" s="8" t="s">
        <v>121</v>
      </c>
      <c r="E80" s="50">
        <f>IF(OR('Net Income'!E80=0,'Net Income'!E80=""),"",IF('Market Cap'!E80="",0,'Market Cap'!E80/'Net Income'!E80))</f>
        <v>32.261405649693245</v>
      </c>
      <c r="F80" s="50">
        <f>IF(OR('Net Income'!F80=0,'Net Income'!F80=""),"",IF('Market Cap'!F80="",0,'Market Cap'!F80/'Net Income'!F80))</f>
        <v>29.706229094297811</v>
      </c>
      <c r="G80" s="50">
        <f>IF(OR('Net Income'!G80=0,'Net Income'!G80=""),"",IF('Market Cap'!G80="",0,'Market Cap'!G80/'Net Income'!G80))</f>
        <v>34.399587634143629</v>
      </c>
      <c r="H80" s="50">
        <f>IF(OR('Net Income'!H80=0,'Net Income'!H80=""),"",IF('Market Cap'!H80="",0,'Market Cap'!H80/'Net Income'!H80))</f>
        <v>31.174254141866125</v>
      </c>
      <c r="I80" s="50">
        <f>IF(OR('Net Income'!I80=0,'Net Income'!I80=""),"",IF('Market Cap'!I80="",0,'Market Cap'!I80/'Net Income'!I80))</f>
        <v>42.387415913753571</v>
      </c>
      <c r="J80" s="50">
        <f>IF(OR('Net Income'!J80=0,'Net Income'!J80=""),"",IF('Market Cap'!J80="",0,'Market Cap'!J80/'Net Income'!J80))</f>
        <v>47.838175805626435</v>
      </c>
      <c r="K80" s="50">
        <f>IF(OR('Net Income'!K80=0,'Net Income'!K80=""),"",IF('Market Cap'!K80="",0,'Market Cap'!K80/'Net Income'!K80))</f>
        <v>47.485271983388628</v>
      </c>
      <c r="L80" s="50">
        <f>IF(OR('Net Income'!L80=0,'Net Income'!L80=""),"",IF('Market Cap'!L80="",0,'Market Cap'!L80/'Net Income'!L80))</f>
        <v>50.740978936598012</v>
      </c>
      <c r="M80" s="50">
        <f>IF(OR('Net Income'!M80=0,'Net Income'!M80=""),"",IF('Market Cap'!M80="",0,'Market Cap'!M80/'Net Income'!M80))</f>
        <v>40.32158539408411</v>
      </c>
      <c r="N80" s="50">
        <f>IF(OR('Net Income'!N80=0,'Net Income'!N80=""),"",IF('Market Cap'!N80="",0,'Market Cap'!N80/'Net Income'!N80))</f>
        <v>30.014619796424089</v>
      </c>
    </row>
    <row r="81" spans="1:14" x14ac:dyDescent="0.3">
      <c r="A81" s="8" t="s">
        <v>197</v>
      </c>
      <c r="B81" s="8" t="s">
        <v>198</v>
      </c>
      <c r="C81" s="8" t="s">
        <v>124</v>
      </c>
      <c r="D81" s="8" t="s">
        <v>121</v>
      </c>
      <c r="E81" s="50"/>
      <c r="F81" s="50">
        <f>IF(OR('Net Income'!F81=0,'Net Income'!F81=""),"",IF('Market Cap'!F81="",0,'Market Cap'!F81/'Net Income'!F81))</f>
        <v>12.450684172294656</v>
      </c>
      <c r="G81" s="50">
        <f>IF(OR('Net Income'!G81=0,'Net Income'!G81=""),"",IF('Market Cap'!G81="",0,'Market Cap'!G81/'Net Income'!G81))</f>
        <v>7.14350060879773</v>
      </c>
      <c r="H81" s="50">
        <f>IF(OR('Net Income'!H81=0,'Net Income'!H81=""),"",IF('Market Cap'!H81="",0,'Market Cap'!H81/'Net Income'!H81))</f>
        <v>5.6284189631163475</v>
      </c>
      <c r="I81" s="50">
        <f>IF(OR('Net Income'!I81=0,'Net Income'!I81=""),"",IF('Market Cap'!I81="",0,'Market Cap'!I81/'Net Income'!I81))</f>
        <v>6.3623993339420997</v>
      </c>
      <c r="J81" s="50">
        <f>IF(OR('Net Income'!J81=0,'Net Income'!J81=""),"",IF('Market Cap'!J81="",0,'Market Cap'!J81/'Net Income'!J81))</f>
        <v>8.6170546956648248</v>
      </c>
      <c r="K81" s="50">
        <f>IF(OR('Net Income'!K81=0,'Net Income'!K81=""),"",IF('Market Cap'!K81="",0,'Market Cap'!K81/'Net Income'!K81))</f>
        <v>5.7840256973891568</v>
      </c>
      <c r="L81" s="50">
        <f>IF(OR('Net Income'!L81=0,'Net Income'!L81=""),"",IF('Market Cap'!L81="",0,'Market Cap'!L81/'Net Income'!L81))</f>
        <v>3.7756870361946042</v>
      </c>
      <c r="M81" s="50">
        <f>IF(OR('Net Income'!M81=0,'Net Income'!M81=""),"",IF('Market Cap'!M81="",0,'Market Cap'!M81/'Net Income'!M81))</f>
        <v>3.3900804744374549</v>
      </c>
      <c r="N81" s="50">
        <f>IF(OR('Net Income'!N81=0,'Net Income'!N81=""),"",IF('Market Cap'!N81="",0,'Market Cap'!N81/'Net Income'!N81))</f>
        <v>3.932279693419082</v>
      </c>
    </row>
    <row r="82" spans="1:14" x14ac:dyDescent="0.3">
      <c r="A82" s="8" t="s">
        <v>199</v>
      </c>
      <c r="B82" s="8" t="s">
        <v>200</v>
      </c>
      <c r="C82" s="8" t="s">
        <v>124</v>
      </c>
      <c r="D82" s="8" t="s">
        <v>121</v>
      </c>
      <c r="E82" s="50">
        <f>IF(OR('Net Income'!E82=0,'Net Income'!E82=""),"",IF('Market Cap'!E82="",0,'Market Cap'!E82/'Net Income'!E82))</f>
        <v>14.142125201453036</v>
      </c>
      <c r="F82" s="50">
        <f>IF(OR('Net Income'!F82=0,'Net Income'!F82=""),"",IF('Market Cap'!F82="",0,'Market Cap'!F82/'Net Income'!F82))</f>
        <v>7.2704526989575768</v>
      </c>
      <c r="G82" s="50">
        <f>IF(OR('Net Income'!G82=0,'Net Income'!G82=""),"",IF('Market Cap'!G82="",0,'Market Cap'!G82/'Net Income'!G82))</f>
        <v>9.3906672161953733</v>
      </c>
      <c r="H82" s="50">
        <f>IF(OR('Net Income'!H82=0,'Net Income'!H82=""),"",IF('Market Cap'!H82="",0,'Market Cap'!H82/'Net Income'!H82))</f>
        <v>10.336005809763712</v>
      </c>
      <c r="I82" s="50">
        <f>IF(OR('Net Income'!I82=0,'Net Income'!I82=""),"",IF('Market Cap'!I82="",0,'Market Cap'!I82/'Net Income'!I82))</f>
        <v>25.454131385071612</v>
      </c>
      <c r="J82" s="50">
        <f>IF(OR('Net Income'!J82=0,'Net Income'!J82=""),"",IF('Market Cap'!J82="",0,'Market Cap'!J82/'Net Income'!J82))</f>
        <v>11.882372501275814</v>
      </c>
      <c r="K82" s="50">
        <f>IF(OR('Net Income'!K82=0,'Net Income'!K82=""),"",IF('Market Cap'!K82="",0,'Market Cap'!K82/'Net Income'!K82))</f>
        <v>11.335905398089766</v>
      </c>
      <c r="L82" s="50"/>
      <c r="M82" s="50"/>
      <c r="N82" s="50"/>
    </row>
    <row r="83" spans="1:14" x14ac:dyDescent="0.3">
      <c r="A83" s="8" t="s">
        <v>201</v>
      </c>
      <c r="B83" s="8" t="s">
        <v>202</v>
      </c>
      <c r="C83" s="8" t="s">
        <v>124</v>
      </c>
      <c r="D83" s="8" t="s">
        <v>121</v>
      </c>
      <c r="E83" s="50">
        <f>IF(OR('Net Income'!E83=0,'Net Income'!E83=""),"",IF('Market Cap'!E83="",0,'Market Cap'!E83/'Net Income'!E83))</f>
        <v>73.758683127572013</v>
      </c>
      <c r="F83" s="50">
        <f>IF(OR('Net Income'!F83=0,'Net Income'!F83=""),"",IF('Market Cap'!F83="",0,'Market Cap'!F83/'Net Income'!F83))</f>
        <v>74.44720331950208</v>
      </c>
      <c r="G83" s="50">
        <f>IF(OR('Net Income'!G83=0,'Net Income'!G83=""),"",IF('Market Cap'!G83="",0,'Market Cap'!G83/'Net Income'!G83))</f>
        <v>105.42032007759457</v>
      </c>
      <c r="H83" s="50">
        <f>IF(OR('Net Income'!H83=0,'Net Income'!H83=""),"",IF('Market Cap'!H83="",0,'Market Cap'!H83/'Net Income'!H83))</f>
        <v>110.46708171206225</v>
      </c>
      <c r="I83" s="50">
        <f>IF(OR('Net Income'!I83=0,'Net Income'!I83=""),"",IF('Market Cap'!I83="",0,'Market Cap'!I83/'Net Income'!I83))</f>
        <v>112.20228686058175</v>
      </c>
      <c r="J83" s="50">
        <f>IF(OR('Net Income'!J83=0,'Net Income'!J83=""),"",IF('Market Cap'!J83="",0,'Market Cap'!J83/'Net Income'!J83))</f>
        <v>100.88690844758956</v>
      </c>
      <c r="K83" s="50">
        <f>IF(OR('Net Income'!K83=0,'Net Income'!K83=""),"",IF('Market Cap'!K83="",0,'Market Cap'!K83/'Net Income'!K83))</f>
        <v>78.147820895522386</v>
      </c>
      <c r="L83" s="50">
        <f>IF(OR('Net Income'!L83=0,'Net Income'!L83=""),"",IF('Market Cap'!L83="",0,'Market Cap'!L83/'Net Income'!L83))</f>
        <v>508.27791469583337</v>
      </c>
      <c r="M83" s="50">
        <f>IF(OR('Net Income'!M83=0,'Net Income'!M83=""),"",IF('Market Cap'!M83="",0,'Market Cap'!M83/'Net Income'!M83))</f>
        <v>65.582072289156628</v>
      </c>
      <c r="N83" s="50">
        <f>IF(OR('Net Income'!N83=0,'Net Income'!N83=""),"",IF('Market Cap'!N83="",0,'Market Cap'!N83/'Net Income'!N83))</f>
        <v>33.421939466348071</v>
      </c>
    </row>
    <row r="84" spans="1:14" x14ac:dyDescent="0.3">
      <c r="A84" s="6" t="s">
        <v>203</v>
      </c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3">
      <c r="A85" s="8" t="s">
        <v>204</v>
      </c>
      <c r="B85" s="8" t="s">
        <v>205</v>
      </c>
      <c r="C85" s="8" t="s">
        <v>206</v>
      </c>
      <c r="D85" s="8" t="s">
        <v>203</v>
      </c>
      <c r="E85" s="50">
        <f>IF(OR('Net Income'!E85=0,'Net Income'!E85=""),"",IF('Market Cap'!E85="",0,'Market Cap'!E85/'Net Income'!E85))</f>
        <v>20.374225201763224</v>
      </c>
      <c r="F85" s="50">
        <f>IF(OR('Net Income'!F85=0,'Net Income'!F85=""),"",IF('Market Cap'!F85="",0,'Market Cap'!F85/'Net Income'!F85))</f>
        <v>22.436812118789966</v>
      </c>
      <c r="G85" s="50">
        <f>IF(OR('Net Income'!G85=0,'Net Income'!G85=""),"",IF('Market Cap'!G85="",0,'Market Cap'!G85/'Net Income'!G85))</f>
        <v>22.980815490698976</v>
      </c>
      <c r="H85" s="50">
        <f>IF(OR('Net Income'!H85=0,'Net Income'!H85=""),"",IF('Market Cap'!H85="",0,'Market Cap'!H85/'Net Income'!H85))</f>
        <v>20.432724902455146</v>
      </c>
      <c r="I85" s="50">
        <f>IF(OR('Net Income'!I85=0,'Net Income'!I85=""),"",IF('Market Cap'!I85="",0,'Market Cap'!I85/'Net Income'!I85))</f>
        <v>29.066134163185051</v>
      </c>
      <c r="J85" s="50">
        <f>IF(OR('Net Income'!J85=0,'Net Income'!J85=""),"",IF('Market Cap'!J85="",0,'Market Cap'!J85/'Net Income'!J85))</f>
        <v>54.727720132879625</v>
      </c>
      <c r="K85" s="50">
        <f>IF(OR('Net Income'!K85=0,'Net Income'!K85=""),"",IF('Market Cap'!K85="",0,'Market Cap'!K85/'Net Income'!K85))</f>
        <v>30.420184755400467</v>
      </c>
      <c r="L85" s="50">
        <f>IF(OR('Net Income'!L85=0,'Net Income'!L85=""),"",IF('Market Cap'!L85="",0,'Market Cap'!L85/'Net Income'!L85))</f>
        <v>24.239694678401019</v>
      </c>
      <c r="M85" s="50">
        <f>IF(OR('Net Income'!M85=0,'Net Income'!M85=""),"",IF('Market Cap'!M85="",0,'Market Cap'!M85/'Net Income'!M85))</f>
        <v>24.17566307431132</v>
      </c>
      <c r="N85" s="50">
        <f>IF(OR('Net Income'!N85=0,'Net Income'!N85=""),"",IF('Market Cap'!N85="",0,'Market Cap'!N85/'Net Income'!N85))</f>
        <v>25.289000916334661</v>
      </c>
    </row>
    <row r="86" spans="1:14" x14ac:dyDescent="0.3">
      <c r="A86" s="8" t="s">
        <v>207</v>
      </c>
      <c r="B86" s="8" t="s">
        <v>208</v>
      </c>
      <c r="C86" s="8" t="s">
        <v>206</v>
      </c>
      <c r="D86" s="8" t="s">
        <v>203</v>
      </c>
      <c r="E86" s="50">
        <f>IF(OR('Net Income'!E86=0,'Net Income'!E86=""),"",IF('Market Cap'!E86="",0,'Market Cap'!E86/'Net Income'!E86))</f>
        <v>21.231176801705757</v>
      </c>
      <c r="F86" s="50">
        <f>IF(OR('Net Income'!F86=0,'Net Income'!F86=""),"",IF('Market Cap'!F86="",0,'Market Cap'!F86/'Net Income'!F86))</f>
        <v>21.201363668571428</v>
      </c>
      <c r="G86" s="50">
        <f>IF(OR('Net Income'!G86=0,'Net Income'!G86=""),"",IF('Market Cap'!G86="",0,'Market Cap'!G86/'Net Income'!G86))</f>
        <v>18.163871916279071</v>
      </c>
      <c r="H86" s="50">
        <f>IF(OR('Net Income'!H86=0,'Net Income'!H86=""),"",IF('Market Cap'!H86="",0,'Market Cap'!H86/'Net Income'!H86))</f>
        <v>14.175337754927163</v>
      </c>
      <c r="I86" s="50">
        <f>IF(OR('Net Income'!I86=0,'Net Income'!I86=""),"",IF('Market Cap'!I86="",0,'Market Cap'!I86/'Net Income'!I86))</f>
        <v>20.896241400745961</v>
      </c>
      <c r="J86" s="50">
        <f>IF(OR('Net Income'!J86=0,'Net Income'!J86=""),"",IF('Market Cap'!J86="",0,'Market Cap'!J86/'Net Income'!J86))</f>
        <v>30.814033913452494</v>
      </c>
      <c r="K86" s="50">
        <f>IF(OR('Net Income'!K86=0,'Net Income'!K86=""),"",IF('Market Cap'!K86="",0,'Market Cap'!K86/'Net Income'!K86))</f>
        <v>29.950768639200998</v>
      </c>
      <c r="L86" s="50">
        <f>IF(OR('Net Income'!L86=0,'Net Income'!L86=""),"",IF('Market Cap'!L86="",0,'Market Cap'!L86/'Net Income'!L86))</f>
        <v>20.98321049180328</v>
      </c>
      <c r="M86" s="50">
        <f>IF(OR('Net Income'!M86=0,'Net Income'!M86=""),"",IF('Market Cap'!M86="",0,'Market Cap'!M86/'Net Income'!M86))</f>
        <v>25.423134119410442</v>
      </c>
      <c r="N86" s="50">
        <f>IF(OR('Net Income'!N86=0,'Net Income'!N86=""),"",IF('Market Cap'!N86="",0,'Market Cap'!N86/'Net Income'!N86))</f>
        <v>31.641247224174279</v>
      </c>
    </row>
    <row r="87" spans="1:14" x14ac:dyDescent="0.3">
      <c r="A87" s="8" t="s">
        <v>209</v>
      </c>
      <c r="B87" s="8" t="s">
        <v>126</v>
      </c>
      <c r="C87" s="8" t="s">
        <v>206</v>
      </c>
      <c r="D87" s="8" t="s">
        <v>203</v>
      </c>
      <c r="E87" s="50">
        <f>IF(OR('Net Income'!E87=0,'Net Income'!E87=""),"",IF('Market Cap'!E87="",0,'Market Cap'!E87/'Net Income'!E87))</f>
        <v>18.066954057121663</v>
      </c>
      <c r="F87" s="50">
        <f>IF(OR('Net Income'!F87=0,'Net Income'!F87=""),"",IF('Market Cap'!F87="",0,'Market Cap'!F87/'Net Income'!F87))</f>
        <v>48.869868258371859</v>
      </c>
      <c r="G87" s="50">
        <f>IF(OR('Net Income'!G87=0,'Net Income'!G87=""),"",IF('Market Cap'!G87="",0,'Market Cap'!G87/'Net Income'!G87))</f>
        <v>27.201666355781448</v>
      </c>
      <c r="H87" s="50">
        <f>IF(OR('Net Income'!H87=0,'Net Income'!H87=""),"",IF('Market Cap'!H87="",0,'Market Cap'!H87/'Net Income'!H87))</f>
        <v>21.310772863903079</v>
      </c>
      <c r="I87" s="50"/>
      <c r="J87" s="50"/>
      <c r="K87" s="50">
        <f>IF(OR('Net Income'!K87=0,'Net Income'!K87=""),"",IF('Market Cap'!K87="",0,'Market Cap'!K87/'Net Income'!K87))</f>
        <v>20.944514045725136</v>
      </c>
      <c r="L87" s="50">
        <f>IF(OR('Net Income'!L87=0,'Net Income'!L87=""),"",IF('Market Cap'!L87="",0,'Market Cap'!L87/'Net Income'!L87))</f>
        <v>20.574920150831176</v>
      </c>
      <c r="M87" s="50">
        <f>IF(OR('Net Income'!M87=0,'Net Income'!M87=""),"",IF('Market Cap'!M87="",0,'Market Cap'!M87/'Net Income'!M87))</f>
        <v>29.09669846624967</v>
      </c>
      <c r="N87" s="50">
        <f>IF(OR('Net Income'!N87=0,'Net Income'!N87=""),"",IF('Market Cap'!N87="",0,'Market Cap'!N87/'Net Income'!N87))</f>
        <v>28.891840131706051</v>
      </c>
    </row>
    <row r="88" spans="1:14" x14ac:dyDescent="0.3">
      <c r="A88" s="8" t="s">
        <v>210</v>
      </c>
      <c r="B88" s="8" t="s">
        <v>211</v>
      </c>
      <c r="C88" s="8" t="s">
        <v>206</v>
      </c>
      <c r="D88" s="8" t="s">
        <v>203</v>
      </c>
      <c r="E88" s="50">
        <f>IF(OR('Net Income'!E88=0,'Net Income'!E88=""),"",IF('Market Cap'!E88="",0,'Market Cap'!E88/'Net Income'!E88))</f>
        <v>20.221582086516612</v>
      </c>
      <c r="F88" s="50">
        <f>IF(OR('Net Income'!F88=0,'Net Income'!F88=""),"",IF('Market Cap'!F88="",0,'Market Cap'!F88/'Net Income'!F88))</f>
        <v>19.675779898994513</v>
      </c>
      <c r="G88" s="50">
        <f>IF(OR('Net Income'!G88=0,'Net Income'!G88=""),"",IF('Market Cap'!G88="",0,'Market Cap'!G88/'Net Income'!G88))</f>
        <v>15.90697249444792</v>
      </c>
      <c r="H88" s="50">
        <f>IF(OR('Net Income'!H88=0,'Net Income'!H88=""),"",IF('Market Cap'!H88="",0,'Market Cap'!H88/'Net Income'!H88))</f>
        <v>12.03997371658658</v>
      </c>
      <c r="I88" s="50">
        <f>IF(OR('Net Income'!I88=0,'Net Income'!I88=""),"",IF('Market Cap'!I88="",0,'Market Cap'!I88/'Net Income'!I88))</f>
        <v>12.749197482276559</v>
      </c>
      <c r="J88" s="50"/>
      <c r="K88" s="50">
        <f>IF(OR('Net Income'!K88=0,'Net Income'!K88=""),"",IF('Market Cap'!K88="",0,'Market Cap'!K88/'Net Income'!K88))</f>
        <v>8.3388391936676651</v>
      </c>
      <c r="L88" s="50">
        <f>IF(OR('Net Income'!L88=0,'Net Income'!L88=""),"",IF('Market Cap'!L88="",0,'Market Cap'!L88/'Net Income'!L88))</f>
        <v>7.8102382362418403</v>
      </c>
      <c r="M88" s="50">
        <f>IF(OR('Net Income'!M88=0,'Net Income'!M88=""),"",IF('Market Cap'!M88="",0,'Market Cap'!M88/'Net Income'!M88))</f>
        <v>7.7384773004115228</v>
      </c>
      <c r="N88" s="50">
        <f>IF(OR('Net Income'!N88=0,'Net Income'!N88=""),"",IF('Market Cap'!N88="",0,'Market Cap'!N88/'Net Income'!N88))</f>
        <v>8.0592791342575207</v>
      </c>
    </row>
    <row r="89" spans="1:14" x14ac:dyDescent="0.3">
      <c r="A89" s="8" t="s">
        <v>212</v>
      </c>
      <c r="B89" s="8" t="s">
        <v>213</v>
      </c>
      <c r="C89" s="8" t="s">
        <v>206</v>
      </c>
      <c r="D89" s="8" t="s">
        <v>203</v>
      </c>
      <c r="E89" s="50">
        <f>IF(OR('Net Income'!E89=0,'Net Income'!E89=""),"",IF('Market Cap'!E89="",0,'Market Cap'!E89/'Net Income'!E89))</f>
        <v>24.21361614303709</v>
      </c>
      <c r="F89" s="50">
        <f>IF(OR('Net Income'!F89=0,'Net Income'!F89=""),"",IF('Market Cap'!F89="",0,'Market Cap'!F89/'Net Income'!F89))</f>
        <v>21.010732639626248</v>
      </c>
      <c r="G89" s="50">
        <f>IF(OR('Net Income'!G89=0,'Net Income'!G89=""),"",IF('Market Cap'!G89="",0,'Market Cap'!G89/'Net Income'!G89))</f>
        <v>23.332271631309709</v>
      </c>
      <c r="H89" s="50">
        <f>IF(OR('Net Income'!H89=0,'Net Income'!H89=""),"",IF('Market Cap'!H89="",0,'Market Cap'!H89/'Net Income'!H89))</f>
        <v>21.912583836507199</v>
      </c>
      <c r="I89" s="50">
        <f>IF(OR('Net Income'!I89=0,'Net Income'!I89=""),"",IF('Market Cap'!I89="",0,'Market Cap'!I89/'Net Income'!I89))</f>
        <v>39.920184604419099</v>
      </c>
      <c r="J89" s="50">
        <f>IF(OR('Net Income'!J89=0,'Net Income'!J89=""),"",IF('Market Cap'!J89="",0,'Market Cap'!J89/'Net Income'!J89))</f>
        <v>8.0249162192939654</v>
      </c>
      <c r="K89" s="50">
        <f>IF(OR('Net Income'!K89=0,'Net Income'!K89=""),"",IF('Market Cap'!K89="",0,'Market Cap'!K89/'Net Income'!K89))</f>
        <v>17.828450907922225</v>
      </c>
      <c r="L89" s="50">
        <f>IF(OR('Net Income'!L89=0,'Net Income'!L89=""),"",IF('Market Cap'!L89="",0,'Market Cap'!L89/'Net Income'!L89))</f>
        <v>13.435753912316331</v>
      </c>
      <c r="M89" s="50">
        <f>IF(OR('Net Income'!M89=0,'Net Income'!M89=""),"",IF('Market Cap'!M89="",0,'Market Cap'!M89/'Net Income'!M89))</f>
        <v>20.806035555555557</v>
      </c>
      <c r="N89" s="50">
        <f>IF(OR('Net Income'!N89=0,'Net Income'!N89=""),"",IF('Market Cap'!N89="",0,'Market Cap'!N89/'Net Income'!N89))</f>
        <v>21.098243884892085</v>
      </c>
    </row>
    <row r="90" spans="1:14" x14ac:dyDescent="0.3">
      <c r="A90" s="8" t="s">
        <v>214</v>
      </c>
      <c r="B90" s="8" t="s">
        <v>215</v>
      </c>
      <c r="C90" s="8" t="s">
        <v>206</v>
      </c>
      <c r="D90" s="8" t="s">
        <v>203</v>
      </c>
      <c r="E90" s="50"/>
      <c r="F90" s="50">
        <f>IF(OR('Net Income'!F90=0,'Net Income'!F90=""),"",IF('Market Cap'!F90="",0,'Market Cap'!F90/'Net Income'!F90))</f>
        <v>14.929226715702306</v>
      </c>
      <c r="G90" s="50">
        <f>IF(OR('Net Income'!G90=0,'Net Income'!G90=""),"",IF('Market Cap'!G90="",0,'Market Cap'!G90/'Net Income'!G90))</f>
        <v>7.6818762337582411</v>
      </c>
      <c r="H90" s="50">
        <f>IF(OR('Net Income'!H90=0,'Net Income'!H90=""),"",IF('Market Cap'!H90="",0,'Market Cap'!H90/'Net Income'!H90))</f>
        <v>35.399925778643805</v>
      </c>
      <c r="I90" s="50">
        <f>IF(OR('Net Income'!I90=0,'Net Income'!I90=""),"",IF('Market Cap'!I90="",0,'Market Cap'!I90/'Net Income'!I90))</f>
        <v>24.173037252063754</v>
      </c>
      <c r="J90" s="50">
        <f>IF(OR('Net Income'!J90=0,'Net Income'!J90=""),"",IF('Market Cap'!J90="",0,'Market Cap'!J90/'Net Income'!J90))</f>
        <v>140.33762251534091</v>
      </c>
      <c r="K90" s="50">
        <f>IF(OR('Net Income'!K90=0,'Net Income'!K90=""),"",IF('Market Cap'!K90="",0,'Market Cap'!K90/'Net Income'!K90))</f>
        <v>1068.2135989651163</v>
      </c>
      <c r="L90" s="50"/>
      <c r="M90" s="50">
        <f>IF(OR('Net Income'!M90=0,'Net Income'!M90=""),"",IF('Market Cap'!M90="",0,'Market Cap'!M90/'Net Income'!M90))</f>
        <v>19.419483844181183</v>
      </c>
      <c r="N90" s="50"/>
    </row>
    <row r="91" spans="1:14" x14ac:dyDescent="0.3">
      <c r="A91" s="8" t="s">
        <v>216</v>
      </c>
      <c r="B91" s="8" t="s">
        <v>217</v>
      </c>
      <c r="C91" s="8" t="s">
        <v>206</v>
      </c>
      <c r="D91" s="8" t="s">
        <v>203</v>
      </c>
      <c r="E91" s="50">
        <f>IF(OR('Net Income'!E91=0,'Net Income'!E91=""),"",IF('Market Cap'!E91="",0,'Market Cap'!E91/'Net Income'!E91))</f>
        <v>20.12655189091323</v>
      </c>
      <c r="F91" s="50">
        <f>IF(OR('Net Income'!F91=0,'Net Income'!F91=""),"",IF('Market Cap'!F91="",0,'Market Cap'!F91/'Net Income'!F91))</f>
        <v>20.668787156442519</v>
      </c>
      <c r="G91" s="50">
        <f>IF(OR('Net Income'!G91=0,'Net Income'!G91=""),"",IF('Market Cap'!G91="",0,'Market Cap'!G91/'Net Income'!G91))</f>
        <v>20.257499133333333</v>
      </c>
      <c r="H91" s="50">
        <f>IF(OR('Net Income'!H91=0,'Net Income'!H91=""),"",IF('Market Cap'!H91="",0,'Market Cap'!H91/'Net Income'!H91))</f>
        <v>21.95190833027349</v>
      </c>
      <c r="I91" s="50">
        <f>IF(OR('Net Income'!I91=0,'Net Income'!I91=""),"",IF('Market Cap'!I91="",0,'Market Cap'!I91/'Net Income'!I91))</f>
        <v>26.530779972072274</v>
      </c>
      <c r="J91" s="50">
        <f>IF(OR('Net Income'!J91=0,'Net Income'!J91=""),"",IF('Market Cap'!J91="",0,'Market Cap'!J91/'Net Income'!J91))</f>
        <v>25.999968279064515</v>
      </c>
      <c r="K91" s="50">
        <f>IF(OR('Net Income'!K91=0,'Net Income'!K91=""),"",IF('Market Cap'!K91="",0,'Market Cap'!K91/'Net Income'!K91))</f>
        <v>28.22238101068735</v>
      </c>
      <c r="L91" s="50">
        <f>IF(OR('Net Income'!L91=0,'Net Income'!L91=""),"",IF('Market Cap'!L91="",0,'Market Cap'!L91/'Net Income'!L91))</f>
        <v>25.054317302348849</v>
      </c>
      <c r="M91" s="50">
        <f>IF(OR('Net Income'!M91=0,'Net Income'!M91=""),"",IF('Market Cap'!M91="",0,'Market Cap'!M91/'Net Income'!M91))</f>
        <v>29.667658128654971</v>
      </c>
      <c r="N91" s="50">
        <f>IF(OR('Net Income'!N91=0,'Net Income'!N91=""),"",IF('Market Cap'!N91="",0,'Market Cap'!N91/'Net Income'!N91))</f>
        <v>27.360854463833522</v>
      </c>
    </row>
    <row r="92" spans="1:14" x14ac:dyDescent="0.3">
      <c r="A92" s="8" t="s">
        <v>218</v>
      </c>
      <c r="B92" s="8" t="s">
        <v>219</v>
      </c>
      <c r="C92" s="8" t="s">
        <v>206</v>
      </c>
      <c r="D92" s="8" t="s">
        <v>203</v>
      </c>
      <c r="E92" s="50">
        <f>IF(OR('Net Income'!E92=0,'Net Income'!E92=""),"",IF('Market Cap'!E92="",0,'Market Cap'!E92/'Net Income'!E92))</f>
        <v>26.249968748347182</v>
      </c>
      <c r="F92" s="50">
        <f>IF(OR('Net Income'!F92=0,'Net Income'!F92=""),"",IF('Market Cap'!F92="",0,'Market Cap'!F92/'Net Income'!F92))</f>
        <v>31.220170256487865</v>
      </c>
      <c r="G92" s="50">
        <f>IF(OR('Net Income'!G92=0,'Net Income'!G92=""),"",IF('Market Cap'!G92="",0,'Market Cap'!G92/'Net Income'!G92))</f>
        <v>28.442622509242199</v>
      </c>
      <c r="H92" s="50">
        <f>IF(OR('Net Income'!H92=0,'Net Income'!H92=""),"",IF('Market Cap'!H92="",0,'Market Cap'!H92/'Net Income'!H92))</f>
        <v>28.903876732967092</v>
      </c>
      <c r="I92" s="50">
        <f>IF(OR('Net Income'!I92=0,'Net Income'!I92=""),"",IF('Market Cap'!I92="",0,'Market Cap'!I92/'Net Income'!I92))</f>
        <v>39.405676147199998</v>
      </c>
      <c r="J92" s="50">
        <f>IF(OR('Net Income'!J92=0,'Net Income'!J92=""),"",IF('Market Cap'!J92="",0,'Market Cap'!J92/'Net Income'!J92))</f>
        <v>48.764856843913115</v>
      </c>
      <c r="K92" s="50">
        <f>IF(OR('Net Income'!K92=0,'Net Income'!K92=""),"",IF('Market Cap'!K92="",0,'Market Cap'!K92/'Net Income'!K92))</f>
        <v>50.573537889343285</v>
      </c>
      <c r="L92" s="50">
        <f>IF(OR('Net Income'!L92=0,'Net Income'!L92=""),"",IF('Market Cap'!L92="",0,'Market Cap'!L92/'Net Income'!L92))</f>
        <v>31.327899679108398</v>
      </c>
      <c r="M92" s="50">
        <f>IF(OR('Net Income'!M92=0,'Net Income'!M92=""),"",IF('Market Cap'!M92="",0,'Market Cap'!M92/'Net Income'!M92))</f>
        <v>39.118926995682408</v>
      </c>
      <c r="N92" s="50">
        <f>IF(OR('Net Income'!N92=0,'Net Income'!N92=""),"",IF('Market Cap'!N92="",0,'Market Cap'!N92/'Net Income'!N92))</f>
        <v>28.510143364075397</v>
      </c>
    </row>
    <row r="93" spans="1:14" x14ac:dyDescent="0.3">
      <c r="A93" s="8" t="s">
        <v>220</v>
      </c>
      <c r="B93" s="8" t="s">
        <v>221</v>
      </c>
      <c r="C93" s="8" t="s">
        <v>206</v>
      </c>
      <c r="D93" s="8" t="s">
        <v>203</v>
      </c>
      <c r="E93" s="50">
        <f>IF(OR('Net Income'!E93=0,'Net Income'!E93=""),"",IF('Market Cap'!E93="",0,'Market Cap'!E93/'Net Income'!E93))</f>
        <v>32.254553529194183</v>
      </c>
      <c r="F93" s="50">
        <f>IF(OR('Net Income'!F93=0,'Net Income'!F93=""),"",IF('Market Cap'!F93="",0,'Market Cap'!F93/'Net Income'!F93))</f>
        <v>28.338066424907751</v>
      </c>
      <c r="G93" s="50">
        <f>IF(OR('Net Income'!G93=0,'Net Income'!G93=""),"",IF('Market Cap'!G93="",0,'Market Cap'!G93/'Net Income'!G93))</f>
        <v>32.129630647084916</v>
      </c>
      <c r="H93" s="50">
        <f>IF(OR('Net Income'!H93=0,'Net Income'!H93=""),"",IF('Market Cap'!H93="",0,'Market Cap'!H93/'Net Income'!H93))</f>
        <v>26.587519002723916</v>
      </c>
      <c r="I93" s="50">
        <f>IF(OR('Net Income'!I93=0,'Net Income'!I93=""),"",IF('Market Cap'!I93="",0,'Market Cap'!I93/'Net Income'!I93))</f>
        <v>54.734177643082639</v>
      </c>
      <c r="J93" s="50">
        <f>IF(OR('Net Income'!J93=0,'Net Income'!J93=""),"",IF('Market Cap'!J93="",0,'Market Cap'!J93/'Net Income'!J93))</f>
        <v>654.05960991823531</v>
      </c>
      <c r="K93" s="50">
        <f>IF(OR('Net Income'!K93=0,'Net Income'!K93=""),"",IF('Market Cap'!K93="",0,'Market Cap'!K93/'Net Income'!K93))</f>
        <v>56.743023034917123</v>
      </c>
      <c r="L93" s="50">
        <f>IF(OR('Net Income'!L93=0,'Net Income'!L93=""),"",IF('Market Cap'!L93="",0,'Market Cap'!L93/'Net Income'!L93))</f>
        <v>34.75596184126394</v>
      </c>
      <c r="M93" s="50">
        <f>IF(OR('Net Income'!M93=0,'Net Income'!M93=""),"",IF('Market Cap'!M93="",0,'Market Cap'!M93/'Net Income'!M93))</f>
        <v>35.73228345020533</v>
      </c>
      <c r="N93" s="50">
        <f>IF(OR('Net Income'!N93=0,'Net Income'!N93=""),"",IF('Market Cap'!N93="",0,'Market Cap'!N93/'Net Income'!N93))</f>
        <v>45.334949085036037</v>
      </c>
    </row>
    <row r="94" spans="1:14" x14ac:dyDescent="0.3">
      <c r="A94" s="8" t="s">
        <v>222</v>
      </c>
      <c r="B94" s="8" t="s">
        <v>223</v>
      </c>
      <c r="C94" s="8" t="s">
        <v>206</v>
      </c>
      <c r="D94" s="8" t="s">
        <v>203</v>
      </c>
      <c r="E94" s="50">
        <f>IF(OR('Net Income'!E94=0,'Net Income'!E94=""),"",IF('Market Cap'!E94="",0,'Market Cap'!E94/'Net Income'!E94))</f>
        <v>9.6984359190573652</v>
      </c>
      <c r="F94" s="50">
        <f>IF(OR('Net Income'!F94=0,'Net Income'!F94=""),"",IF('Market Cap'!F94="",0,'Market Cap'!F94/'Net Income'!F94))</f>
        <v>9.7835183482666856</v>
      </c>
      <c r="G94" s="50">
        <f>IF(OR('Net Income'!G94=0,'Net Income'!G94=""),"",IF('Market Cap'!G94="",0,'Market Cap'!G94/'Net Income'!G94))</f>
        <v>9.9739859320311908</v>
      </c>
      <c r="H94" s="50">
        <f>IF(OR('Net Income'!H94=0,'Net Income'!H94=""),"",IF('Market Cap'!H94="",0,'Market Cap'!H94/'Net Income'!H94))</f>
        <v>6.5468728099176197</v>
      </c>
      <c r="I94" s="50">
        <f>IF(OR('Net Income'!I94=0,'Net Income'!I94=""),"",IF('Market Cap'!I94="",0,'Market Cap'!I94/'Net Income'!I94))</f>
        <v>8.0669904671430324</v>
      </c>
      <c r="J94" s="50">
        <f>IF(OR('Net Income'!J94=0,'Net Income'!J94=""),"",IF('Market Cap'!J94="",0,'Market Cap'!J94/'Net Income'!J94))</f>
        <v>7.6119420149808974</v>
      </c>
      <c r="K94" s="50">
        <f>IF(OR('Net Income'!K94=0,'Net Income'!K94=""),"",IF('Market Cap'!K94="",0,'Market Cap'!K94/'Net Income'!K94))</f>
        <v>7.9870450634569989</v>
      </c>
      <c r="L94" s="50">
        <f>IF(OR('Net Income'!L94=0,'Net Income'!L94=""),"",IF('Market Cap'!L94="",0,'Market Cap'!L94/'Net Income'!L94))</f>
        <v>6.6670189960144191</v>
      </c>
      <c r="M94" s="50">
        <f>IF(OR('Net Income'!M94=0,'Net Income'!M94=""),"",IF('Market Cap'!M94="",0,'Market Cap'!M94/'Net Income'!M94))</f>
        <v>6.845648439437813</v>
      </c>
      <c r="N94" s="50">
        <f>IF(OR('Net Income'!N94=0,'Net Income'!N94=""),"",IF('Market Cap'!N94="",0,'Market Cap'!N94/'Net Income'!N94))</f>
        <v>5.7421410369609855</v>
      </c>
    </row>
    <row r="95" spans="1:14" x14ac:dyDescent="0.3">
      <c r="A95" s="8" t="s">
        <v>224</v>
      </c>
      <c r="B95" s="8" t="s">
        <v>225</v>
      </c>
      <c r="C95" s="8" t="s">
        <v>206</v>
      </c>
      <c r="D95" s="8" t="s">
        <v>203</v>
      </c>
      <c r="E95" s="50">
        <f>IF(OR('Net Income'!E95=0,'Net Income'!E95=""),"",IF('Market Cap'!E95="",0,'Market Cap'!E95/'Net Income'!E95))</f>
        <v>10.910391668150258</v>
      </c>
      <c r="F95" s="50">
        <f>IF(OR('Net Income'!F95=0,'Net Income'!F95=""),"",IF('Market Cap'!F95="",0,'Market Cap'!F95/'Net Income'!F95))</f>
        <v>9.9433590667352885</v>
      </c>
      <c r="G95" s="50">
        <f>IF(OR('Net Income'!G95=0,'Net Income'!G95=""),"",IF('Market Cap'!G95="",0,'Market Cap'!G95/'Net Income'!G95))</f>
        <v>9.5506844902560797</v>
      </c>
      <c r="H95" s="50">
        <f>IF(OR('Net Income'!H95=0,'Net Income'!H95=""),"",IF('Market Cap'!H95="",0,'Market Cap'!H95/'Net Income'!H95))</f>
        <v>21.001579439252335</v>
      </c>
      <c r="I95" s="50">
        <f>IF(OR('Net Income'!I95=0,'Net Income'!I95=""),"",IF('Market Cap'!I95="",0,'Market Cap'!I95/'Net Income'!I95))</f>
        <v>15.513904589058853</v>
      </c>
      <c r="J95" s="50">
        <f>IF(OR('Net Income'!J95=0,'Net Income'!J95=""),"",IF('Market Cap'!J95="",0,'Market Cap'!J95/'Net Income'!J95))</f>
        <v>14.681829962073325</v>
      </c>
      <c r="K95" s="50">
        <f>IF(OR('Net Income'!K95=0,'Net Income'!K95=""),"",IF('Market Cap'!K95="",0,'Market Cap'!K95/'Net Income'!K95))</f>
        <v>8.5424184261036462</v>
      </c>
      <c r="L95" s="50">
        <f>IF(OR('Net Income'!L95=0,'Net Income'!L95=""),"",IF('Market Cap'!L95="",0,'Market Cap'!L95/'Net Income'!L95))</f>
        <v>8.9404344569288394</v>
      </c>
      <c r="M95" s="50">
        <f>IF(OR('Net Income'!M95=0,'Net Income'!M95=""),"",IF('Market Cap'!M95="",0,'Market Cap'!M95/'Net Income'!M95))</f>
        <v>9.1321128765210737</v>
      </c>
      <c r="N95" s="50">
        <f>IF(OR('Net Income'!N95=0,'Net Income'!N95=""),"",IF('Market Cap'!N95="",0,'Market Cap'!N95/'Net Income'!N95))</f>
        <v>9.80571428509257</v>
      </c>
    </row>
    <row r="96" spans="1:14" x14ac:dyDescent="0.3">
      <c r="A96" s="8" t="s">
        <v>226</v>
      </c>
      <c r="B96" s="8" t="s">
        <v>227</v>
      </c>
      <c r="C96" s="8" t="s">
        <v>206</v>
      </c>
      <c r="D96" s="8" t="s">
        <v>203</v>
      </c>
      <c r="E96" s="50">
        <f>IF(OR('Net Income'!E96=0,'Net Income'!E96=""),"",IF('Market Cap'!E96="",0,'Market Cap'!E96/'Net Income'!E96))</f>
        <v>33.462283402220848</v>
      </c>
      <c r="F96" s="50">
        <f>IF(OR('Net Income'!F96=0,'Net Income'!F96=""),"",IF('Market Cap'!F96="",0,'Market Cap'!F96/'Net Income'!F96))</f>
        <v>37.046597291647736</v>
      </c>
      <c r="G96" s="50">
        <f>IF(OR('Net Income'!G96=0,'Net Income'!G96=""),"",IF('Market Cap'!G96="",0,'Market Cap'!G96/'Net Income'!G96))</f>
        <v>38.153463502865328</v>
      </c>
      <c r="H96" s="50">
        <f>IF(OR('Net Income'!H96=0,'Net Income'!H96=""),"",IF('Market Cap'!H96="",0,'Market Cap'!H96/'Net Income'!H96))</f>
        <v>35.951111298185701</v>
      </c>
      <c r="I96" s="50">
        <f>IF(OR('Net Income'!I96=0,'Net Income'!I96=""),"",IF('Market Cap'!I96="",0,'Market Cap'!I96/'Net Income'!I96))</f>
        <v>45.439196325480964</v>
      </c>
      <c r="J96" s="50">
        <f>IF(OR('Net Income'!J96=0,'Net Income'!J96=""),"",IF('Market Cap'!J96="",0,'Market Cap'!J96/'Net Income'!J96))</f>
        <v>66.322965379927794</v>
      </c>
      <c r="K96" s="50">
        <f>IF(OR('Net Income'!K96=0,'Net Income'!K96=""),"",IF('Market Cap'!K96="",0,'Market Cap'!K96/'Net Income'!K96))</f>
        <v>65.726558233128841</v>
      </c>
      <c r="L96" s="50">
        <f>IF(OR('Net Income'!L96=0,'Net Income'!L96=""),"",IF('Market Cap'!L96="",0,'Market Cap'!L96/'Net Income'!L96))</f>
        <v>44.8755667968518</v>
      </c>
      <c r="M96" s="50">
        <f>IF(OR('Net Income'!M96=0,'Net Income'!M96=""),"",IF('Market Cap'!M96="",0,'Market Cap'!M96/'Net Income'!M96))</f>
        <v>46.058748572164234</v>
      </c>
      <c r="N96" s="50">
        <f>IF(OR('Net Income'!N96=0,'Net Income'!N96=""),"",IF('Market Cap'!N96="",0,'Market Cap'!N96/'Net Income'!N96))</f>
        <v>52.856817489463396</v>
      </c>
    </row>
    <row r="97" spans="1:14" x14ac:dyDescent="0.3">
      <c r="A97" s="8" t="s">
        <v>228</v>
      </c>
      <c r="B97" s="8" t="s">
        <v>229</v>
      </c>
      <c r="C97" s="8" t="s">
        <v>206</v>
      </c>
      <c r="D97" s="8" t="s">
        <v>203</v>
      </c>
      <c r="E97" s="50">
        <f>IF(OR('Net Income'!E97=0,'Net Income'!E97=""),"",IF('Market Cap'!E97="",0,'Market Cap'!E97/'Net Income'!E97))</f>
        <v>16.012886532316713</v>
      </c>
      <c r="F97" s="50">
        <f>IF(OR('Net Income'!F97=0,'Net Income'!F97=""),"",IF('Market Cap'!F97="",0,'Market Cap'!F97/'Net Income'!F97))</f>
        <v>14.32891420263473</v>
      </c>
      <c r="G97" s="50">
        <f>IF(OR('Net Income'!G97=0,'Net Income'!G97=""),"",IF('Market Cap'!G97="",0,'Market Cap'!G97/'Net Income'!G97))</f>
        <v>17.144241752384421</v>
      </c>
      <c r="H97" s="50">
        <f>IF(OR('Net Income'!H97=0,'Net Income'!H97=""),"",IF('Market Cap'!H97="",0,'Market Cap'!H97/'Net Income'!H97))</f>
        <v>13.394234910419041</v>
      </c>
      <c r="I97" s="50">
        <f>IF(OR('Net Income'!I97=0,'Net Income'!I97=""),"",IF('Market Cap'!I97="",0,'Market Cap'!I97/'Net Income'!I97))</f>
        <v>16.840399342638037</v>
      </c>
      <c r="J97" s="50">
        <f>IF(OR('Net Income'!J97=0,'Net Income'!J97=""),"",IF('Market Cap'!J97="",0,'Market Cap'!J97/'Net Income'!J97))</f>
        <v>36.523697148985505</v>
      </c>
      <c r="K97" s="50">
        <f>IF(OR('Net Income'!K97=0,'Net Income'!K97=""),"",IF('Market Cap'!K97="",0,'Market Cap'!K97/'Net Income'!K97))</f>
        <v>20.37474091598768</v>
      </c>
      <c r="L97" s="50">
        <f>IF(OR('Net Income'!L97=0,'Net Income'!L97=""),"",IF('Market Cap'!L97="",0,'Market Cap'!L97/'Net Income'!L97))</f>
        <v>12.361536981523832</v>
      </c>
      <c r="M97" s="50">
        <f>IF(OR('Net Income'!M97=0,'Net Income'!M97=""),"",IF('Market Cap'!M97="",0,'Market Cap'!M97/'Net Income'!M97))</f>
        <v>13.739951507379837</v>
      </c>
      <c r="N97" s="50">
        <f>IF(OR('Net Income'!N97=0,'Net Income'!N97=""),"",IF('Market Cap'!N97="",0,'Market Cap'!N97/'Net Income'!N97))</f>
        <v>11.693597178696278</v>
      </c>
    </row>
    <row r="98" spans="1:14" x14ac:dyDescent="0.3">
      <c r="A98" s="8" t="s">
        <v>230</v>
      </c>
      <c r="B98" s="8" t="s">
        <v>231</v>
      </c>
      <c r="C98" s="8" t="s">
        <v>206</v>
      </c>
      <c r="D98" s="8" t="s">
        <v>203</v>
      </c>
      <c r="E98" s="50">
        <f>IF(OR('Net Income'!E98=0,'Net Income'!E98=""),"",IF('Market Cap'!E98="",0,'Market Cap'!E98/'Net Income'!E98))</f>
        <v>29.616886101060839</v>
      </c>
      <c r="F98" s="50">
        <f>IF(OR('Net Income'!F98=0,'Net Income'!F98=""),"",IF('Market Cap'!F98="",0,'Market Cap'!F98/'Net Income'!F98))</f>
        <v>21.575471434999997</v>
      </c>
      <c r="G98" s="50">
        <f>IF(OR('Net Income'!G98=0,'Net Income'!G98=""),"",IF('Market Cap'!G98="",0,'Market Cap'!G98/'Net Income'!G98))</f>
        <v>17.656623056827275</v>
      </c>
      <c r="H98" s="50">
        <f>IF(OR('Net Income'!H98=0,'Net Income'!H98=""),"",IF('Market Cap'!H98="",0,'Market Cap'!H98/'Net Income'!H98))</f>
        <v>16.930952199040686</v>
      </c>
      <c r="I98" s="50">
        <f>IF(OR('Net Income'!I98=0,'Net Income'!I98=""),"",IF('Market Cap'!I98="",0,'Market Cap'!I98/'Net Income'!I98))</f>
        <v>25.016039231174933</v>
      </c>
      <c r="J98" s="50">
        <f>IF(OR('Net Income'!J98=0,'Net Income'!J98=""),"",IF('Market Cap'!J98="",0,'Market Cap'!J98/'Net Income'!J98))</f>
        <v>17.846659706503068</v>
      </c>
      <c r="K98" s="50">
        <f>IF(OR('Net Income'!K98=0,'Net Income'!K98=""),"",IF('Market Cap'!K98="",0,'Market Cap'!K98/'Net Income'!K98))</f>
        <v>18.33349251996362</v>
      </c>
      <c r="L98" s="50">
        <f>IF(OR('Net Income'!L98=0,'Net Income'!L98=""),"",IF('Market Cap'!L98="",0,'Market Cap'!L98/'Net Income'!L98))</f>
        <v>32.805497307434827</v>
      </c>
      <c r="M98" s="50">
        <f>IF(OR('Net Income'!M98=0,'Net Income'!M98=""),"",IF('Market Cap'!M98="",0,'Market Cap'!M98/'Net Income'!M98))</f>
        <v>42.696581612077182</v>
      </c>
      <c r="N98" s="50">
        <f>IF(OR('Net Income'!N98=0,'Net Income'!N98=""),"",IF('Market Cap'!N98="",0,'Market Cap'!N98/'Net Income'!N98))</f>
        <v>20.727683626877781</v>
      </c>
    </row>
    <row r="99" spans="1:14" x14ac:dyDescent="0.3">
      <c r="A99" s="8" t="s">
        <v>232</v>
      </c>
      <c r="B99" s="8" t="s">
        <v>233</v>
      </c>
      <c r="C99" s="8" t="s">
        <v>206</v>
      </c>
      <c r="D99" s="8" t="s">
        <v>203</v>
      </c>
      <c r="E99" s="50">
        <f>IF(OR('Net Income'!E99=0,'Net Income'!E99=""),"",IF('Market Cap'!E99="",0,'Market Cap'!E99/'Net Income'!E99))</f>
        <v>8.4321085772406903</v>
      </c>
      <c r="F99" s="50">
        <f>IF(OR('Net Income'!F99=0,'Net Income'!F99=""),"",IF('Market Cap'!F99="",0,'Market Cap'!F99/'Net Income'!F99))</f>
        <v>9.6371727910841525</v>
      </c>
      <c r="G99" s="50">
        <f>IF(OR('Net Income'!G99=0,'Net Income'!G99=""),"",IF('Market Cap'!G99="",0,'Market Cap'!G99/'Net Income'!G99))</f>
        <v>12.317083042922309</v>
      </c>
      <c r="H99" s="50">
        <f>IF(OR('Net Income'!H99=0,'Net Income'!H99=""),"",IF('Market Cap'!H99="",0,'Market Cap'!H99/'Net Income'!H99))</f>
        <v>5.4135213634700321</v>
      </c>
      <c r="I99" s="50">
        <f>IF(OR('Net Income'!I99=0,'Net Income'!I99=""),"",IF('Market Cap'!I99="",0,'Market Cap'!I99/'Net Income'!I99))</f>
        <v>7.9234151761853449</v>
      </c>
      <c r="J99" s="50"/>
      <c r="K99" s="50">
        <f>IF(OR('Net Income'!K99=0,'Net Income'!K99=""),"",IF('Market Cap'!K99="",0,'Market Cap'!K99/'Net Income'!K99))</f>
        <v>4.5320970772735336</v>
      </c>
      <c r="L99" s="50">
        <f>IF(OR('Net Income'!L99=0,'Net Income'!L99=""),"",IF('Market Cap'!L99="",0,'Market Cap'!L99/'Net Income'!L99))</f>
        <v>10.581277117260274</v>
      </c>
      <c r="M99" s="50">
        <f>IF(OR('Net Income'!M99=0,'Net Income'!M99=""),"",IF('Market Cap'!M99="",0,'Market Cap'!M99/'Net Income'!M99))</f>
        <v>7.7045893028880856</v>
      </c>
      <c r="N99" s="50">
        <f>IF(OR('Net Income'!N99=0,'Net Income'!N99=""),"",IF('Market Cap'!N99="",0,'Market Cap'!N99/'Net Income'!N99))</f>
        <v>5.1420928666666663</v>
      </c>
    </row>
    <row r="100" spans="1:14" x14ac:dyDescent="0.3">
      <c r="A100" s="8" t="s">
        <v>234</v>
      </c>
      <c r="B100" s="8" t="s">
        <v>235</v>
      </c>
      <c r="C100" s="8" t="s">
        <v>206</v>
      </c>
      <c r="D100" s="8" t="s">
        <v>203</v>
      </c>
      <c r="E100" s="50"/>
      <c r="F100" s="50"/>
      <c r="G100" s="50">
        <f>IF(OR('Net Income'!G100=0,'Net Income'!G100=""),"",IF('Market Cap'!G100="",0,'Market Cap'!G100/'Net Income'!G100))</f>
        <v>37.757563676633445</v>
      </c>
      <c r="H100" s="50"/>
      <c r="I100" s="50">
        <f>IF(OR('Net Income'!I100=0,'Net Income'!I100=""),"",IF('Market Cap'!I100="",0,'Market Cap'!I100/'Net Income'!I100))</f>
        <v>35.31219512195122</v>
      </c>
      <c r="J100" s="50"/>
      <c r="K100" s="50">
        <f>IF(OR('Net Income'!K100=0,'Net Income'!K100=""),"",IF('Market Cap'!K100="",0,'Market Cap'!K100/'Net Income'!K100))</f>
        <v>8.5963370663753071</v>
      </c>
      <c r="L100" s="50">
        <f>IF(OR('Net Income'!L100=0,'Net Income'!L100=""),"",IF('Market Cap'!L100="",0,'Market Cap'!L100/'Net Income'!L100))</f>
        <v>231.45571428571429</v>
      </c>
      <c r="M100" s="50">
        <f>IF(OR('Net Income'!M100=0,'Net Income'!M100=""),"",IF('Market Cap'!M100="",0,'Market Cap'!M100/'Net Income'!M100))</f>
        <v>17.459002867971016</v>
      </c>
      <c r="N100" s="50">
        <f>IF(OR('Net Income'!N100=0,'Net Income'!N100=""),"",IF('Market Cap'!N100="",0,'Market Cap'!N100/'Net Income'!N100))</f>
        <v>9.0420725767169987</v>
      </c>
    </row>
    <row r="101" spans="1:14" x14ac:dyDescent="0.3">
      <c r="A101" s="8" t="s">
        <v>236</v>
      </c>
      <c r="B101" s="8" t="s">
        <v>237</v>
      </c>
      <c r="C101" s="8" t="s">
        <v>206</v>
      </c>
      <c r="D101" s="8" t="s">
        <v>203</v>
      </c>
      <c r="E101" s="50">
        <f>IF(OR('Net Income'!E101=0,'Net Income'!E101=""),"",IF('Market Cap'!E101="",0,'Market Cap'!E101/'Net Income'!E101))</f>
        <v>59.881677384491979</v>
      </c>
      <c r="F101" s="50">
        <f>IF(OR('Net Income'!F101=0,'Net Income'!F101=""),"",IF('Market Cap'!F101="",0,'Market Cap'!F101/'Net Income'!F101))</f>
        <v>18.724386616399695</v>
      </c>
      <c r="G101" s="50">
        <f>IF(OR('Net Income'!G101=0,'Net Income'!G101=""),"",IF('Market Cap'!G101="",0,'Market Cap'!G101/'Net Income'!G101))</f>
        <v>16.110325085083016</v>
      </c>
      <c r="H101" s="50">
        <f>IF(OR('Net Income'!H101=0,'Net Income'!H101=""),"",IF('Market Cap'!H101="",0,'Market Cap'!H101/'Net Income'!H101))</f>
        <v>40.199197940680101</v>
      </c>
      <c r="I101" s="50">
        <f>IF(OR('Net Income'!I101=0,'Net Income'!I101=""),"",IF('Market Cap'!I101="",0,'Market Cap'!I101/'Net Income'!I101))</f>
        <v>14.072483386557611</v>
      </c>
      <c r="J101" s="50">
        <f>IF(OR('Net Income'!J101=0,'Net Income'!J101=""),"",IF('Market Cap'!J101="",0,'Market Cap'!J101/'Net Income'!J101))</f>
        <v>44.116134457236839</v>
      </c>
      <c r="K101" s="50">
        <f>IF(OR('Net Income'!K101=0,'Net Income'!K101=""),"",IF('Market Cap'!K101="",0,'Market Cap'!K101/'Net Income'!K101))</f>
        <v>12.915012925910354</v>
      </c>
      <c r="L101" s="50">
        <f>IF(OR('Net Income'!L101=0,'Net Income'!L101=""),"",IF('Market Cap'!L101="",0,'Market Cap'!L101/'Net Income'!L101))</f>
        <v>7.8192143368131868</v>
      </c>
      <c r="M101" s="50">
        <f>IF(OR('Net Income'!M101=0,'Net Income'!M101=""),"",IF('Market Cap'!M101="",0,'Market Cap'!M101/'Net Income'!M101))</f>
        <v>12.57848724404646</v>
      </c>
      <c r="N101" s="50">
        <f>IF(OR('Net Income'!N101=0,'Net Income'!N101=""),"",IF('Market Cap'!N101="",0,'Market Cap'!N101/'Net Income'!N101))</f>
        <v>15.058222487904359</v>
      </c>
    </row>
    <row r="102" spans="1:14" x14ac:dyDescent="0.3">
      <c r="A102" s="8" t="s">
        <v>238</v>
      </c>
      <c r="B102" s="8" t="s">
        <v>239</v>
      </c>
      <c r="C102" s="8" t="s">
        <v>206</v>
      </c>
      <c r="D102" s="8" t="s">
        <v>203</v>
      </c>
      <c r="E102" s="50">
        <f>IF(OR('Net Income'!E102=0,'Net Income'!E102=""),"",IF('Market Cap'!E102="",0,'Market Cap'!E102/'Net Income'!E102))</f>
        <v>25.253928160188885</v>
      </c>
      <c r="F102" s="50">
        <f>IF(OR('Net Income'!F102=0,'Net Income'!F102=""),"",IF('Market Cap'!F102="",0,'Market Cap'!F102/'Net Income'!F102))</f>
        <v>22.86719111861575</v>
      </c>
      <c r="G102" s="50">
        <f>IF(OR('Net Income'!G102=0,'Net Income'!G102=""),"",IF('Market Cap'!G102="",0,'Market Cap'!G102/'Net Income'!G102))</f>
        <v>24.013433658605173</v>
      </c>
      <c r="H102" s="50">
        <f>IF(OR('Net Income'!H102=0,'Net Income'!H102=""),"",IF('Market Cap'!H102="",0,'Market Cap'!H102/'Net Income'!H102))</f>
        <v>17.049537251004278</v>
      </c>
      <c r="I102" s="50">
        <f>IF(OR('Net Income'!I102=0,'Net Income'!I102=""),"",IF('Market Cap'!I102="",0,'Market Cap'!I102/'Net Income'!I102))</f>
        <v>23.218519512793481</v>
      </c>
      <c r="J102" s="50">
        <f>IF(OR('Net Income'!J102=0,'Net Income'!J102=""),"",IF('Market Cap'!J102="",0,'Market Cap'!J102/'Net Income'!J102))</f>
        <v>28.63122305049912</v>
      </c>
      <c r="K102" s="50">
        <f>IF(OR('Net Income'!K102=0,'Net Income'!K102=""),"",IF('Market Cap'!K102="",0,'Market Cap'!K102/'Net Income'!K102))</f>
        <v>30.363331776451076</v>
      </c>
      <c r="L102" s="50">
        <f>IF(OR('Net Income'!L102=0,'Net Income'!L102=""),"",IF('Market Cap'!L102="",0,'Market Cap'!L102/'Net Income'!L102))</f>
        <v>19.957620345652828</v>
      </c>
      <c r="M102" s="50">
        <f>IF(OR('Net Income'!M102=0,'Net Income'!M102=""),"",IF('Market Cap'!M102="",0,'Market Cap'!M102/'Net Income'!M102))</f>
        <v>21.719040747496734</v>
      </c>
      <c r="N102" s="50">
        <f>IF(OR('Net Income'!N102=0,'Net Income'!N102=""),"",IF('Market Cap'!N102="",0,'Market Cap'!N102/'Net Income'!N102))</f>
        <v>21.121597815226338</v>
      </c>
    </row>
    <row r="103" spans="1:14" x14ac:dyDescent="0.3">
      <c r="A103" s="8" t="s">
        <v>240</v>
      </c>
      <c r="B103" s="8" t="s">
        <v>241</v>
      </c>
      <c r="C103" s="8" t="s">
        <v>206</v>
      </c>
      <c r="D103" s="8" t="s">
        <v>203</v>
      </c>
      <c r="E103" s="50">
        <f>IF(OR('Net Income'!E103=0,'Net Income'!E103=""),"",IF('Market Cap'!E103="",0,'Market Cap'!E103/'Net Income'!E103))</f>
        <v>15.470263409490951</v>
      </c>
      <c r="F103" s="50">
        <f>IF(OR('Net Income'!F103=0,'Net Income'!F103=""),"",IF('Market Cap'!F103="",0,'Market Cap'!F103/'Net Income'!F103))</f>
        <v>13.624034803085674</v>
      </c>
      <c r="G103" s="50">
        <f>IF(OR('Net Income'!G103=0,'Net Income'!G103=""),"",IF('Market Cap'!G103="",0,'Market Cap'!G103/'Net Income'!G103))</f>
        <v>20.89442603698318</v>
      </c>
      <c r="H103" s="50">
        <f>IF(OR('Net Income'!H103=0,'Net Income'!H103=""),"",IF('Market Cap'!H103="",0,'Market Cap'!H103/'Net Income'!H103))</f>
        <v>19.252120471320367</v>
      </c>
      <c r="I103" s="50">
        <f>IF(OR('Net Income'!I103=0,'Net Income'!I103=""),"",IF('Market Cap'!I103="",0,'Market Cap'!I103/'Net Income'!I103))</f>
        <v>11.584962463275632</v>
      </c>
      <c r="J103" s="50">
        <f>IF(OR('Net Income'!J103=0,'Net Income'!J103=""),"",IF('Market Cap'!J103="",0,'Market Cap'!J103/'Net Income'!J103))</f>
        <v>5.3596168095852343</v>
      </c>
      <c r="K103" s="50">
        <f>IF(OR('Net Income'!K103=0,'Net Income'!K103=""),"",IF('Market Cap'!K103="",0,'Market Cap'!K103/'Net Income'!K103))</f>
        <v>107.30556356317597</v>
      </c>
      <c r="L103" s="50">
        <f>IF(OR('Net Income'!L103=0,'Net Income'!L103=""),"",IF('Market Cap'!L103="",0,'Market Cap'!L103/'Net Income'!L103))</f>
        <v>11.495474028108108</v>
      </c>
      <c r="M103" s="50">
        <f>IF(OR('Net Income'!M103=0,'Net Income'!M103=""),"",IF('Market Cap'!M103="",0,'Market Cap'!M103/'Net Income'!M103))</f>
        <v>11.225244846229508</v>
      </c>
      <c r="N103" s="50">
        <f>IF(OR('Net Income'!N103=0,'Net Income'!N103=""),"",IF('Market Cap'!N103="",0,'Market Cap'!N103/'Net Income'!N103))</f>
        <v>10.894627991489362</v>
      </c>
    </row>
    <row r="104" spans="1:14" x14ac:dyDescent="0.3">
      <c r="A104" s="8" t="s">
        <v>242</v>
      </c>
      <c r="B104" s="8" t="s">
        <v>243</v>
      </c>
      <c r="C104" s="8" t="s">
        <v>206</v>
      </c>
      <c r="D104" s="8" t="s">
        <v>203</v>
      </c>
      <c r="E104" s="50">
        <f>IF(OR('Net Income'!E104=0,'Net Income'!E104=""),"",IF('Market Cap'!E104="",0,'Market Cap'!E104/'Net Income'!E104))</f>
        <v>28.593563002370693</v>
      </c>
      <c r="F104" s="50">
        <f>IF(OR('Net Income'!F104=0,'Net Income'!F104=""),"",IF('Market Cap'!F104="",0,'Market Cap'!F104/'Net Income'!F104))</f>
        <v>33.037297332759678</v>
      </c>
      <c r="G104" s="50">
        <f>IF(OR('Net Income'!G104=0,'Net Income'!G104=""),"",IF('Market Cap'!G104="",0,'Market Cap'!G104/'Net Income'!G104))</f>
        <v>27.075499759576612</v>
      </c>
      <c r="H104" s="50">
        <f>IF(OR('Net Income'!H104=0,'Net Income'!H104=""),"",IF('Market Cap'!H104="",0,'Market Cap'!H104/'Net Income'!H104))</f>
        <v>19.590199985187425</v>
      </c>
      <c r="I104" s="50">
        <f>IF(OR('Net Income'!I104=0,'Net Income'!I104=""),"",IF('Market Cap'!I104="",0,'Market Cap'!I104/'Net Income'!I104))</f>
        <v>31.812300902365067</v>
      </c>
      <c r="J104" s="50">
        <f>IF(OR('Net Income'!J104=0,'Net Income'!J104=""),"",IF('Market Cap'!J104="",0,'Market Cap'!J104/'Net Income'!J104))</f>
        <v>34.55501307105655</v>
      </c>
      <c r="K104" s="50">
        <f>IF(OR('Net Income'!K104=0,'Net Income'!K104=""),"",IF('Market Cap'!K104="",0,'Market Cap'!K104/'Net Income'!K104))</f>
        <v>27.729467699023932</v>
      </c>
      <c r="L104" s="50">
        <f>IF(OR('Net Income'!L104=0,'Net Income'!L104=""),"",IF('Market Cap'!L104="",0,'Market Cap'!L104/'Net Income'!L104))</f>
        <v>16.204250043718872</v>
      </c>
      <c r="M104" s="50">
        <f>IF(OR('Net Income'!M104=0,'Net Income'!M104=""),"",IF('Market Cap'!M104="",0,'Market Cap'!M104/'Net Income'!M104))</f>
        <v>16.369691273885351</v>
      </c>
      <c r="N104" s="50">
        <f>IF(OR('Net Income'!N104=0,'Net Income'!N104=""),"",IF('Market Cap'!N104="",0,'Market Cap'!N104/'Net Income'!N104))</f>
        <v>25.78463211473963</v>
      </c>
    </row>
    <row r="105" spans="1:14" x14ac:dyDescent="0.3">
      <c r="A105" s="8" t="s">
        <v>244</v>
      </c>
      <c r="B105" s="8" t="s">
        <v>245</v>
      </c>
      <c r="C105" s="8" t="s">
        <v>206</v>
      </c>
      <c r="D105" s="8" t="s">
        <v>203</v>
      </c>
      <c r="E105" s="50">
        <f>IF(OR('Net Income'!E105=0,'Net Income'!E105=""),"",IF('Market Cap'!E105="",0,'Market Cap'!E105/'Net Income'!E105))</f>
        <v>15.169725492852386</v>
      </c>
      <c r="F105" s="50"/>
      <c r="G105" s="50">
        <f>IF(OR('Net Income'!G105=0,'Net Income'!G105=""),"",IF('Market Cap'!G105="",0,'Market Cap'!G105/'Net Income'!G105))</f>
        <v>14.444499866589327</v>
      </c>
      <c r="H105" s="50">
        <f>IF(OR('Net Income'!H105=0,'Net Income'!H105=""),"",IF('Market Cap'!H105="",0,'Market Cap'!H105/'Net Income'!H105))</f>
        <v>12.491754498541892</v>
      </c>
      <c r="I105" s="50">
        <f>IF(OR('Net Income'!I105=0,'Net Income'!I105=""),"",IF('Market Cap'!I105="",0,'Market Cap'!I105/'Net Income'!I105))</f>
        <v>11.243836922996433</v>
      </c>
      <c r="J105" s="50">
        <f>IF(OR('Net Income'!J105=0,'Net Income'!J105=""),"",IF('Market Cap'!J105="",0,'Market Cap'!J105/'Net Income'!J105))</f>
        <v>16.971894138402778</v>
      </c>
      <c r="K105" s="50">
        <f>IF(OR('Net Income'!K105=0,'Net Income'!K105=""),"",IF('Market Cap'!K105="",0,'Market Cap'!K105/'Net Income'!K105))</f>
        <v>14.331366459201558</v>
      </c>
      <c r="L105" s="50">
        <f>IF(OR('Net Income'!L105=0,'Net Income'!L105=""),"",IF('Market Cap'!L105="",0,'Market Cap'!L105/'Net Income'!L105))</f>
        <v>12.203570193289689</v>
      </c>
      <c r="M105" s="50">
        <f>IF(OR('Net Income'!M105=0,'Net Income'!M105=""),"",IF('Market Cap'!M105="",0,'Market Cap'!M105/'Net Income'!M105))</f>
        <v>16.051329832317073</v>
      </c>
      <c r="N105" s="50">
        <f>IF(OR('Net Income'!N105=0,'Net Income'!N105=""),"",IF('Market Cap'!N105="",0,'Market Cap'!N105/'Net Income'!N105))</f>
        <v>15.572845950542822</v>
      </c>
    </row>
    <row r="106" spans="1:14" x14ac:dyDescent="0.3">
      <c r="A106" s="8" t="s">
        <v>246</v>
      </c>
      <c r="B106" s="8" t="s">
        <v>247</v>
      </c>
      <c r="C106" s="8" t="s">
        <v>206</v>
      </c>
      <c r="D106" s="8" t="s">
        <v>203</v>
      </c>
      <c r="E106" s="50">
        <f>IF(OR('Net Income'!E106=0,'Net Income'!E106=""),"",IF('Market Cap'!E106="",0,'Market Cap'!E106/'Net Income'!E106))</f>
        <v>18.79563351195922</v>
      </c>
      <c r="F106" s="50">
        <f>IF(OR('Net Income'!F106=0,'Net Income'!F106=""),"",IF('Market Cap'!F106="",0,'Market Cap'!F106/'Net Income'!F106))</f>
        <v>20.527934657650043</v>
      </c>
      <c r="G106" s="50">
        <f>IF(OR('Net Income'!G106=0,'Net Income'!G106=""),"",IF('Market Cap'!G106="",0,'Market Cap'!G106/'Net Income'!G106))</f>
        <v>28.487567049132096</v>
      </c>
      <c r="H106" s="50">
        <f>IF(OR('Net Income'!H106=0,'Net Income'!H106=""),"",IF('Market Cap'!H106="",0,'Market Cap'!H106/'Net Income'!H106))</f>
        <v>22.070356488083114</v>
      </c>
      <c r="I106" s="50">
        <f>IF(OR('Net Income'!I106=0,'Net Income'!I106=""),"",IF('Market Cap'!I106="",0,'Market Cap'!I106/'Net Income'!I106))</f>
        <v>17.524454086817006</v>
      </c>
      <c r="J106" s="50">
        <f>IF(OR('Net Income'!J106=0,'Net Income'!J106=""),"",IF('Market Cap'!J106="",0,'Market Cap'!J106/'Net Income'!J106))</f>
        <v>32.957239553165081</v>
      </c>
      <c r="K106" s="50">
        <f>IF(OR('Net Income'!K106=0,'Net Income'!K106=""),"",IF('Market Cap'!K106="",0,'Market Cap'!K106/'Net Income'!K106))</f>
        <v>14.622822924320353</v>
      </c>
      <c r="L106" s="50">
        <f>IF(OR('Net Income'!L106=0,'Net Income'!L106=""),"",IF('Market Cap'!L106="",0,'Market Cap'!L106/'Net Income'!L106))</f>
        <v>22.551915848652509</v>
      </c>
      <c r="M106" s="50">
        <f>IF(OR('Net Income'!M106=0,'Net Income'!M106=""),"",IF('Market Cap'!M106="",0,'Market Cap'!M106/'Net Income'!M106))</f>
        <v>27.290905462184874</v>
      </c>
      <c r="N106" s="50">
        <f>IF(OR('Net Income'!N106=0,'Net Income'!N106=""),"",IF('Market Cap'!N106="",0,'Market Cap'!N106/'Net Income'!N106))</f>
        <v>20.074507890102147</v>
      </c>
    </row>
    <row r="107" spans="1:14" x14ac:dyDescent="0.3">
      <c r="A107" s="8" t="s">
        <v>248</v>
      </c>
      <c r="B107" s="8" t="s">
        <v>249</v>
      </c>
      <c r="C107" s="8" t="s">
        <v>206</v>
      </c>
      <c r="D107" s="8" t="s">
        <v>203</v>
      </c>
      <c r="E107" s="50">
        <f>IF(OR('Net Income'!E107=0,'Net Income'!E107=""),"",IF('Market Cap'!E107="",0,'Market Cap'!E107/'Net Income'!E107))</f>
        <v>13.527946104626334</v>
      </c>
      <c r="F107" s="50">
        <f>IF(OR('Net Income'!F107=0,'Net Income'!F107=""),"",IF('Market Cap'!F107="",0,'Market Cap'!F107/'Net Income'!F107))</f>
        <v>15.253269918023888</v>
      </c>
      <c r="G107" s="50">
        <f>IF(OR('Net Income'!G107=0,'Net Income'!G107=""),"",IF('Market Cap'!G107="",0,'Market Cap'!G107/'Net Income'!G107))</f>
        <v>20.289876267073172</v>
      </c>
      <c r="H107" s="50">
        <f>IF(OR('Net Income'!H107=0,'Net Income'!H107=""),"",IF('Market Cap'!H107="",0,'Market Cap'!H107/'Net Income'!H107))</f>
        <v>19.86749302520548</v>
      </c>
      <c r="I107" s="50">
        <f>IF(OR('Net Income'!I107=0,'Net Income'!I107=""),"",IF('Market Cap'!I107="",0,'Market Cap'!I107/'Net Income'!I107))</f>
        <v>21.140237689485982</v>
      </c>
      <c r="J107" s="50">
        <f>IF(OR('Net Income'!J107=0,'Net Income'!J107=""),"",IF('Market Cap'!J107="",0,'Market Cap'!J107/'Net Income'!J107))</f>
        <v>22.209225503448277</v>
      </c>
      <c r="K107" s="50">
        <f>IF(OR('Net Income'!K107=0,'Net Income'!K107=""),"",IF('Market Cap'!K107="",0,'Market Cap'!K107/'Net Income'!K107))</f>
        <v>31.398193171132238</v>
      </c>
      <c r="L107" s="50">
        <f>IF(OR('Net Income'!L107=0,'Net Income'!L107=""),"",IF('Market Cap'!L107="",0,'Market Cap'!L107/'Net Income'!L107))</f>
        <v>17.162672102585649</v>
      </c>
      <c r="M107" s="50">
        <f>IF(OR('Net Income'!M107=0,'Net Income'!M107=""),"",IF('Market Cap'!M107="",0,'Market Cap'!M107/'Net Income'!M107))</f>
        <v>20.218785473181001</v>
      </c>
      <c r="N107" s="50">
        <f>IF(OR('Net Income'!N107=0,'Net Income'!N107=""),"",IF('Market Cap'!N107="",0,'Market Cap'!N107/'Net Income'!N107))</f>
        <v>16.108529523249551</v>
      </c>
    </row>
    <row r="108" spans="1:14" x14ac:dyDescent="0.3">
      <c r="A108" s="8" t="s">
        <v>250</v>
      </c>
      <c r="B108" s="8" t="s">
        <v>251</v>
      </c>
      <c r="C108" s="8" t="s">
        <v>206</v>
      </c>
      <c r="D108" s="8" t="s">
        <v>203</v>
      </c>
      <c r="E108" s="50">
        <f>IF(OR('Net Income'!E108=0,'Net Income'!E108=""),"",IF('Market Cap'!E108="",0,'Market Cap'!E108/'Net Income'!E108))</f>
        <v>13.90566205479452</v>
      </c>
      <c r="F108" s="50">
        <f>IF(OR('Net Income'!F108=0,'Net Income'!F108=""),"",IF('Market Cap'!F108="",0,'Market Cap'!F108/'Net Income'!F108))</f>
        <v>11.397385560859188</v>
      </c>
      <c r="G108" s="50">
        <f>IF(OR('Net Income'!G108=0,'Net Income'!G108=""),"",IF('Market Cap'!G108="",0,'Market Cap'!G108/'Net Income'!G108))</f>
        <v>12.70227974117647</v>
      </c>
      <c r="H108" s="50">
        <f>IF(OR('Net Income'!H108=0,'Net Income'!H108=""),"",IF('Market Cap'!H108="",0,'Market Cap'!H108/'Net Income'!H108))</f>
        <v>9.251552295766249</v>
      </c>
      <c r="I108" s="50">
        <f>IF(OR('Net Income'!I108=0,'Net Income'!I108=""),"",IF('Market Cap'!I108="",0,'Market Cap'!I108/'Net Income'!I108))</f>
        <v>11.186949994288979</v>
      </c>
      <c r="J108" s="50">
        <f>IF(OR('Net Income'!J108=0,'Net Income'!J108=""),"",IF('Market Cap'!J108="",0,'Market Cap'!J108/'Net Income'!J108))</f>
        <v>29.61300253164557</v>
      </c>
      <c r="K108" s="50">
        <f>IF(OR('Net Income'!K108=0,'Net Income'!K108=""),"",IF('Market Cap'!K108="",0,'Market Cap'!K108/'Net Income'!K108))</f>
        <v>13.943961995661605</v>
      </c>
      <c r="L108" s="50">
        <f>IF(OR('Net Income'!L108=0,'Net Income'!L108=""),"",IF('Market Cap'!L108="",0,'Market Cap'!L108/'Net Income'!L108))</f>
        <v>9.2525439080459773</v>
      </c>
      <c r="M108" s="50">
        <f>IF(OR('Net Income'!M108=0,'Net Income'!M108=""),"",IF('Market Cap'!M108="",0,'Market Cap'!M108/'Net Income'!M108))</f>
        <v>11.745817031543115</v>
      </c>
      <c r="N108" s="50">
        <f>IF(OR('Net Income'!N108=0,'Net Income'!N108=""),"",IF('Market Cap'!N108="",0,'Market Cap'!N108/'Net Income'!N108))</f>
        <v>11.981544585987262</v>
      </c>
    </row>
    <row r="109" spans="1:14" x14ac:dyDescent="0.3">
      <c r="A109" s="8" t="s">
        <v>252</v>
      </c>
      <c r="B109" s="8" t="s">
        <v>253</v>
      </c>
      <c r="C109" s="8" t="s">
        <v>206</v>
      </c>
      <c r="D109" s="8" t="s">
        <v>203</v>
      </c>
      <c r="E109" s="50">
        <f>IF(OR('Net Income'!E109=0,'Net Income'!E109=""),"",IF('Market Cap'!E109="",0,'Market Cap'!E109/'Net Income'!E109))</f>
        <v>26.416221156042951</v>
      </c>
      <c r="F109" s="50">
        <f>IF(OR('Net Income'!F109=0,'Net Income'!F109=""),"",IF('Market Cap'!F109="",0,'Market Cap'!F109/'Net Income'!F109))</f>
        <v>23.08170189193422</v>
      </c>
      <c r="G109" s="50">
        <f>IF(OR('Net Income'!G109=0,'Net Income'!G109=""),"",IF('Market Cap'!G109="",0,'Market Cap'!G109/'Net Income'!G109))</f>
        <v>35.515917251530766</v>
      </c>
      <c r="H109" s="50">
        <f>IF(OR('Net Income'!H109=0,'Net Income'!H109=""),"",IF('Market Cap'!H109="",0,'Market Cap'!H109/'Net Income'!H109))</f>
        <v>26.44048728904329</v>
      </c>
      <c r="I109" s="50">
        <f>IF(OR('Net Income'!I109=0,'Net Income'!I109=""),"",IF('Market Cap'!I109="",0,'Market Cap'!I109/'Net Income'!I109))</f>
        <v>15.038202251759312</v>
      </c>
      <c r="J109" s="50">
        <f>IF(OR('Net Income'!J109=0,'Net Income'!J109=""),"",IF('Market Cap'!J109="",0,'Market Cap'!J109/'Net Income'!J109))</f>
        <v>48.606777477583186</v>
      </c>
      <c r="K109" s="50">
        <f>IF(OR('Net Income'!K109=0,'Net Income'!K109=""),"",IF('Market Cap'!K109="",0,'Market Cap'!K109/'Net Income'!K109))</f>
        <v>34.469190845197332</v>
      </c>
      <c r="L109" s="50">
        <f>IF(OR('Net Income'!L109=0,'Net Income'!L109=""),"",IF('Market Cap'!L109="",0,'Market Cap'!L109/'Net Income'!L109))</f>
        <v>15.349563278201078</v>
      </c>
      <c r="M109" s="50">
        <f>IF(OR('Net Income'!M109=0,'Net Income'!M109=""),"",IF('Market Cap'!M109="",0,'Market Cap'!M109/'Net Income'!M109))</f>
        <v>21.368196371398078</v>
      </c>
      <c r="N109" s="50">
        <f>IF(OR('Net Income'!N109=0,'Net Income'!N109=""),"",IF('Market Cap'!N109="",0,'Market Cap'!N109/'Net Income'!N109))</f>
        <v>17.793254329990884</v>
      </c>
    </row>
    <row r="110" spans="1:14" x14ac:dyDescent="0.3">
      <c r="A110" s="8" t="s">
        <v>254</v>
      </c>
      <c r="B110" s="8" t="s">
        <v>110</v>
      </c>
      <c r="C110" s="8" t="s">
        <v>206</v>
      </c>
      <c r="D110" s="8" t="s">
        <v>203</v>
      </c>
      <c r="E110" s="50">
        <f>IF(OR('Net Income'!E110=0,'Net Income'!E110=""),"",IF('Market Cap'!E110="",0,'Market Cap'!E110/'Net Income'!E110))</f>
        <v>38.351815568862278</v>
      </c>
      <c r="F110" s="50">
        <f>IF(OR('Net Income'!F110=0,'Net Income'!F110=""),"",IF('Market Cap'!F110="",0,'Market Cap'!F110/'Net Income'!F110))</f>
        <v>7.267190537992235</v>
      </c>
      <c r="G110" s="50">
        <f>IF(OR('Net Income'!G110=0,'Net Income'!G110=""),"",IF('Market Cap'!G110="",0,'Market Cap'!G110/'Net Income'!G110))</f>
        <v>6.670174185047264</v>
      </c>
      <c r="H110" s="50">
        <f>IF(OR('Net Income'!H110=0,'Net Income'!H110=""),"",IF('Market Cap'!H110="",0,'Market Cap'!H110/'Net Income'!H110))</f>
        <v>5.3946447422394677</v>
      </c>
      <c r="I110" s="50">
        <f>IF(OR('Net Income'!I110=0,'Net Income'!I110=""),"",IF('Market Cap'!I110="",0,'Market Cap'!I110/'Net Income'!I110))</f>
        <v>3.1154732195711263</v>
      </c>
      <c r="J110" s="50">
        <f>IF(OR('Net Income'!J110=0,'Net Income'!J110=""),"",IF('Market Cap'!J110="",0,'Market Cap'!J110/'Net Income'!J110))</f>
        <v>348.19907172413792</v>
      </c>
      <c r="K110" s="50">
        <f>IF(OR('Net Income'!K110=0,'Net Income'!K110=""),"",IF('Market Cap'!K110="",0,'Market Cap'!K110/'Net Income'!K110))</f>
        <v>3.5935814873239438</v>
      </c>
      <c r="L110" s="50">
        <f>IF(OR('Net Income'!L110=0,'Net Income'!L110=""),"",IF('Market Cap'!L110="",0,'Market Cap'!L110/'Net Income'!L110))</f>
        <v>2.4804441353652003</v>
      </c>
      <c r="M110" s="50">
        <f>IF(OR('Net Income'!M110=0,'Net Income'!M110=""),"",IF('Market Cap'!M110="",0,'Market Cap'!M110/'Net Income'!M110))</f>
        <v>3.5345441896106689</v>
      </c>
      <c r="N110" s="50">
        <f>IF(OR('Net Income'!N110=0,'Net Income'!N110=""),"",IF('Market Cap'!N110="",0,'Market Cap'!N110/'Net Income'!N110))</f>
        <v>6.7920062342444725</v>
      </c>
    </row>
    <row r="111" spans="1:14" x14ac:dyDescent="0.3">
      <c r="A111" s="8" t="s">
        <v>255</v>
      </c>
      <c r="B111" s="8" t="s">
        <v>256</v>
      </c>
      <c r="C111" s="8" t="s">
        <v>206</v>
      </c>
      <c r="D111" s="8" t="s">
        <v>203</v>
      </c>
      <c r="E111" s="50">
        <f>IF(OR('Net Income'!E111=0,'Net Income'!E111=""),"",IF('Market Cap'!E111="",0,'Market Cap'!E111/'Net Income'!E111))</f>
        <v>31.763533186991872</v>
      </c>
      <c r="F111" s="50">
        <f>IF(OR('Net Income'!F111=0,'Net Income'!F111=""),"",IF('Market Cap'!F111="",0,'Market Cap'!F111/'Net Income'!F111))</f>
        <v>21.397420416842106</v>
      </c>
      <c r="G111" s="50">
        <f>IF(OR('Net Income'!G111=0,'Net Income'!G111=""),"",IF('Market Cap'!G111="",0,'Market Cap'!G111/'Net Income'!G111))</f>
        <v>22.240685604271356</v>
      </c>
      <c r="H111" s="50">
        <f>IF(OR('Net Income'!H111=0,'Net Income'!H111=""),"",IF('Market Cap'!H111="",0,'Market Cap'!H111/'Net Income'!H111))</f>
        <v>23.430268275903614</v>
      </c>
      <c r="I111" s="50">
        <f>IF(OR('Net Income'!I111=0,'Net Income'!I111=""),"",IF('Market Cap'!I111="",0,'Market Cap'!I111/'Net Income'!I111))</f>
        <v>29.567459784501715</v>
      </c>
      <c r="J111" s="50">
        <f>IF(OR('Net Income'!J111=0,'Net Income'!J111=""),"",IF('Market Cap'!J111="",0,'Market Cap'!J111/'Net Income'!J111))</f>
        <v>111.89445271823709</v>
      </c>
      <c r="K111" s="50">
        <f>IF(OR('Net Income'!K111=0,'Net Income'!K111=""),"",IF('Market Cap'!K111="",0,'Market Cap'!K111/'Net Income'!K111))</f>
        <v>37.4107474537931</v>
      </c>
      <c r="L111" s="50">
        <f>IF(OR('Net Income'!L111=0,'Net Income'!L111=""),"",IF('Market Cap'!L111="",0,'Market Cap'!L111/'Net Income'!L111))</f>
        <v>22.749630658767536</v>
      </c>
      <c r="M111" s="50">
        <f>IF(OR('Net Income'!M111=0,'Net Income'!M111=""),"",IF('Market Cap'!M111="",0,'Market Cap'!M111/'Net Income'!M111))</f>
        <v>22.91077438974359</v>
      </c>
      <c r="N111" s="50">
        <f>IF(OR('Net Income'!N111=0,'Net Income'!N111=""),"",IF('Market Cap'!N111="",0,'Market Cap'!N111/'Net Income'!N111))</f>
        <v>21.72565189701897</v>
      </c>
    </row>
    <row r="112" spans="1:14" x14ac:dyDescent="0.3">
      <c r="A112" s="8" t="s">
        <v>257</v>
      </c>
      <c r="B112" s="8" t="s">
        <v>258</v>
      </c>
      <c r="C112" s="8" t="s">
        <v>206</v>
      </c>
      <c r="D112" s="8" t="s">
        <v>203</v>
      </c>
      <c r="E112" s="50">
        <f>IF(OR('Net Income'!E112=0,'Net Income'!E112=""),"",IF('Market Cap'!E112="",0,'Market Cap'!E112/'Net Income'!E112))</f>
        <v>46.299042208922415</v>
      </c>
      <c r="F112" s="50">
        <f>IF(OR('Net Income'!F112=0,'Net Income'!F112=""),"",IF('Market Cap'!F112="",0,'Market Cap'!F112/'Net Income'!F112))</f>
        <v>41.108824975402065</v>
      </c>
      <c r="G112" s="50">
        <f>IF(OR('Net Income'!G112=0,'Net Income'!G112=""),"",IF('Market Cap'!G112="",0,'Market Cap'!G112/'Net Income'!G112))</f>
        <v>43.340552675972276</v>
      </c>
      <c r="H112" s="50">
        <f>IF(OR('Net Income'!H112=0,'Net Income'!H112=""),"",IF('Market Cap'!H112="",0,'Market Cap'!H112/'Net Income'!H112))</f>
        <v>47.053649169301018</v>
      </c>
      <c r="I112" s="50">
        <f>IF(OR('Net Income'!I112=0,'Net Income'!I112=""),"",IF('Market Cap'!I112="",0,'Market Cap'!I112/'Net Income'!I112))</f>
        <v>61.782499697464651</v>
      </c>
      <c r="J112" s="50">
        <f>IF(OR('Net Income'!J112=0,'Net Income'!J112=""),"",IF('Market Cap'!J112="",0,'Market Cap'!J112/'Net Income'!J112))</f>
        <v>88.132340363034629</v>
      </c>
      <c r="K112" s="50">
        <f>IF(OR('Net Income'!K112=0,'Net Income'!K112=""),"",IF('Market Cap'!K112="",0,'Market Cap'!K112/'Net Income'!K112))</f>
        <v>88.554505810921555</v>
      </c>
      <c r="L112" s="50">
        <f>IF(OR('Net Income'!L112=0,'Net Income'!L112=""),"",IF('Market Cap'!L112="",0,'Market Cap'!L112/'Net Income'!L112))</f>
        <v>47.179229595619965</v>
      </c>
      <c r="M112" s="50">
        <f>IF(OR('Net Income'!M112=0,'Net Income'!M112=""),"",IF('Market Cap'!M112="",0,'Market Cap'!M112/'Net Income'!M112))</f>
        <v>55.361551399524217</v>
      </c>
      <c r="N112" s="50">
        <f>IF(OR('Net Income'!N112=0,'Net Income'!N112=""),"",IF('Market Cap'!N112="",0,'Market Cap'!N112/'Net Income'!N112))</f>
        <v>36.648475254124314</v>
      </c>
    </row>
    <row r="113" spans="1:14" x14ac:dyDescent="0.3">
      <c r="A113" s="8" t="s">
        <v>259</v>
      </c>
      <c r="B113" s="8" t="s">
        <v>260</v>
      </c>
      <c r="C113" s="8" t="s">
        <v>206</v>
      </c>
      <c r="D113" s="8" t="s">
        <v>203</v>
      </c>
      <c r="E113" s="50">
        <f>IF(OR('Net Income'!E113=0,'Net Income'!E113=""),"",IF('Market Cap'!E113="",0,'Market Cap'!E113/'Net Income'!E113))</f>
        <v>8.6545142560227628</v>
      </c>
      <c r="F113" s="50">
        <f>IF(OR('Net Income'!F113=0,'Net Income'!F113=""),"",IF('Market Cap'!F113="",0,'Market Cap'!F113/'Net Income'!F113))</f>
        <v>10.125998456343771</v>
      </c>
      <c r="G113" s="50">
        <f>IF(OR('Net Income'!G113=0,'Net Income'!G113=""),"",IF('Market Cap'!G113="",0,'Market Cap'!G113/'Net Income'!G113))</f>
        <v>11.972924360635369</v>
      </c>
      <c r="H113" s="50">
        <f>IF(OR('Net Income'!H113=0,'Net Income'!H113=""),"",IF('Market Cap'!H113="",0,'Market Cap'!H113/'Net Income'!H113))</f>
        <v>6.8007162565377808</v>
      </c>
      <c r="I113" s="50">
        <f>IF(OR('Net Income'!I113=0,'Net Income'!I113=""),"",IF('Market Cap'!I113="",0,'Market Cap'!I113/'Net Income'!I113))</f>
        <v>8.7241913113695091</v>
      </c>
      <c r="J113" s="50">
        <f>IF(OR('Net Income'!J113=0,'Net Income'!J113=""),"",IF('Market Cap'!J113="",0,'Market Cap'!J113/'Net Income'!J113))</f>
        <v>11.061104221783062</v>
      </c>
      <c r="K113" s="50">
        <f>IF(OR('Net Income'!K113=0,'Net Income'!K113=""),"",IF('Market Cap'!K113="",0,'Market Cap'!K113/'Net Income'!K113))</f>
        <v>6.4210954798682405</v>
      </c>
      <c r="L113" s="50">
        <f>IF(OR('Net Income'!L113=0,'Net Income'!L113=""),"",IF('Market Cap'!L113="",0,'Market Cap'!L113/'Net Income'!L113))</f>
        <v>5.538056516394648</v>
      </c>
      <c r="M113" s="50">
        <f>IF(OR('Net Income'!M113=0,'Net Income'!M113=""),"",IF('Market Cap'!M113="",0,'Market Cap'!M113/'Net Income'!M113))</f>
        <v>6.2359140908916197</v>
      </c>
      <c r="N113" s="50">
        <f>IF(OR('Net Income'!N113=0,'Net Income'!N113=""),"",IF('Market Cap'!N113="",0,'Market Cap'!N113/'Net Income'!N113))</f>
        <v>5.6540764470156626</v>
      </c>
    </row>
    <row r="114" spans="1:14" x14ac:dyDescent="0.3">
      <c r="A114" s="8" t="s">
        <v>261</v>
      </c>
      <c r="B114" s="8" t="s">
        <v>262</v>
      </c>
      <c r="C114" s="8" t="s">
        <v>206</v>
      </c>
      <c r="D114" s="8" t="s">
        <v>203</v>
      </c>
      <c r="E114" s="50">
        <f>IF(OR('Net Income'!E114=0,'Net Income'!E114=""),"",IF('Market Cap'!E114="",0,'Market Cap'!E114/'Net Income'!E114))</f>
        <v>9.8910503136246781</v>
      </c>
      <c r="F114" s="50">
        <f>IF(OR('Net Income'!F114=0,'Net Income'!F114=""),"",IF('Market Cap'!F114="",0,'Market Cap'!F114/'Net Income'!F114))</f>
        <v>9.3328993528435031</v>
      </c>
      <c r="G114" s="50">
        <f>IF(OR('Net Income'!G114=0,'Net Income'!G114=""),"",IF('Market Cap'!G114="",0,'Market Cap'!G114/'Net Income'!G114))</f>
        <v>8.5863644763271161</v>
      </c>
      <c r="H114" s="50">
        <f>IF(OR('Net Income'!H114=0,'Net Income'!H114=""),"",IF('Market Cap'!H114="",0,'Market Cap'!H114/'Net Income'!H114))</f>
        <v>16.073764060129957</v>
      </c>
      <c r="I114" s="50">
        <f>IF(OR('Net Income'!I114=0,'Net Income'!I114=""),"",IF('Market Cap'!I114="",0,'Market Cap'!I114/'Net Income'!I114))</f>
        <v>17.637116210595487</v>
      </c>
      <c r="J114" s="50"/>
      <c r="K114" s="50"/>
      <c r="L114" s="50">
        <f>IF(OR('Net Income'!L114=0,'Net Income'!L114=""),"",IF('Market Cap'!L114="",0,'Market Cap'!L114/'Net Income'!L114))</f>
        <v>37.855386288720538</v>
      </c>
      <c r="M114" s="50"/>
      <c r="N114" s="50">
        <f>IF(OR('Net Income'!N114=0,'Net Income'!N114=""),"",IF('Market Cap'!N114="",0,'Market Cap'!N114/'Net Income'!N114))</f>
        <v>69.386082461285909</v>
      </c>
    </row>
    <row r="115" spans="1:14" x14ac:dyDescent="0.3">
      <c r="A115" s="8" t="s">
        <v>263</v>
      </c>
      <c r="B115" s="8" t="s">
        <v>264</v>
      </c>
      <c r="C115" s="8" t="s">
        <v>206</v>
      </c>
      <c r="D115" s="8" t="s">
        <v>203</v>
      </c>
      <c r="E115" s="50">
        <f>IF(OR('Net Income'!E115=0,'Net Income'!E115=""),"",IF('Market Cap'!E115="",0,'Market Cap'!E115/'Net Income'!E115))</f>
        <v>22.0819828427</v>
      </c>
      <c r="F115" s="50">
        <f>IF(OR('Net Income'!F115=0,'Net Income'!F115=""),"",IF('Market Cap'!F115="",0,'Market Cap'!F115/'Net Income'!F115))</f>
        <v>25.50089993130841</v>
      </c>
      <c r="G115" s="50">
        <f>IF(OR('Net Income'!G115=0,'Net Income'!G115=""),"",IF('Market Cap'!G115="",0,'Market Cap'!G115/'Net Income'!G115))</f>
        <v>22.014565559294873</v>
      </c>
      <c r="H115" s="50">
        <f>IF(OR('Net Income'!H115=0,'Net Income'!H115=""),"",IF('Market Cap'!H115="",0,'Market Cap'!H115/'Net Income'!H115))</f>
        <v>25.819973933333333</v>
      </c>
      <c r="I115" s="50">
        <f>IF(OR('Net Income'!I115=0,'Net Income'!I115=""),"",IF('Market Cap'!I115="",0,'Market Cap'!I115/'Net Income'!I115))</f>
        <v>31.660229401999999</v>
      </c>
      <c r="J115" s="50">
        <f>IF(OR('Net Income'!J115=0,'Net Income'!J115=""),"",IF('Market Cap'!J115="",0,'Market Cap'!J115/'Net Income'!J115))</f>
        <v>49.1632384595679</v>
      </c>
      <c r="K115" s="50">
        <f>IF(OR('Net Income'!K115=0,'Net Income'!K115=""),"",IF('Market Cap'!K115="",0,'Market Cap'!K115/'Net Income'!K115))</f>
        <v>41.330691016157992</v>
      </c>
      <c r="L115" s="50">
        <f>IF(OR('Net Income'!L115=0,'Net Income'!L115=""),"",IF('Market Cap'!L115="",0,'Market Cap'!L115/'Net Income'!L115))</f>
        <v>20.397702221306375</v>
      </c>
      <c r="M115" s="50">
        <f>IF(OR('Net Income'!M115=0,'Net Income'!M115=""),"",IF('Market Cap'!M115="",0,'Market Cap'!M115/'Net Income'!M115))</f>
        <v>13.071939326773649</v>
      </c>
      <c r="N115" s="50">
        <f>IF(OR('Net Income'!N115=0,'Net Income'!N115=""),"",IF('Market Cap'!N115="",0,'Market Cap'!N115/'Net Income'!N115))</f>
        <v>9.4891530686042067</v>
      </c>
    </row>
    <row r="116" spans="1:14" x14ac:dyDescent="0.3">
      <c r="A116" s="8" t="s">
        <v>265</v>
      </c>
      <c r="B116" s="8" t="s">
        <v>266</v>
      </c>
      <c r="C116" s="8" t="s">
        <v>206</v>
      </c>
      <c r="D116" s="8" t="s">
        <v>203</v>
      </c>
      <c r="E116" s="50"/>
      <c r="F116" s="50"/>
      <c r="G116" s="50">
        <f>IF(OR('Net Income'!G116=0,'Net Income'!G116=""),"",IF('Market Cap'!G116="",0,'Market Cap'!G116/'Net Income'!G116))</f>
        <v>14.342775448768473</v>
      </c>
      <c r="H116" s="50">
        <f>IF(OR('Net Income'!H116=0,'Net Income'!H116=""),"",IF('Market Cap'!H116="",0,'Market Cap'!H116/'Net Income'!H116))</f>
        <v>32.959199425471695</v>
      </c>
      <c r="I116" s="50"/>
      <c r="J116" s="50"/>
      <c r="K116" s="50">
        <f>IF(OR('Net Income'!K116=0,'Net Income'!K116=""),"",IF('Market Cap'!K116="",0,'Market Cap'!K116/'Net Income'!K116))</f>
        <v>6.8984196855704694</v>
      </c>
      <c r="L116" s="50">
        <f>IF(OR('Net Income'!L116=0,'Net Income'!L116=""),"",IF('Market Cap'!L116="",0,'Market Cap'!L116/'Net Income'!L116))</f>
        <v>3.2491558862837837</v>
      </c>
      <c r="M116" s="50">
        <f>IF(OR('Net Income'!M116=0,'Net Income'!M116=""),"",IF('Market Cap'!M116="",0,'Market Cap'!M116/'Net Income'!M116))</f>
        <v>18.984168562385321</v>
      </c>
      <c r="N116" s="50">
        <f>IF(OR('Net Income'!N116=0,'Net Income'!N116=""),"",IF('Market Cap'!N116="",0,'Market Cap'!N116/'Net Income'!N116))</f>
        <v>110.12648723571428</v>
      </c>
    </row>
    <row r="117" spans="1:14" x14ac:dyDescent="0.3">
      <c r="A117" s="8" t="s">
        <v>267</v>
      </c>
      <c r="B117" s="8" t="s">
        <v>112</v>
      </c>
      <c r="C117" s="8" t="s">
        <v>206</v>
      </c>
      <c r="D117" s="8" t="s">
        <v>203</v>
      </c>
      <c r="E117" s="50">
        <v>51.955660913099997</v>
      </c>
      <c r="F117" s="50">
        <v>58.079782842</v>
      </c>
      <c r="G117" s="50">
        <f>IF(OR('Net Income'!G117=0,'Net Income'!G117=""),"",IF('Market Cap'!G117="",0,'Market Cap'!G117/'Net Income'!G117))</f>
        <v>12.452280339650873</v>
      </c>
      <c r="H117" s="50">
        <f>IF(OR('Net Income'!H117=0,'Net Income'!H117=""),"",IF('Market Cap'!H117="",0,'Market Cap'!H117/'Net Income'!H117))</f>
        <v>15.030362207754468</v>
      </c>
      <c r="I117" s="50">
        <f>IF(OR('Net Income'!I117=0,'Net Income'!I117=""),"",IF('Market Cap'!I117="",0,'Market Cap'!I117/'Net Income'!I117))</f>
        <v>12.555113637906976</v>
      </c>
      <c r="J117" s="50">
        <f>IF(OR('Net Income'!J117=0,'Net Income'!J117=""),"",IF('Market Cap'!J117="",0,'Market Cap'!J117/'Net Income'!J117))</f>
        <v>34.783419659567727</v>
      </c>
      <c r="K117" s="50">
        <f>IF(OR('Net Income'!K117=0,'Net Income'!K117=""),"",IF('Market Cap'!K117="",0,'Market Cap'!K117/'Net Income'!K117))</f>
        <v>19.339385892285215</v>
      </c>
      <c r="L117" s="50">
        <f>IF(OR('Net Income'!L117=0,'Net Income'!L117=""),"",IF('Market Cap'!L117="",0,'Market Cap'!L117/'Net Income'!L117))</f>
        <v>10.327806518135555</v>
      </c>
      <c r="M117" s="50">
        <f>IF(OR('Net Income'!M117=0,'Net Income'!M117=""),"",IF('Market Cap'!M117="",0,'Market Cap'!M117/'Net Income'!M117))</f>
        <v>7.5921017130420321</v>
      </c>
      <c r="N117" s="50" t="str">
        <f>IF(OR('Net Income'!N117=0,'Net Income'!N117=""),"",IF('Market Cap'!N117="",0,'Market Cap'!N117/'Net Income'!N117))</f>
        <v/>
      </c>
    </row>
    <row r="118" spans="1:14" x14ac:dyDescent="0.3">
      <c r="A118" s="8" t="s">
        <v>269</v>
      </c>
      <c r="B118" s="8" t="s">
        <v>270</v>
      </c>
      <c r="C118" s="8" t="s">
        <v>206</v>
      </c>
      <c r="D118" s="8" t="s">
        <v>203</v>
      </c>
      <c r="E118" s="50">
        <f>IF(OR('Net Income'!E118=0,'Net Income'!E118=""),"",IF('Market Cap'!E118="",0,'Market Cap'!E118/'Net Income'!E118))</f>
        <v>8.9482614381863268</v>
      </c>
      <c r="F118" s="50">
        <f>IF(OR('Net Income'!F118=0,'Net Income'!F118=""),"",IF('Market Cap'!F118="",0,'Market Cap'!F118/'Net Income'!F118))</f>
        <v>6.7224380462123428</v>
      </c>
      <c r="G118" s="50">
        <f>IF(OR('Net Income'!G118=0,'Net Income'!G118=""),"",IF('Market Cap'!G118="",0,'Market Cap'!G118/'Net Income'!G118))</f>
        <v>4.3585003837298544</v>
      </c>
      <c r="H118" s="50">
        <f>IF(OR('Net Income'!H118=0,'Net Income'!H118=""),"",IF('Market Cap'!H118="",0,'Market Cap'!H118/'Net Income'!H118))</f>
        <v>4.458000454270139</v>
      </c>
      <c r="I118" s="50"/>
      <c r="J118" s="50"/>
      <c r="K118" s="50">
        <f>IF(OR('Net Income'!K118=0,'Net Income'!K118=""),"",IF('Market Cap'!K118="",0,'Market Cap'!K118/'Net Income'!K118))</f>
        <v>9.3611667792792801</v>
      </c>
      <c r="L118" s="50"/>
      <c r="M118" s="50">
        <f>IF(OR('Net Income'!M118=0,'Net Income'!M118=""),"",IF('Market Cap'!M118="",0,'Market Cap'!M118/'Net Income'!M118))</f>
        <v>4.5496961328480436</v>
      </c>
      <c r="N118" s="50">
        <f>IF(OR('Net Income'!N118=0,'Net Income'!N118=""),"",IF('Market Cap'!N118="",0,'Market Cap'!N118/'Net Income'!N118))</f>
        <v>17.041484973404255</v>
      </c>
    </row>
    <row r="119" spans="1:14" x14ac:dyDescent="0.3">
      <c r="A119" s="8" t="s">
        <v>271</v>
      </c>
      <c r="B119" s="8" t="s">
        <v>272</v>
      </c>
      <c r="C119" s="8" t="s">
        <v>206</v>
      </c>
      <c r="D119" s="8" t="s">
        <v>203</v>
      </c>
      <c r="E119" s="50">
        <f>IF(OR('Net Income'!E119=0,'Net Income'!E119=""),"",IF('Market Cap'!E119="",0,'Market Cap'!E119/'Net Income'!E119))</f>
        <v>12.803588928428571</v>
      </c>
      <c r="F119" s="50">
        <f>IF(OR('Net Income'!F119=0,'Net Income'!F119=""),"",IF('Market Cap'!F119="",0,'Market Cap'!F119/'Net Income'!F119))</f>
        <v>18.533220854568288</v>
      </c>
      <c r="G119" s="50">
        <f>IF(OR('Net Income'!G119=0,'Net Income'!G119=""),"",IF('Market Cap'!G119="",0,'Market Cap'!G119/'Net Income'!G119))</f>
        <v>15.18017077076072</v>
      </c>
      <c r="H119" s="50">
        <f>IF(OR('Net Income'!H119=0,'Net Income'!H119=""),"",IF('Market Cap'!H119="",0,'Market Cap'!H119/'Net Income'!H119))</f>
        <v>15.335489489892474</v>
      </c>
      <c r="I119" s="50">
        <f>IF(OR('Net Income'!I119=0,'Net Income'!I119=""),"",IF('Market Cap'!I119="",0,'Market Cap'!I119/'Net Income'!I119))</f>
        <v>16.976010885684211</v>
      </c>
      <c r="J119" s="50"/>
      <c r="K119" s="50">
        <f>IF(OR('Net Income'!K119=0,'Net Income'!K119=""),"",IF('Market Cap'!K119="",0,'Market Cap'!K119/'Net Income'!K119))</f>
        <v>55.271625525755397</v>
      </c>
      <c r="L119" s="50">
        <f>IF(OR('Net Income'!L119=0,'Net Income'!L119=""),"",IF('Market Cap'!L119="",0,'Market Cap'!L119/'Net Income'!L119))</f>
        <v>12.090960986244603</v>
      </c>
      <c r="M119" s="50">
        <f>IF(OR('Net Income'!M119=0,'Net Income'!M119=""),"",IF('Market Cap'!M119="",0,'Market Cap'!M119/'Net Income'!M119))</f>
        <v>13.694403279848867</v>
      </c>
      <c r="N119" s="50">
        <f>IF(OR('Net Income'!N119=0,'Net Income'!N119=""),"",IF('Market Cap'!N119="",0,'Market Cap'!N119/'Net Income'!N119))</f>
        <v>70.174889354166666</v>
      </c>
    </row>
    <row r="120" spans="1:14" x14ac:dyDescent="0.3">
      <c r="A120" s="8" t="s">
        <v>273</v>
      </c>
      <c r="B120" s="8" t="s">
        <v>274</v>
      </c>
      <c r="C120" s="8" t="s">
        <v>206</v>
      </c>
      <c r="D120" s="8" t="s">
        <v>203</v>
      </c>
      <c r="E120" s="50">
        <f>IF(OR('Net Income'!E120=0,'Net Income'!E120=""),"",IF('Market Cap'!E120="",0,'Market Cap'!E120/'Net Income'!E120))</f>
        <v>19.669951408316329</v>
      </c>
      <c r="F120" s="50">
        <f>IF(OR('Net Income'!F120=0,'Net Income'!F120=""),"",IF('Market Cap'!F120="",0,'Market Cap'!F120/'Net Income'!F120))</f>
        <v>22.706835079142092</v>
      </c>
      <c r="G120" s="50"/>
      <c r="H120" s="50"/>
      <c r="I120" s="50">
        <f>IF(OR('Net Income'!I120=0,'Net Income'!I120=""),"",IF('Market Cap'!I120="",0,'Market Cap'!I120/'Net Income'!I120))</f>
        <v>10.469953627546502</v>
      </c>
      <c r="J120" s="50">
        <f>IF(OR('Net Income'!J120=0,'Net Income'!J120=""),"",IF('Market Cap'!J120="",0,'Market Cap'!J120/'Net Income'!J120))</f>
        <v>17.635200301700468</v>
      </c>
      <c r="K120" s="50">
        <f>IF(OR('Net Income'!K120=0,'Net Income'!K120=""),"",IF('Market Cap'!K120="",0,'Market Cap'!K120/'Net Income'!K120))</f>
        <v>11.82622016636194</v>
      </c>
      <c r="L120" s="50">
        <f>IF(OR('Net Income'!L120=0,'Net Income'!L120=""),"",IF('Market Cap'!L120="",0,'Market Cap'!L120/'Net Income'!L120))</f>
        <v>8.6017395499109792</v>
      </c>
      <c r="M120" s="50">
        <f>IF(OR('Net Income'!M120=0,'Net Income'!M120=""),"",IF('Market Cap'!M120="",0,'Market Cap'!M120/'Net Income'!M120))</f>
        <v>12.84497119201929</v>
      </c>
      <c r="N120" s="50">
        <f>IF(OR('Net Income'!N120=0,'Net Income'!N120=""),"",IF('Market Cap'!N120="",0,'Market Cap'!N120/'Net Income'!N120))</f>
        <v>12.718054334771786</v>
      </c>
    </row>
    <row r="121" spans="1:14" x14ac:dyDescent="0.3">
      <c r="A121" s="8" t="s">
        <v>275</v>
      </c>
      <c r="B121" s="8" t="s">
        <v>276</v>
      </c>
      <c r="C121" s="8" t="s">
        <v>206</v>
      </c>
      <c r="D121" s="8" t="s">
        <v>203</v>
      </c>
      <c r="E121" s="50">
        <f>IF(OR('Net Income'!E121=0,'Net Income'!E121=""),"",IF('Market Cap'!E121="",0,'Market Cap'!E121/'Net Income'!E121))</f>
        <v>22.45558672316384</v>
      </c>
      <c r="F121" s="50">
        <f>IF(OR('Net Income'!F121=0,'Net Income'!F121=""),"",IF('Market Cap'!F121="",0,'Market Cap'!F121/'Net Income'!F121))</f>
        <v>24.072382469333331</v>
      </c>
      <c r="G121" s="50">
        <f>IF(OR('Net Income'!G121=0,'Net Income'!G121=""),"",IF('Market Cap'!G121="",0,'Market Cap'!G121/'Net Income'!G121))</f>
        <v>23.074303070539418</v>
      </c>
      <c r="H121" s="50">
        <f>IF(OR('Net Income'!H121=0,'Net Income'!H121=""),"",IF('Market Cap'!H121="",0,'Market Cap'!H121/'Net Income'!H121))</f>
        <v>29.891502401574805</v>
      </c>
      <c r="I121" s="50">
        <f>IF(OR('Net Income'!I121=0,'Net Income'!I121=""),"",IF('Market Cap'!I121="",0,'Market Cap'!I121/'Net Income'!I121))</f>
        <v>35.574832166666667</v>
      </c>
      <c r="J121" s="50">
        <f>IF(OR('Net Income'!J121=0,'Net Income'!J121=""),"",IF('Market Cap'!J121="",0,'Market Cap'!J121/'Net Income'!J121))</f>
        <v>47.645942759999997</v>
      </c>
      <c r="K121" s="50">
        <f>IF(OR('Net Income'!K121=0,'Net Income'!K121=""),"",IF('Market Cap'!K121="",0,'Market Cap'!K121/'Net Income'!K121))</f>
        <v>32.109957990575076</v>
      </c>
      <c r="L121" s="50">
        <f>IF(OR('Net Income'!L121=0,'Net Income'!L121=""),"",IF('Market Cap'!L121="",0,'Market Cap'!L121/'Net Income'!L121))</f>
        <v>32.820623669222798</v>
      </c>
      <c r="M121" s="50">
        <f>IF(OR('Net Income'!M121=0,'Net Income'!M121=""),"",IF('Market Cap'!M121="",0,'Market Cap'!M121/'Net Income'!M121))</f>
        <v>50.4966726270412</v>
      </c>
      <c r="N121" s="50">
        <f>IF(OR('Net Income'!N121=0,'Net Income'!N121=""),"",IF('Market Cap'!N121="",0,'Market Cap'!N121/'Net Income'!N121))</f>
        <v>15.360634406804733</v>
      </c>
    </row>
    <row r="122" spans="1:14" x14ac:dyDescent="0.3">
      <c r="A122" s="8" t="s">
        <v>277</v>
      </c>
      <c r="B122" s="8" t="s">
        <v>278</v>
      </c>
      <c r="C122" s="8" t="s">
        <v>206</v>
      </c>
      <c r="D122" s="8" t="s">
        <v>203</v>
      </c>
      <c r="E122" s="50">
        <f>IF(OR('Net Income'!E122=0,'Net Income'!E122=""),"",IF('Market Cap'!E122="",0,'Market Cap'!E122/'Net Income'!E122))</f>
        <v>39.2464285240724</v>
      </c>
      <c r="F122" s="50">
        <f>IF(OR('Net Income'!F122=0,'Net Income'!F122=""),"",IF('Market Cap'!F122="",0,'Market Cap'!F122/'Net Income'!F122))</f>
        <v>31.174609182579566</v>
      </c>
      <c r="G122" s="50">
        <f>IF(OR('Net Income'!G122=0,'Net Income'!G122=""),"",IF('Market Cap'!G122="",0,'Market Cap'!G122/'Net Income'!G122))</f>
        <v>36.732673227215457</v>
      </c>
      <c r="H122" s="50">
        <f>IF(OR('Net Income'!H122=0,'Net Income'!H122=""),"",IF('Market Cap'!H122="",0,'Market Cap'!H122/'Net Income'!H122))</f>
        <v>26.395273489867499</v>
      </c>
      <c r="I122" s="50">
        <f>IF(OR('Net Income'!I122=0,'Net Income'!I122=""),"",IF('Market Cap'!I122="",0,'Market Cap'!I122/'Net Income'!I122))</f>
        <v>34.410820939882697</v>
      </c>
      <c r="J122" s="50">
        <f>IF(OR('Net Income'!J122=0,'Net Income'!J122=""),"",IF('Market Cap'!J122="",0,'Market Cap'!J122/'Net Income'!J122))</f>
        <v>33.714417619188922</v>
      </c>
      <c r="K122" s="50">
        <f>IF(OR('Net Income'!K122=0,'Net Income'!K122=""),"",IF('Market Cap'!K122="",0,'Market Cap'!K122/'Net Income'!K122))</f>
        <v>24.573857240558976</v>
      </c>
      <c r="L122" s="50">
        <f>IF(OR('Net Income'!L122=0,'Net Income'!L122=""),"",IF('Market Cap'!L122="",0,'Market Cap'!L122/'Net Income'!L122))</f>
        <v>25.528927091777188</v>
      </c>
      <c r="M122" s="50">
        <f>IF(OR('Net Income'!M122=0,'Net Income'!M122=""),"",IF('Market Cap'!M122="",0,'Market Cap'!M122/'Net Income'!M122))</f>
        <v>33.23913825447427</v>
      </c>
      <c r="N122" s="50">
        <f>IF(OR('Net Income'!N122=0,'Net Income'!N122=""),"",IF('Market Cap'!N122="",0,'Market Cap'!N122/'Net Income'!N122))</f>
        <v>28.201634979176308</v>
      </c>
    </row>
    <row r="123" spans="1:14" x14ac:dyDescent="0.3">
      <c r="A123" s="6" t="s">
        <v>279</v>
      </c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x14ac:dyDescent="0.3">
      <c r="A124" s="8" t="s">
        <v>280</v>
      </c>
      <c r="B124" s="8" t="s">
        <v>281</v>
      </c>
      <c r="C124" s="8" t="s">
        <v>282</v>
      </c>
      <c r="D124" s="8" t="s">
        <v>279</v>
      </c>
      <c r="E124" s="50">
        <f>IF(OR('Net Income'!E124=0,'Net Income'!E124=""),"",IF('Market Cap'!E124="",0,'Market Cap'!E124/'Net Income'!E124))</f>
        <v>32.550479291659272</v>
      </c>
      <c r="F124" s="50">
        <f>IF(OR('Net Income'!F124=0,'Net Income'!F124=""),"",IF('Market Cap'!F124="",0,'Market Cap'!F124/'Net Income'!F124))</f>
        <v>32.998771801415437</v>
      </c>
      <c r="G124" s="50">
        <f>IF(OR('Net Income'!G124=0,'Net Income'!G124=""),"",IF('Market Cap'!G124="",0,'Market Cap'!G124/'Net Income'!G124))</f>
        <v>30.121024604269238</v>
      </c>
      <c r="H124" s="50">
        <f>IF(OR('Net Income'!H124=0,'Net Income'!H124=""),"",IF('Market Cap'!H124="",0,'Market Cap'!H124/'Net Income'!H124))</f>
        <v>26.6860480431443</v>
      </c>
      <c r="I124" s="50">
        <f>IF(OR('Net Income'!I124=0,'Net Income'!I124=""),"",IF('Market Cap'!I124="",0,'Market Cap'!I124/'Net Income'!I124))</f>
        <v>22.014703896036586</v>
      </c>
      <c r="J124" s="50">
        <f>IF(OR('Net Income'!J124=0,'Net Income'!J124=""),"",IF('Market Cap'!J124="",0,'Market Cap'!J124/'Net Income'!J124))</f>
        <v>25.991712580379225</v>
      </c>
      <c r="K124" s="50">
        <f>IF(OR('Net Income'!K124=0,'Net Income'!K124=""),"",IF('Market Cap'!K124="",0,'Market Cap'!K124/'Net Income'!K124))</f>
        <v>69.30979191630199</v>
      </c>
      <c r="L124" s="50">
        <f>IF(OR('Net Income'!L124=0,'Net Income'!L124=""),"",IF('Market Cap'!L124="",0,'Market Cap'!L124/'Net Income'!L124))</f>
        <v>25.672799236811592</v>
      </c>
      <c r="M124" s="50">
        <f>IF(OR('Net Income'!M124=0,'Net Income'!M124=""),"",IF('Market Cap'!M124="",0,'Market Cap'!M124/'Net Income'!M124))</f>
        <v>21.568634891041164</v>
      </c>
      <c r="N124" s="50">
        <f>IF(OR('Net Income'!N124=0,'Net Income'!N124=""),"",IF('Market Cap'!N124="",0,'Market Cap'!N124/'Net Income'!N124))</f>
        <v>22.9534057740197</v>
      </c>
    </row>
    <row r="125" spans="1:14" x14ac:dyDescent="0.3">
      <c r="A125" s="8" t="s">
        <v>283</v>
      </c>
      <c r="B125" s="8" t="s">
        <v>284</v>
      </c>
      <c r="C125" s="8" t="s">
        <v>282</v>
      </c>
      <c r="D125" s="8" t="s">
        <v>279</v>
      </c>
      <c r="E125" s="50">
        <f>IF(OR('Net Income'!E125=0,'Net Income'!E125=""),"",IF('Market Cap'!E125="",0,'Market Cap'!E125/'Net Income'!E125))</f>
        <v>9.805965976241243</v>
      </c>
      <c r="F125" s="50">
        <f>IF(OR('Net Income'!F125=0,'Net Income'!F125=""),"",IF('Market Cap'!F125="",0,'Market Cap'!F125/'Net Income'!F125))</f>
        <v>11.322938154416505</v>
      </c>
      <c r="G125" s="50">
        <f>IF(OR('Net Income'!G125=0,'Net Income'!G125=""),"",IF('Market Cap'!G125="",0,'Market Cap'!G125/'Net Income'!G125))</f>
        <v>12.69278806012993</v>
      </c>
      <c r="H125" s="50">
        <f>IF(OR('Net Income'!H125=0,'Net Income'!H125=""),"",IF('Market Cap'!H125="",0,'Market Cap'!H125/'Net Income'!H125))</f>
        <v>7.8785975300896283</v>
      </c>
      <c r="I125" s="50">
        <f>IF(OR('Net Income'!I125=0,'Net Income'!I125=""),"",IF('Market Cap'!I125="",0,'Market Cap'!I125/'Net Income'!I125))</f>
        <v>9.3478775963161933</v>
      </c>
      <c r="J125" s="50"/>
      <c r="K125" s="50">
        <f>IF(OR('Net Income'!K125=0,'Net Income'!K125=""),"",IF('Market Cap'!K125="",0,'Market Cap'!K125/'Net Income'!K125))</f>
        <v>6.250595974889217</v>
      </c>
      <c r="L125" s="50">
        <f>IF(OR('Net Income'!L125=0,'Net Income'!L125=""),"",IF('Market Cap'!L125="",0,'Market Cap'!L125/'Net Income'!L125))</f>
        <v>4.9115425299323272</v>
      </c>
      <c r="M125" s="50">
        <f>IF(OR('Net Income'!M125=0,'Net Income'!M125=""),"",IF('Market Cap'!M125="",0,'Market Cap'!M125/'Net Income'!M125))</f>
        <v>5.6213910482123515</v>
      </c>
      <c r="N125" s="50">
        <f>IF(OR('Net Income'!N125=0,'Net Income'!N125=""),"",IF('Market Cap'!N125="",0,'Market Cap'!N125/'Net Income'!N125))</f>
        <v>5.4970039144265943</v>
      </c>
    </row>
    <row r="126" spans="1:14" x14ac:dyDescent="0.3">
      <c r="A126" s="8" t="s">
        <v>285</v>
      </c>
      <c r="B126" s="8" t="s">
        <v>286</v>
      </c>
      <c r="C126" s="8" t="s">
        <v>282</v>
      </c>
      <c r="D126" s="8" t="s">
        <v>279</v>
      </c>
      <c r="E126" s="50">
        <f>IF(OR('Net Income'!E126=0,'Net Income'!E126=""),"",IF('Market Cap'!E126="",0,'Market Cap'!E126/'Net Income'!E126))</f>
        <v>17.028225834608048</v>
      </c>
      <c r="F126" s="50">
        <f>IF(OR('Net Income'!F126=0,'Net Income'!F126=""),"",IF('Market Cap'!F126="",0,'Market Cap'!F126/'Net Income'!F126))</f>
        <v>15.132209365717095</v>
      </c>
      <c r="G126" s="50">
        <f>IF(OR('Net Income'!G126=0,'Net Income'!G126=""),"",IF('Market Cap'!G126="",0,'Market Cap'!G126/'Net Income'!G126))</f>
        <v>15.247404059209826</v>
      </c>
      <c r="H126" s="50">
        <f>IF(OR('Net Income'!H126=0,'Net Income'!H126=""),"",IF('Market Cap'!H126="",0,'Market Cap'!H126/'Net Income'!H126))</f>
        <v>15.697713615644323</v>
      </c>
      <c r="I126" s="50">
        <f>IF(OR('Net Income'!I126=0,'Net Income'!I126=""),"",IF('Market Cap'!I126="",0,'Market Cap'!I126/'Net Income'!I126))</f>
        <v>17.986861411069043</v>
      </c>
      <c r="J126" s="50">
        <f>IF(OR('Net Income'!J126=0,'Net Income'!J126=""),"",IF('Market Cap'!J126="",0,'Market Cap'!J126/'Net Income'!J126))</f>
        <v>20.856858709498752</v>
      </c>
      <c r="K126" s="50">
        <f>IF(OR('Net Income'!K126=0,'Net Income'!K126=""),"",IF('Market Cap'!K126="",0,'Market Cap'!K126/'Net Income'!K126))</f>
        <v>17.254962193050194</v>
      </c>
      <c r="L126" s="50">
        <f>IF(OR('Net Income'!L126=0,'Net Income'!L126=""),"",IF('Market Cap'!L126="",0,'Market Cap'!L126/'Net Income'!L126))</f>
        <v>16.771071097026965</v>
      </c>
      <c r="M126" s="50">
        <f>IF(OR('Net Income'!M126=0,'Net Income'!M126=""),"",IF('Market Cap'!M126="",0,'Market Cap'!M126/'Net Income'!M126))</f>
        <v>15.894817222569227</v>
      </c>
      <c r="N126" s="50">
        <f>IF(OR('Net Income'!N126=0,'Net Income'!N126=""),"",IF('Market Cap'!N126="",0,'Market Cap'!N126/'Net Income'!N126))</f>
        <v>15.262923111190306</v>
      </c>
    </row>
    <row r="127" spans="1:14" x14ac:dyDescent="0.3">
      <c r="A127" s="8" t="s">
        <v>287</v>
      </c>
      <c r="B127" s="8" t="s">
        <v>288</v>
      </c>
      <c r="C127" s="8" t="s">
        <v>282</v>
      </c>
      <c r="D127" s="8" t="s">
        <v>279</v>
      </c>
      <c r="E127" s="50">
        <f>IF(OR('Net Income'!E127=0,'Net Income'!E127=""),"",IF('Market Cap'!E127="",0,'Market Cap'!E127/'Net Income'!E127))</f>
        <v>16.625503406510219</v>
      </c>
      <c r="F127" s="50">
        <f>IF(OR('Net Income'!F127=0,'Net Income'!F127=""),"",IF('Market Cap'!F127="",0,'Market Cap'!F127/'Net Income'!F127))</f>
        <v>12.82</v>
      </c>
      <c r="G127" s="50">
        <f>IF(OR('Net Income'!G127=0,'Net Income'!G127=""),"",IF('Market Cap'!G127="",0,'Market Cap'!G127/'Net Income'!G127))</f>
        <v>14.770987478656801</v>
      </c>
      <c r="H127" s="50">
        <f>IF(OR('Net Income'!H127=0,'Net Income'!H127=""),"",IF('Market Cap'!H127="",0,'Market Cap'!H127/'Net Income'!H127))</f>
        <v>5.7020444444444447</v>
      </c>
      <c r="I127" s="50">
        <f>IF(OR('Net Income'!I127=0,'Net Income'!I127=""),"",IF('Market Cap'!I127="",0,'Market Cap'!I127/'Net Income'!I127))</f>
        <v>9.4268337129840543</v>
      </c>
      <c r="J127" s="50">
        <f>IF(OR('Net Income'!J127=0,'Net Income'!J127=""),"",IF('Market Cap'!J127="",0,'Market Cap'!J127/'Net Income'!J127))</f>
        <v>20.597913685823755</v>
      </c>
      <c r="K127" s="50">
        <f>IF(OR('Net Income'!K127=0,'Net Income'!K127=""),"",IF('Market Cap'!K127="",0,'Market Cap'!K127/'Net Income'!K127))</f>
        <v>7.2222759509993555</v>
      </c>
      <c r="L127" s="50">
        <f>IF(OR('Net Income'!L127=0,'Net Income'!L127=""),"",IF('Market Cap'!L127="",0,'Market Cap'!L127/'Net Income'!L127))</f>
        <v>5.4803507392261714</v>
      </c>
      <c r="M127" s="50">
        <f>IF(OR('Net Income'!M127=0,'Net Income'!M127=""),"",IF('Market Cap'!M127="",0,'Market Cap'!M127/'Net Income'!M127))</f>
        <v>6.1116909839132063</v>
      </c>
      <c r="N127" s="50">
        <f>IF(OR('Net Income'!N127=0,'Net Income'!N127=""),"",IF('Market Cap'!N127="",0,'Market Cap'!N127/'Net Income'!N127))</f>
        <v>5.6644328277302565</v>
      </c>
    </row>
    <row r="128" spans="1:14" x14ac:dyDescent="0.3">
      <c r="A128" s="8" t="s">
        <v>289</v>
      </c>
      <c r="B128" s="8" t="s">
        <v>290</v>
      </c>
      <c r="C128" s="8" t="s">
        <v>282</v>
      </c>
      <c r="D128" s="8" t="s">
        <v>279</v>
      </c>
      <c r="E128" s="50">
        <f>IF(OR('Net Income'!E128=0,'Net Income'!E128=""),"",IF('Market Cap'!E128="",0,'Market Cap'!E128/'Net Income'!E128))</f>
        <v>18.383504553734063</v>
      </c>
      <c r="F128" s="50">
        <f>IF(OR('Net Income'!F128=0,'Net Income'!F128=""),"",IF('Market Cap'!F128="",0,'Market Cap'!F128/'Net Income'!F128))</f>
        <v>18.27759403967919</v>
      </c>
      <c r="G128" s="50">
        <f>IF(OR('Net Income'!G128=0,'Net Income'!G128=""),"",IF('Market Cap'!G128="",0,'Market Cap'!G128/'Net Income'!G128))</f>
        <v>13.362847931034482</v>
      </c>
      <c r="H128" s="50">
        <f>IF(OR('Net Income'!H128=0,'Net Income'!H128=""),"",IF('Market Cap'!H128="",0,'Market Cap'!H128/'Net Income'!H128))</f>
        <v>11.296625788051637</v>
      </c>
      <c r="I128" s="50">
        <f>IF(OR('Net Income'!I128=0,'Net Income'!I128=""),"",IF('Market Cap'!I128="",0,'Market Cap'!I128/'Net Income'!I128))</f>
        <v>19.166003449519231</v>
      </c>
      <c r="J128" s="50">
        <f>IF(OR('Net Income'!J128=0,'Net Income'!J128=""),"",IF('Market Cap'!J128="",0,'Market Cap'!J128/'Net Income'!J128))</f>
        <v>11.239740834386852</v>
      </c>
      <c r="K128" s="50">
        <f>IF(OR('Net Income'!K128=0,'Net Income'!K128=""),"",IF('Market Cap'!K128="",0,'Market Cap'!K128/'Net Income'!K128))</f>
        <v>2.7095402912621358</v>
      </c>
      <c r="L128" s="50">
        <f>IF(OR('Net Income'!L128=0,'Net Income'!L128=""),"",IF('Market Cap'!L128="",0,'Market Cap'!L128/'Net Income'!L128))</f>
        <v>9.6762585529587266</v>
      </c>
      <c r="M128" s="50"/>
      <c r="N128" s="50"/>
    </row>
    <row r="129" spans="1:14" x14ac:dyDescent="0.3">
      <c r="A129" s="8" t="s">
        <v>291</v>
      </c>
      <c r="B129" s="8" t="s">
        <v>292</v>
      </c>
      <c r="C129" s="8" t="s">
        <v>282</v>
      </c>
      <c r="D129" s="8" t="s">
        <v>279</v>
      </c>
      <c r="E129" s="50">
        <f>IF(OR('Net Income'!E129=0,'Net Income'!E129=""),"",IF('Market Cap'!E129="",0,'Market Cap'!E129/'Net Income'!E129))</f>
        <v>21.203610555555557</v>
      </c>
      <c r="F129" s="50">
        <f>IF(OR('Net Income'!F129=0,'Net Income'!F129=""),"",IF('Market Cap'!F129="",0,'Market Cap'!F129/'Net Income'!F129))</f>
        <v>34.336021276595744</v>
      </c>
      <c r="G129" s="50">
        <f>IF(OR('Net Income'!G129=0,'Net Income'!G129=""),"",IF('Market Cap'!G129="",0,'Market Cap'!G129/'Net Income'!G129))</f>
        <v>30.716782731277533</v>
      </c>
      <c r="H129" s="50"/>
      <c r="I129" s="50">
        <f>IF(OR('Net Income'!I129=0,'Net Income'!I129=""),"",IF('Market Cap'!I129="",0,'Market Cap'!I129/'Net Income'!I129))</f>
        <v>73.632024738805967</v>
      </c>
      <c r="J129" s="50"/>
      <c r="K129" s="50">
        <f>IF(OR('Net Income'!K129=0,'Net Income'!K129=""),"",IF('Market Cap'!K129="",0,'Market Cap'!K129/'Net Income'!K129))</f>
        <v>16.834420968280469</v>
      </c>
      <c r="L129" s="50">
        <f>IF(OR('Net Income'!L129=0,'Net Income'!L129=""),"",IF('Market Cap'!L129="",0,'Market Cap'!L129/'Net Income'!L129))</f>
        <v>94.167458457446813</v>
      </c>
      <c r="M129" s="50">
        <f>IF(OR('Net Income'!M129=0,'Net Income'!M129=""),"",IF('Market Cap'!M129="",0,'Market Cap'!M129/'Net Income'!M129))</f>
        <v>52.276043695652177</v>
      </c>
      <c r="N129" s="50">
        <f>IF(OR('Net Income'!N129=0,'Net Income'!N129=""),"",IF('Market Cap'!N129="",0,'Market Cap'!N129/'Net Income'!N129))</f>
        <v>9.0775407841926512</v>
      </c>
    </row>
    <row r="130" spans="1:14" x14ac:dyDescent="0.3">
      <c r="A130" s="8" t="s">
        <v>293</v>
      </c>
      <c r="B130" s="8" t="s">
        <v>294</v>
      </c>
      <c r="C130" s="8" t="s">
        <v>282</v>
      </c>
      <c r="D130" s="8" t="s">
        <v>279</v>
      </c>
      <c r="E130" s="50">
        <f>IF(OR('Net Income'!E130=0,'Net Income'!E130=""),"",IF('Market Cap'!E130="",0,'Market Cap'!E130/'Net Income'!E130))</f>
        <v>22.939581624634727</v>
      </c>
      <c r="F130" s="50">
        <f>IF(OR('Net Income'!F130=0,'Net Income'!F130=""),"",IF('Market Cap'!F130="",0,'Market Cap'!F130/'Net Income'!F130))</f>
        <v>17.520248346711188</v>
      </c>
      <c r="G130" s="50">
        <f>IF(OR('Net Income'!G130=0,'Net Income'!G130=""),"",IF('Market Cap'!G130="",0,'Market Cap'!G130/'Net Income'!G130))</f>
        <v>14.09258293942993</v>
      </c>
      <c r="H130" s="50">
        <f>IF(OR('Net Income'!H130=0,'Net Income'!H130=""),"",IF('Market Cap'!H130="",0,'Market Cap'!H130/'Net Income'!H130))</f>
        <v>9.5176366347607058</v>
      </c>
      <c r="I130" s="50">
        <f>IF(OR('Net Income'!I130=0,'Net Income'!I130=""),"",IF('Market Cap'!I130="",0,'Market Cap'!I130/'Net Income'!I130))</f>
        <v>9.81724340175953</v>
      </c>
      <c r="J130" s="50">
        <f>IF(OR('Net Income'!J130=0,'Net Income'!J130=""),"",IF('Market Cap'!J130="",0,'Market Cap'!J130/'Net Income'!J130))</f>
        <v>9.0888486603910206</v>
      </c>
      <c r="K130" s="50">
        <f>IF(OR('Net Income'!K130=0,'Net Income'!K130=""),"",IF('Market Cap'!K130="",0,'Market Cap'!K130/'Net Income'!K130))</f>
        <v>3.4932548794489091</v>
      </c>
      <c r="L130" s="50">
        <f>IF(OR('Net Income'!L130=0,'Net Income'!L130=""),"",IF('Market Cap'!L130="",0,'Market Cap'!L130/'Net Income'!L130))</f>
        <v>9.1708948545861304</v>
      </c>
      <c r="M130" s="50">
        <f>IF(OR('Net Income'!M130=0,'Net Income'!M130=""),"",IF('Market Cap'!M130="",0,'Market Cap'!M130/'Net Income'!M130))</f>
        <v>5.7855274086378738</v>
      </c>
      <c r="N130" s="50">
        <f>IF(OR('Net Income'!N130=0,'Net Income'!N130=""),"",IF('Market Cap'!N130="",0,'Market Cap'!N130/'Net Income'!N130))</f>
        <v>6.5755797477103854</v>
      </c>
    </row>
    <row r="131" spans="1:14" x14ac:dyDescent="0.3">
      <c r="A131" s="8" t="s">
        <v>295</v>
      </c>
      <c r="B131" s="8" t="s">
        <v>296</v>
      </c>
      <c r="C131" s="8" t="s">
        <v>282</v>
      </c>
      <c r="D131" s="8" t="s">
        <v>279</v>
      </c>
      <c r="E131" s="50">
        <f>IF(OR('Net Income'!E131=0,'Net Income'!E131=""),"",IF('Market Cap'!E131="",0,'Market Cap'!E131/'Net Income'!E131))</f>
        <v>25.97312140549495</v>
      </c>
      <c r="F131" s="50">
        <f>IF(OR('Net Income'!F131=0,'Net Income'!F131=""),"",IF('Market Cap'!F131="",0,'Market Cap'!F131/'Net Income'!F131))</f>
        <v>22.843743067958812</v>
      </c>
      <c r="G131" s="50">
        <f>IF(OR('Net Income'!G131=0,'Net Income'!G131=""),"",IF('Market Cap'!G131="",0,'Market Cap'!G131/'Net Income'!G131))</f>
        <v>26.248965787915047</v>
      </c>
      <c r="H131" s="50">
        <f>IF(OR('Net Income'!H131=0,'Net Income'!H131=""),"",IF('Market Cap'!H131="",0,'Market Cap'!H131/'Net Income'!H131))</f>
        <v>26.120870193375897</v>
      </c>
      <c r="I131" s="50">
        <f>IF(OR('Net Income'!I131=0,'Net Income'!I131=""),"",IF('Market Cap'!I131="",0,'Market Cap'!I131/'Net Income'!I131))</f>
        <v>28.176421809361244</v>
      </c>
      <c r="J131" s="50"/>
      <c r="K131" s="50"/>
      <c r="L131" s="50">
        <f>IF(OR('Net Income'!L131=0,'Net Income'!L131=""),"",IF('Market Cap'!L131="",0,'Market Cap'!L131/'Net Income'!L131))</f>
        <v>32.879327605132445</v>
      </c>
      <c r="M131" s="50">
        <f>IF(OR('Net Income'!M131=0,'Net Income'!M131=""),"",IF('Market Cap'!M131="",0,'Market Cap'!M131/'Net Income'!M131))</f>
        <v>25.975166502362207</v>
      </c>
      <c r="N131" s="50">
        <f>IF(OR('Net Income'!N131=0,'Net Income'!N131=""),"",IF('Market Cap'!N131="",0,'Market Cap'!N131/'Net Income'!N131))</f>
        <v>23.734985880606544</v>
      </c>
    </row>
    <row r="132" spans="1:14" x14ac:dyDescent="0.3">
      <c r="A132" s="8" t="s">
        <v>297</v>
      </c>
      <c r="B132" s="8" t="s">
        <v>298</v>
      </c>
      <c r="C132" s="8" t="s">
        <v>282</v>
      </c>
      <c r="D132" s="8" t="s">
        <v>279</v>
      </c>
      <c r="E132" s="50"/>
      <c r="F132" s="50">
        <f>IF(OR('Net Income'!F132=0,'Net Income'!F132=""),"",IF('Market Cap'!F132="",0,'Market Cap'!F132/'Net Income'!F132))</f>
        <v>11.889377880184332</v>
      </c>
      <c r="G132" s="50">
        <f>IF(OR('Net Income'!G132=0,'Net Income'!G132=""),"",IF('Market Cap'!G132="",0,'Market Cap'!G132/'Net Income'!G132))</f>
        <v>11.463356907119284</v>
      </c>
      <c r="H132" s="50">
        <f>IF(OR('Net Income'!H132=0,'Net Income'!H132=""),"",IF('Market Cap'!H132="",0,'Market Cap'!H132/'Net Income'!H132))</f>
        <v>10.050269115762495</v>
      </c>
      <c r="I132" s="50"/>
      <c r="J132" s="50"/>
      <c r="K132" s="50">
        <f>IF(OR('Net Income'!K132=0,'Net Income'!K132=""),"",IF('Market Cap'!K132="",0,'Market Cap'!K132/'Net Income'!K132))</f>
        <v>6.22890756302521</v>
      </c>
      <c r="L132" s="50">
        <f>IF(OR('Net Income'!L132=0,'Net Income'!L132=""),"",IF('Market Cap'!L132="",0,'Market Cap'!L132/'Net Income'!L132))</f>
        <v>4.9395201129146082</v>
      </c>
      <c r="M132" s="50">
        <f>IF(OR('Net Income'!M132=0,'Net Income'!M132=""),"",IF('Market Cap'!M132="",0,'Market Cap'!M132/'Net Income'!M132))</f>
        <v>5.3664141414141415</v>
      </c>
      <c r="N132" s="50">
        <f>IF(OR('Net Income'!N132=0,'Net Income'!N132=""),"",IF('Market Cap'!N132="",0,'Market Cap'!N132/'Net Income'!N132))</f>
        <v>7.8754384965831434</v>
      </c>
    </row>
    <row r="133" spans="1:14" x14ac:dyDescent="0.3">
      <c r="A133" s="8" t="s">
        <v>299</v>
      </c>
      <c r="B133" s="8" t="s">
        <v>300</v>
      </c>
      <c r="C133" s="8" t="s">
        <v>282</v>
      </c>
      <c r="D133" s="8" t="s">
        <v>279</v>
      </c>
      <c r="E133" s="50" t="str">
        <f>IF(OR('Net Income'!E133=0,'Net Income'!E133=""),"",IF('Market Cap'!E133="",0,'Market Cap'!E133/'Net Income'!E133))</f>
        <v/>
      </c>
      <c r="F133" s="50">
        <f>IF(OR('Net Income'!F133=0,'Net Income'!F133=""),"",IF('Market Cap'!F133="",0,'Market Cap'!F133/'Net Income'!F133))</f>
        <v>16.705335829004706</v>
      </c>
      <c r="G133" s="50">
        <f>IF(OR('Net Income'!G133=0,'Net Income'!G133=""),"",IF('Market Cap'!G133="",0,'Market Cap'!G133/'Net Income'!G133))</f>
        <v>20.758844322872065</v>
      </c>
      <c r="H133" s="50">
        <f>IF(OR('Net Income'!H133=0,'Net Income'!H133=""),"",IF('Market Cap'!H133="",0,'Market Cap'!H133/'Net Income'!H133))</f>
        <v>15.334570391043783</v>
      </c>
      <c r="I133" s="50">
        <f>IF(OR('Net Income'!I133=0,'Net Income'!I133=""),"",IF('Market Cap'!I133="",0,'Market Cap'!I133/'Net Income'!I133))</f>
        <v>17.735513050425027</v>
      </c>
      <c r="J133" s="50"/>
      <c r="K133" s="50"/>
      <c r="L133" s="50">
        <f>IF(OR('Net Income'!L133=0,'Net Income'!L133=""),"",IF('Market Cap'!L133="",0,'Market Cap'!L133/'Net Income'!L133))</f>
        <v>19.517492531883008</v>
      </c>
      <c r="M133" s="50">
        <f>IF(OR('Net Income'!M133=0,'Net Income'!M133=""),"",IF('Market Cap'!M133="",0,'Market Cap'!M133/'Net Income'!M133))</f>
        <v>15.096596151799041</v>
      </c>
      <c r="N133" s="50">
        <f>IF(OR('Net Income'!N133=0,'Net Income'!N133=""),"",IF('Market Cap'!N133="",0,'Market Cap'!N133/'Net Income'!N133))</f>
        <v>1.5314197095682818</v>
      </c>
    </row>
    <row r="134" spans="1:14" x14ac:dyDescent="0.3">
      <c r="A134" s="8" t="s">
        <v>301</v>
      </c>
      <c r="B134" s="8" t="s">
        <v>302</v>
      </c>
      <c r="C134" s="8" t="s">
        <v>282</v>
      </c>
      <c r="D134" s="8" t="s">
        <v>279</v>
      </c>
      <c r="E134" s="50">
        <f>IF(OR('Net Income'!E134=0,'Net Income'!E134=""),"",IF('Market Cap'!E134="",0,'Market Cap'!E134/'Net Income'!E134))</f>
        <v>15.041569129214709</v>
      </c>
      <c r="F134" s="50">
        <f>IF(OR('Net Income'!F134=0,'Net Income'!F134=""),"",IF('Market Cap'!F134="",0,'Market Cap'!F134/'Net Income'!F134))</f>
        <v>13.789348068893778</v>
      </c>
      <c r="G134" s="50">
        <f>IF(OR('Net Income'!G134=0,'Net Income'!G134=""),"",IF('Market Cap'!G134="",0,'Market Cap'!G134/'Net Income'!G134))</f>
        <v>11.594946224510377</v>
      </c>
      <c r="H134" s="50">
        <f>IF(OR('Net Income'!H134=0,'Net Income'!H134=""),"",IF('Market Cap'!H134="",0,'Market Cap'!H134/'Net Income'!H134))</f>
        <v>12.717820146127883</v>
      </c>
      <c r="I134" s="50">
        <f>IF(OR('Net Income'!I134=0,'Net Income'!I134=""),"",IF('Market Cap'!I134="",0,'Market Cap'!I134/'Net Income'!I134))</f>
        <v>12.856108163873758</v>
      </c>
      <c r="J134" s="50">
        <f>IF(OR('Net Income'!J134=0,'Net Income'!J134=""),"",IF('Market Cap'!J134="",0,'Market Cap'!J134/'Net Income'!J134))</f>
        <v>10.583149084914032</v>
      </c>
      <c r="K134" s="50">
        <f>IF(OR('Net Income'!K134=0,'Net Income'!K134=""),"",IF('Market Cap'!K134="",0,'Market Cap'!K134/'Net Income'!K134))</f>
        <v>13.20953876174392</v>
      </c>
      <c r="L134" s="50">
        <f>IF(OR('Net Income'!L134=0,'Net Income'!L134=""),"",IF('Market Cap'!L134="",0,'Market Cap'!L134/'Net Income'!L134))</f>
        <v>10.800833266803982</v>
      </c>
      <c r="M134" s="50">
        <f>IF(OR('Net Income'!M134=0,'Net Income'!M134=""),"",IF('Market Cap'!M134="",0,'Market Cap'!M134/'Net Income'!M134))</f>
        <v>11.656488561869395</v>
      </c>
      <c r="N134" s="50"/>
    </row>
    <row r="135" spans="1:14" x14ac:dyDescent="0.3">
      <c r="A135" s="8" t="s">
        <v>303</v>
      </c>
      <c r="B135" s="8" t="s">
        <v>304</v>
      </c>
      <c r="C135" s="8" t="s">
        <v>282</v>
      </c>
      <c r="D135" s="8" t="s">
        <v>279</v>
      </c>
      <c r="E135" s="50">
        <f>IF(OR('Net Income'!E135=0,'Net Income'!E135=""),"",IF('Market Cap'!E135="",0,'Market Cap'!E135/'Net Income'!E135))</f>
        <v>17.171718178190897</v>
      </c>
      <c r="F135" s="50">
        <f>IF(OR('Net Income'!F135=0,'Net Income'!F135=""),"",IF('Market Cap'!F135="",0,'Market Cap'!F135/'Net Income'!F135))</f>
        <v>15.168772943792</v>
      </c>
      <c r="G135" s="50">
        <f>IF(OR('Net Income'!G135=0,'Net Income'!G135=""),"",IF('Market Cap'!G135="",0,'Market Cap'!G135/'Net Income'!G135))</f>
        <v>14.853283783493273</v>
      </c>
      <c r="H135" s="50">
        <f>IF(OR('Net Income'!H135=0,'Net Income'!H135=""),"",IF('Market Cap'!H135="",0,'Market Cap'!H135/'Net Income'!H135))</f>
        <v>14.914842433837952</v>
      </c>
      <c r="I135" s="50">
        <f>IF(OR('Net Income'!I135=0,'Net Income'!I135=""),"",IF('Market Cap'!I135="",0,'Market Cap'!I135/'Net Income'!I135))</f>
        <v>13.526676497134671</v>
      </c>
      <c r="J135" s="50">
        <f>IF(OR('Net Income'!J135=0,'Net Income'!J135=""),"",IF('Market Cap'!J135="",0,'Market Cap'!J135/'Net Income'!J135))</f>
        <v>14.54695132227919</v>
      </c>
      <c r="K135" s="50">
        <f>IF(OR('Net Income'!K135=0,'Net Income'!K135=""),"",IF('Market Cap'!K135="",0,'Market Cap'!K135/'Net Income'!K135))</f>
        <v>15.063074228057365</v>
      </c>
      <c r="L135" s="50">
        <f>IF(OR('Net Income'!L135=0,'Net Income'!L135=""),"",IF('Market Cap'!L135="",0,'Market Cap'!L135/'Net Income'!L135))</f>
        <v>13.192029274518566</v>
      </c>
      <c r="M135" s="50">
        <f>IF(OR('Net Income'!M135=0,'Net Income'!M135=""),"",IF('Market Cap'!M135="",0,'Market Cap'!M135/'Net Income'!M135))</f>
        <v>11.666788470462851</v>
      </c>
      <c r="N135" s="50">
        <f>IF(OR('Net Income'!N135=0,'Net Income'!N135=""),"",IF('Market Cap'!N135="",0,'Market Cap'!N135/'Net Income'!N135))</f>
        <v>24.166605441078282</v>
      </c>
    </row>
    <row r="136" spans="1:14" x14ac:dyDescent="0.3">
      <c r="A136" s="8" t="s">
        <v>305</v>
      </c>
      <c r="B136" s="8" t="s">
        <v>306</v>
      </c>
      <c r="C136" s="8" t="s">
        <v>282</v>
      </c>
      <c r="D136" s="8" t="s">
        <v>279</v>
      </c>
      <c r="E136" s="50">
        <f>IF(OR('Net Income'!E136=0,'Net Income'!E136=""),"",IF('Market Cap'!E136="",0,'Market Cap'!E136/'Net Income'!E136))</f>
        <v>10.033478846692157</v>
      </c>
      <c r="F136" s="50">
        <f>IF(OR('Net Income'!F136=0,'Net Income'!F136=""),"",IF('Market Cap'!F136="",0,'Market Cap'!F136/'Net Income'!F136))</f>
        <v>11.406526820684764</v>
      </c>
      <c r="G136" s="50">
        <f>IF(OR('Net Income'!G136=0,'Net Income'!G136=""),"",IF('Market Cap'!G136="",0,'Market Cap'!G136/'Net Income'!G136))</f>
        <v>11.680280092446932</v>
      </c>
      <c r="H136" s="50">
        <f>IF(OR('Net Income'!H136=0,'Net Income'!H136=""),"",IF('Market Cap'!H136="",0,'Market Cap'!H136/'Net Income'!H136))</f>
        <v>13.403478984602581</v>
      </c>
      <c r="I136" s="50">
        <f>IF(OR('Net Income'!I136=0,'Net Income'!I136=""),"",IF('Market Cap'!I136="",0,'Market Cap'!I136/'Net Income'!I136))</f>
        <v>11.822778726198292</v>
      </c>
      <c r="J136" s="50">
        <f>IF(OR('Net Income'!J136=0,'Net Income'!J136=""),"",IF('Market Cap'!J136="",0,'Market Cap'!J136/'Net Income'!J136))</f>
        <v>9.2084102564102572</v>
      </c>
      <c r="K136" s="50">
        <f>IF(OR('Net Income'!K136=0,'Net Income'!K136=""),"",IF('Market Cap'!K136="",0,'Market Cap'!K136/'Net Income'!K136))</f>
        <v>7.2130345007841088</v>
      </c>
      <c r="L136" s="50">
        <f>IF(OR('Net Income'!L136=0,'Net Income'!L136=""),"",IF('Market Cap'!L136="",0,'Market Cap'!L136/'Net Income'!L136))</f>
        <v>9.8098403122782116</v>
      </c>
      <c r="M136" s="50">
        <f>IF(OR('Net Income'!M136=0,'Net Income'!M136=""),"",IF('Market Cap'!M136="",0,'Market Cap'!M136/'Net Income'!M136))</f>
        <v>8.9138718251624329</v>
      </c>
      <c r="N136" s="50">
        <f>IF(OR('Net Income'!N136=0,'Net Income'!N136=""),"",IF('Market Cap'!N136="",0,'Market Cap'!N136/'Net Income'!N136))</f>
        <v>7.7675762273901805</v>
      </c>
    </row>
    <row r="137" spans="1:14" x14ac:dyDescent="0.3">
      <c r="A137" s="8" t="s">
        <v>307</v>
      </c>
      <c r="B137" s="8" t="s">
        <v>308</v>
      </c>
      <c r="C137" s="8" t="s">
        <v>282</v>
      </c>
      <c r="D137" s="8" t="s">
        <v>279</v>
      </c>
      <c r="E137" s="50">
        <f>IF(OR('Net Income'!E137=0,'Net Income'!E137=""),"",IF('Market Cap'!E137="",0,'Market Cap'!E137/'Net Income'!E137))</f>
        <v>21.663394309776002</v>
      </c>
      <c r="F137" s="50">
        <f>IF(OR('Net Income'!F137=0,'Net Income'!F137=""),"",IF('Market Cap'!F137="",0,'Market Cap'!F137/'Net Income'!F137))</f>
        <v>11.326581059602649</v>
      </c>
      <c r="G137" s="50">
        <f>IF(OR('Net Income'!G137=0,'Net Income'!G137=""),"",IF('Market Cap'!G137="",0,'Market Cap'!G137/'Net Income'!G137))</f>
        <v>17.763279947122395</v>
      </c>
      <c r="H137" s="50">
        <f>IF(OR('Net Income'!H137=0,'Net Income'!H137=""),"",IF('Market Cap'!H137="",0,'Market Cap'!H137/'Net Income'!H137))</f>
        <v>12.523324961436455</v>
      </c>
      <c r="I137" s="50">
        <f>IF(OR('Net Income'!I137=0,'Net Income'!I137=""),"",IF('Market Cap'!I137="",0,'Market Cap'!I137/'Net Income'!I137))</f>
        <v>14.519968637787978</v>
      </c>
      <c r="J137" s="50">
        <f>IF(OR('Net Income'!J137=0,'Net Income'!J137=""),"",IF('Market Cap'!J137="",0,'Market Cap'!J137/'Net Income'!J137))</f>
        <v>16.439516867242645</v>
      </c>
      <c r="K137" s="50">
        <f>IF(OR('Net Income'!K137=0,'Net Income'!K137=""),"",IF('Market Cap'!K137="",0,'Market Cap'!K137/'Net Income'!K137))</f>
        <v>27.659747666566261</v>
      </c>
      <c r="L137" s="50">
        <f>IF(OR('Net Income'!L137=0,'Net Income'!L137=""),"",IF('Market Cap'!L137="",0,'Market Cap'!L137/'Net Income'!L137))</f>
        <v>15.285082742926829</v>
      </c>
      <c r="M137" s="50">
        <f>IF(OR('Net Income'!M137=0,'Net Income'!M137=""),"",IF('Market Cap'!M137="",0,'Market Cap'!M137/'Net Income'!M137))</f>
        <v>13.483736294454713</v>
      </c>
      <c r="N137" s="50">
        <f>IF(OR('Net Income'!N137=0,'Net Income'!N137=""),"",IF('Market Cap'!N137="",0,'Market Cap'!N137/'Net Income'!N137))</f>
        <v>14.032345734597156</v>
      </c>
    </row>
    <row r="138" spans="1:14" x14ac:dyDescent="0.3">
      <c r="A138" s="8" t="s">
        <v>309</v>
      </c>
      <c r="B138" s="8" t="s">
        <v>310</v>
      </c>
      <c r="C138" s="8" t="s">
        <v>282</v>
      </c>
      <c r="D138" s="8" t="s">
        <v>279</v>
      </c>
      <c r="E138" s="50">
        <f>IF(OR('Net Income'!E138=0,'Net Income'!E138=""),"",IF('Market Cap'!E138="",0,'Market Cap'!E138/'Net Income'!E138))</f>
        <v>11.576131890387993</v>
      </c>
      <c r="F138" s="50">
        <f>IF(OR('Net Income'!F138=0,'Net Income'!F138=""),"",IF('Market Cap'!F138="",0,'Market Cap'!F138/'Net Income'!F138))</f>
        <v>18.71912981880546</v>
      </c>
      <c r="G138" s="50">
        <f>IF(OR('Net Income'!G138=0,'Net Income'!G138=""),"",IF('Market Cap'!G138="",0,'Market Cap'!G138/'Net Income'!G138))</f>
        <v>19.565526489694641</v>
      </c>
      <c r="H138" s="50">
        <f>IF(OR('Net Income'!H138=0,'Net Income'!H138=""),"",IF('Market Cap'!H138="",0,'Market Cap'!H138/'Net Income'!H138))</f>
        <v>17.242740618494548</v>
      </c>
      <c r="I138" s="50">
        <f>IF(OR('Net Income'!I138=0,'Net Income'!I138=""),"",IF('Market Cap'!I138="",0,'Market Cap'!I138/'Net Income'!I138))</f>
        <v>21.804309679907444</v>
      </c>
      <c r="J138" s="50">
        <f>IF(OR('Net Income'!J138=0,'Net Income'!J138=""),"",IF('Market Cap'!J138="",0,'Market Cap'!J138/'Net Income'!J138))</f>
        <v>13.898786944364597</v>
      </c>
      <c r="K138" s="50">
        <f>IF(OR('Net Income'!K138=0,'Net Income'!K138=""),"",IF('Market Cap'!K138="",0,'Market Cap'!K138/'Net Income'!K138))</f>
        <v>2.4909608319134384</v>
      </c>
      <c r="L138" s="50">
        <f>IF(OR('Net Income'!L138=0,'Net Income'!L138=""),"",IF('Market Cap'!L138="",0,'Market Cap'!L138/'Net Income'!L138))</f>
        <v>11.360885986348951</v>
      </c>
      <c r="M138" s="50">
        <f>IF(OR('Net Income'!M138=0,'Net Income'!M138=""),"",IF('Market Cap'!M138="",0,'Market Cap'!M138/'Net Income'!M138))</f>
        <v>13.401029324862874</v>
      </c>
      <c r="N138" s="50">
        <f>IF(OR('Net Income'!N138=0,'Net Income'!N138=""),"",IF('Market Cap'!N138="",0,'Market Cap'!N138/'Net Income'!N138))</f>
        <v>15.141085091471519</v>
      </c>
    </row>
    <row r="139" spans="1:14" x14ac:dyDescent="0.3">
      <c r="A139" s="8" t="s">
        <v>311</v>
      </c>
      <c r="B139" s="8" t="s">
        <v>312</v>
      </c>
      <c r="C139" s="8" t="s">
        <v>282</v>
      </c>
      <c r="D139" s="8" t="s">
        <v>279</v>
      </c>
      <c r="E139" s="50">
        <f>IF(OR('Net Income'!E139=0,'Net Income'!E139=""),"",IF('Market Cap'!E139="",0,'Market Cap'!E139/'Net Income'!E139))</f>
        <v>27.448959284180066</v>
      </c>
      <c r="F139" s="50">
        <f>IF(OR('Net Income'!F139=0,'Net Income'!F139=""),"",IF('Market Cap'!F139="",0,'Market Cap'!F139/'Net Income'!F139))</f>
        <v>23.648658560855502</v>
      </c>
      <c r="G139" s="50">
        <f>IF(OR('Net Income'!G139=0,'Net Income'!G139=""),"",IF('Market Cap'!G139="",0,'Market Cap'!G139/'Net Income'!G139))</f>
        <v>25.459943905477591</v>
      </c>
      <c r="H139" s="50">
        <f>IF(OR('Net Income'!H139=0,'Net Income'!H139=""),"",IF('Market Cap'!H139="",0,'Market Cap'!H139/'Net Income'!H139))</f>
        <v>26.280155827615218</v>
      </c>
      <c r="I139" s="50">
        <f>IF(OR('Net Income'!I139=0,'Net Income'!I139=""),"",IF('Market Cap'!I139="",0,'Market Cap'!I139/'Net Income'!I139))</f>
        <v>34.445058795033482</v>
      </c>
      <c r="J139" s="50">
        <f>IF(OR('Net Income'!J139=0,'Net Income'!J139=""),"",IF('Market Cap'!J139="",0,'Market Cap'!J139/'Net Income'!J139))</f>
        <v>26.427913271090592</v>
      </c>
      <c r="K139" s="50">
        <f>IF(OR('Net Income'!K139=0,'Net Income'!K139=""),"",IF('Market Cap'!K139="",0,'Market Cap'!K139/'Net Income'!K139))</f>
        <v>43.155659327923658</v>
      </c>
      <c r="L139" s="50">
        <f>IF(OR('Net Income'!L139=0,'Net Income'!L139=""),"",IF('Market Cap'!L139="",0,'Market Cap'!L139/'Net Income'!L139))</f>
        <v>35.080268170962988</v>
      </c>
      <c r="M139" s="50">
        <f>IF(OR('Net Income'!M139=0,'Net Income'!M139=""),"",IF('Market Cap'!M139="",0,'Market Cap'!M139/'Net Income'!M139))</f>
        <v>177.00019612812949</v>
      </c>
      <c r="N139" s="50">
        <f>IF(OR('Net Income'!N139=0,'Net Income'!N139=""),"",IF('Market Cap'!N139="",0,'Market Cap'!N139/'Net Income'!N139))</f>
        <v>39.645921120634718</v>
      </c>
    </row>
    <row r="140" spans="1:14" x14ac:dyDescent="0.3">
      <c r="A140" s="8" t="s">
        <v>313</v>
      </c>
      <c r="B140" s="8" t="s">
        <v>314</v>
      </c>
      <c r="C140" s="8" t="s">
        <v>282</v>
      </c>
      <c r="D140" s="8" t="s">
        <v>279</v>
      </c>
      <c r="E140" s="50" t="str">
        <f>IF(OR('Net Income'!E140=0,'Net Income'!E140=""),"",IF('Market Cap'!E140="",0,'Market Cap'!E140/'Net Income'!E140))</f>
        <v/>
      </c>
      <c r="F140" s="50">
        <f>IF(OR('Net Income'!F140=0,'Net Income'!F140=""),"",IF('Market Cap'!F140="",0,'Market Cap'!F140/'Net Income'!F140))</f>
        <v>79.703369789788283</v>
      </c>
      <c r="G140" s="50">
        <f>IF(OR('Net Income'!G140=0,'Net Income'!G140=""),"",IF('Market Cap'!G140="",0,'Market Cap'!G140/'Net Income'!G140))</f>
        <v>152.51470267634286</v>
      </c>
      <c r="H140" s="50"/>
      <c r="I140" s="50"/>
      <c r="J140" s="50"/>
      <c r="K140" s="50"/>
      <c r="L140" s="50"/>
      <c r="M140" s="50"/>
      <c r="N140" s="50"/>
    </row>
    <row r="141" spans="1:14" x14ac:dyDescent="0.3">
      <c r="A141" s="8" t="s">
        <v>315</v>
      </c>
      <c r="B141" s="8" t="s">
        <v>316</v>
      </c>
      <c r="C141" s="8" t="s">
        <v>282</v>
      </c>
      <c r="D141" s="8" t="s">
        <v>279</v>
      </c>
      <c r="E141" s="50">
        <f>IF(OR('Net Income'!E141=0,'Net Income'!E141=""),"",IF('Market Cap'!E141="",0,'Market Cap'!E141/'Net Income'!E141))</f>
        <v>7.801353937384615</v>
      </c>
      <c r="F141" s="50">
        <f>IF(OR('Net Income'!F141=0,'Net Income'!F141=""),"",IF('Market Cap'!F141="",0,'Market Cap'!F141/'Net Income'!F141))</f>
        <v>3.8412740374935264</v>
      </c>
      <c r="G141" s="50">
        <f>IF(OR('Net Income'!G141=0,'Net Income'!G141=""),"",IF('Market Cap'!G141="",0,'Market Cap'!G141/'Net Income'!G141))</f>
        <v>5.4212260006334843</v>
      </c>
      <c r="H141" s="50">
        <f>IF(OR('Net Income'!H141=0,'Net Income'!H141=""),"",IF('Market Cap'!H141="",0,'Market Cap'!H141/'Net Income'!H141))</f>
        <v>3.3410417490467936</v>
      </c>
      <c r="I141" s="50">
        <f>IF(OR('Net Income'!I141=0,'Net Income'!I141=""),"",IF('Market Cap'!I141="",0,'Market Cap'!I141/'Net Income'!I141))</f>
        <v>5.6835575492653057</v>
      </c>
      <c r="J141" s="50"/>
      <c r="K141" s="50"/>
      <c r="L141" s="50">
        <f>IF(OR('Net Income'!L141=0,'Net Income'!L141=""),"",IF('Market Cap'!L141="",0,'Market Cap'!L141/'Net Income'!L141))</f>
        <v>15.99119211136891</v>
      </c>
      <c r="M141" s="50">
        <f>IF(OR('Net Income'!M141=0,'Net Income'!M141=""),"",IF('Market Cap'!M141="",0,'Market Cap'!M141/'Net Income'!M141))</f>
        <v>3.3069993145009415</v>
      </c>
      <c r="N141" s="50">
        <f>IF(OR('Net Income'!N141=0,'Net Income'!N141=""),"",IF('Market Cap'!N141="",0,'Market Cap'!N141/'Net Income'!N141))</f>
        <v>6.5152029245973644</v>
      </c>
    </row>
    <row r="142" spans="1:14" x14ac:dyDescent="0.3">
      <c r="A142" s="8" t="s">
        <v>317</v>
      </c>
      <c r="B142" s="8" t="s">
        <v>318</v>
      </c>
      <c r="C142" s="8" t="s">
        <v>282</v>
      </c>
      <c r="D142" s="8" t="s">
        <v>279</v>
      </c>
      <c r="E142" s="50">
        <f>IF(OR('Net Income'!E142=0,'Net Income'!E142=""),"",IF('Market Cap'!E142="",0,'Market Cap'!E142/'Net Income'!E142))</f>
        <v>52.569575775296471</v>
      </c>
      <c r="F142" s="50">
        <f>IF(OR('Net Income'!F142=0,'Net Income'!F142=""),"",IF('Market Cap'!F142="",0,'Market Cap'!F142/'Net Income'!F142))</f>
        <v>6.3803186448351914</v>
      </c>
      <c r="G142" s="50">
        <f>IF(OR('Net Income'!G142=0,'Net Income'!G142=""),"",IF('Market Cap'!G142="",0,'Market Cap'!G142/'Net Income'!G142))</f>
        <v>4.8090263109654696</v>
      </c>
      <c r="H142" s="50">
        <f>IF(OR('Net Income'!H142=0,'Net Income'!H142=""),"",IF('Market Cap'!H142="",0,'Market Cap'!H142/'Net Income'!H142))</f>
        <v>5.9045775464803159</v>
      </c>
      <c r="I142" s="50">
        <f>IF(OR('Net Income'!I142=0,'Net Income'!I142=""),"",IF('Market Cap'!I142="",0,'Market Cap'!I142/'Net Income'!I142))</f>
        <v>10.539321843910729</v>
      </c>
      <c r="J142" s="50">
        <f>IF(OR('Net Income'!J142=0,'Net Income'!J142=""),"",IF('Market Cap'!J142="",0,'Market Cap'!J142/'Net Income'!J142))</f>
        <v>64.833333333333329</v>
      </c>
      <c r="K142" s="50">
        <f>IF(OR('Net Income'!K142=0,'Net Income'!K142=""),"",IF('Market Cap'!K142="",0,'Market Cap'!K142/'Net Income'!K142))</f>
        <v>8.7139137019661597</v>
      </c>
      <c r="L142" s="50">
        <f>IF(OR('Net Income'!L142=0,'Net Income'!L142=""),"",IF('Market Cap'!L142="",0,'Market Cap'!L142/'Net Income'!L142))</f>
        <v>15.614921983982486</v>
      </c>
      <c r="M142" s="50"/>
      <c r="N142" s="50">
        <f>IF(OR('Net Income'!N142=0,'Net Income'!N142=""),"",IF('Market Cap'!N142="",0,'Market Cap'!N142/'Net Income'!N142))</f>
        <v>18.255446065146831</v>
      </c>
    </row>
    <row r="143" spans="1:14" x14ac:dyDescent="0.3">
      <c r="A143" s="8" t="s">
        <v>319</v>
      </c>
      <c r="B143" s="8" t="s">
        <v>268</v>
      </c>
      <c r="C143" s="8" t="s">
        <v>282</v>
      </c>
      <c r="D143" s="8" t="s">
        <v>279</v>
      </c>
      <c r="E143" s="50"/>
      <c r="F143" s="50">
        <f>IF(OR('Net Income'!F143=0,'Net Income'!F143=""),"",IF('Market Cap'!F143="",0,'Market Cap'!F143/'Net Income'!F143))</f>
        <v>11.863938523906688</v>
      </c>
      <c r="G143" s="50">
        <f>IF(OR('Net Income'!G143=0,'Net Income'!G143=""),"",IF('Market Cap'!G143="",0,'Market Cap'!G143/'Net Income'!G143))</f>
        <v>7.517174742556918</v>
      </c>
      <c r="H143" s="50">
        <f>IF(OR('Net Income'!H143=0,'Net Income'!H143=""),"",IF('Market Cap'!H143="",0,'Market Cap'!H143/'Net Income'!H143))</f>
        <v>4.0924995548650225</v>
      </c>
      <c r="I143" s="50"/>
      <c r="J143" s="50"/>
      <c r="K143" s="50">
        <f>IF(OR('Net Income'!K143=0,'Net Income'!K143=""),"",IF('Market Cap'!K143="",0,'Market Cap'!K143/'Net Income'!K143))</f>
        <v>1.728544325726141</v>
      </c>
      <c r="L143" s="50">
        <f>IF(OR('Net Income'!L143=0,'Net Income'!L143=""),"",IF('Market Cap'!L143="",0,'Market Cap'!L143/'Net Income'!L143))</f>
        <v>3.1325984435175229</v>
      </c>
      <c r="M143" s="50">
        <f>IF(OR('Net Income'!M143=0,'Net Income'!M143=""),"",IF('Market Cap'!M143="",0,'Market Cap'!M143/'Net Income'!M143))</f>
        <v>26.109345831556041</v>
      </c>
      <c r="N143" s="50">
        <f>IF(OR('Net Income'!N143=0,'Net Income'!N143=""),"",IF('Market Cap'!N143="",0,'Market Cap'!N143/'Net Income'!N143))</f>
        <v>13.668498933233755</v>
      </c>
    </row>
    <row r="144" spans="1:14" x14ac:dyDescent="0.3">
      <c r="A144" s="8" t="s">
        <v>320</v>
      </c>
      <c r="B144" s="8" t="s">
        <v>321</v>
      </c>
      <c r="C144" s="8" t="s">
        <v>282</v>
      </c>
      <c r="D144" s="8" t="s">
        <v>279</v>
      </c>
      <c r="E144" s="50">
        <f>IF(OR('Net Income'!E144=0,'Net Income'!E144=""),"",IF('Market Cap'!E144="",0,'Market Cap'!E144/'Net Income'!E144))</f>
        <v>11.13923637336066</v>
      </c>
      <c r="F144" s="50">
        <f>IF(OR('Net Income'!F144=0,'Net Income'!F144=""),"",IF('Market Cap'!F144="",0,'Market Cap'!F144/'Net Income'!F144))</f>
        <v>10.127118866689564</v>
      </c>
      <c r="G144" s="50">
        <f>IF(OR('Net Income'!G144=0,'Net Income'!G144=""),"",IF('Market Cap'!G144="",0,'Market Cap'!G144/'Net Income'!G144))</f>
        <v>11.710933543855884</v>
      </c>
      <c r="H144" s="50">
        <f>IF(OR('Net Income'!H144=0,'Net Income'!H144=""),"",IF('Market Cap'!H144="",0,'Market Cap'!H144/'Net Income'!H144))</f>
        <v>16.968770173665508</v>
      </c>
      <c r="I144" s="50">
        <f>IF(OR('Net Income'!I144=0,'Net Income'!I144=""),"",IF('Market Cap'!I144="",0,'Market Cap'!I144/'Net Income'!I144))</f>
        <v>7.5012798302731625</v>
      </c>
      <c r="J144" s="50">
        <f>IF(OR('Net Income'!J144=0,'Net Income'!J144=""),"",IF('Market Cap'!J144="",0,'Market Cap'!J144/'Net Income'!J144))</f>
        <v>987.11261167332668</v>
      </c>
      <c r="K144" s="50">
        <f>IF(OR('Net Income'!K144=0,'Net Income'!K144=""),"",IF('Market Cap'!K144="",0,'Market Cap'!K144/'Net Income'!K144))</f>
        <v>6.2350450254602654</v>
      </c>
      <c r="L144" s="50">
        <f>IF(OR('Net Income'!L144=0,'Net Income'!L144=""),"",IF('Market Cap'!L144="",0,'Market Cap'!L144/'Net Income'!L144))</f>
        <v>5.539846061736557</v>
      </c>
      <c r="M144" s="50">
        <f>IF(OR('Net Income'!M144=0,'Net Income'!M144=""),"",IF('Market Cap'!M144="",0,'Market Cap'!M144/'Net Income'!M144))</f>
        <v>4.5008333333333335</v>
      </c>
      <c r="N144" s="50">
        <f>IF(OR('Net Income'!N144=0,'Net Income'!N144=""),"",IF('Market Cap'!N144="",0,'Market Cap'!N144/'Net Income'!N144))</f>
        <v>5.5324175299397922</v>
      </c>
    </row>
    <row r="145" spans="1:14" x14ac:dyDescent="0.3">
      <c r="A145" s="8" t="s">
        <v>322</v>
      </c>
      <c r="B145" s="8" t="s">
        <v>323</v>
      </c>
      <c r="C145" s="8" t="s">
        <v>282</v>
      </c>
      <c r="D145" s="8" t="s">
        <v>279</v>
      </c>
      <c r="E145" s="50">
        <f>IF(OR('Net Income'!E145=0,'Net Income'!E145=""),"",IF('Market Cap'!E145="",0,'Market Cap'!E145/'Net Income'!E145))</f>
        <v>12.551127428508654</v>
      </c>
      <c r="F145" s="50">
        <f>IF(OR('Net Income'!F145=0,'Net Income'!F145=""),"",IF('Market Cap'!F145="",0,'Market Cap'!F145/'Net Income'!F145))</f>
        <v>13.302440983830737</v>
      </c>
      <c r="G145" s="50">
        <f>IF(OR('Net Income'!G145=0,'Net Income'!G145=""),"",IF('Market Cap'!G145="",0,'Market Cap'!G145/'Net Income'!G145))</f>
        <v>14.654063193529412</v>
      </c>
      <c r="H145" s="50"/>
      <c r="I145" s="50">
        <f>IF(OR('Net Income'!I145=0,'Net Income'!I145=""),"",IF('Market Cap'!I145="",0,'Market Cap'!I145/'Net Income'!I145))</f>
        <v>15.631015932619556</v>
      </c>
      <c r="J145" s="50"/>
      <c r="K145" s="50">
        <f>IF(OR('Net Income'!K145=0,'Net Income'!K145=""),"",IF('Market Cap'!K145="",0,'Market Cap'!K145/'Net Income'!K145))</f>
        <v>22.661917454925863</v>
      </c>
      <c r="L145" s="50">
        <f>IF(OR('Net Income'!L145=0,'Net Income'!L145=""),"",IF('Market Cap'!L145="",0,'Market Cap'!L145/'Net Income'!L145))</f>
        <v>14.165968252371133</v>
      </c>
      <c r="M145" s="50">
        <f>IF(OR('Net Income'!M145=0,'Net Income'!M145=""),"",IF('Market Cap'!M145="",0,'Market Cap'!M145/'Net Income'!M145))</f>
        <v>13.06134116918429</v>
      </c>
      <c r="N145" s="50">
        <f>IF(OR('Net Income'!N145=0,'Net Income'!N145=""),"",IF('Market Cap'!N145="",0,'Market Cap'!N145/'Net Income'!N145))</f>
        <v>11.815868351541294</v>
      </c>
    </row>
    <row r="146" spans="1:14" x14ac:dyDescent="0.3">
      <c r="A146" s="8" t="s">
        <v>324</v>
      </c>
      <c r="B146" s="8" t="s">
        <v>325</v>
      </c>
      <c r="C146" s="8" t="s">
        <v>282</v>
      </c>
      <c r="D146" s="8" t="s">
        <v>279</v>
      </c>
      <c r="E146" s="50">
        <f>IF(OR('Net Income'!E146=0,'Net Income'!E146=""),"",IF('Market Cap'!E146="",0,'Market Cap'!E146/'Net Income'!E146))</f>
        <v>4.923551631749608</v>
      </c>
      <c r="F146" s="50">
        <f>IF(OR('Net Income'!F146=0,'Net Income'!F146=""),"",IF('Market Cap'!F146="",0,'Market Cap'!F146/'Net Income'!F146))</f>
        <v>8.0850847990294064</v>
      </c>
      <c r="G146" s="50">
        <f>IF(OR('Net Income'!G146=0,'Net Income'!G146=""),"",IF('Market Cap'!G146="",0,'Market Cap'!G146/'Net Income'!G146))</f>
        <v>4.4960018050673751</v>
      </c>
      <c r="H146" s="50">
        <f>IF(OR('Net Income'!H146=0,'Net Income'!H146=""),"",IF('Market Cap'!H146="",0,'Market Cap'!H146/'Net Income'!H146))</f>
        <v>6.9525899501298678</v>
      </c>
      <c r="I146" s="50">
        <f>IF(OR('Net Income'!I146=0,'Net Income'!I146=""),"",IF('Market Cap'!I146="",0,'Market Cap'!I146/'Net Income'!I146))</f>
        <v>6.9751281266668199</v>
      </c>
      <c r="J146" s="50">
        <f>IF(OR('Net Income'!J146=0,'Net Income'!J146=""),"",IF('Market Cap'!J146="",0,'Market Cap'!J146/'Net Income'!J146))</f>
        <v>64.828409029402863</v>
      </c>
      <c r="K146" s="50">
        <f>IF(OR('Net Income'!K146=0,'Net Income'!K146=""),"",IF('Market Cap'!K146="",0,'Market Cap'!K146/'Net Income'!K146))</f>
        <v>8.9788711215974946</v>
      </c>
      <c r="L146" s="50">
        <f>IF(OR('Net Income'!L146=0,'Net Income'!L146=""),"",IF('Market Cap'!L146="",0,'Market Cap'!L146/'Net Income'!L146))</f>
        <v>64.369549155548384</v>
      </c>
      <c r="M146" s="50"/>
      <c r="N146" s="50">
        <f>IF(OR('Net Income'!N146=0,'Net Income'!N146=""),"",IF('Market Cap'!N146="",0,'Market Cap'!N146/'Net Income'!N146))</f>
        <v>9.7208814066591849</v>
      </c>
    </row>
    <row r="147" spans="1:14" x14ac:dyDescent="0.3">
      <c r="A147" s="8" t="s">
        <v>326</v>
      </c>
      <c r="B147" s="8" t="s">
        <v>327</v>
      </c>
      <c r="C147" s="8" t="s">
        <v>282</v>
      </c>
      <c r="D147" s="8" t="s">
        <v>279</v>
      </c>
      <c r="E147" s="50">
        <f>IF(OR('Net Income'!E147=0,'Net Income'!E147=""),"",IF('Market Cap'!E147="",0,'Market Cap'!E147/'Net Income'!E147))</f>
        <v>20.497176009451156</v>
      </c>
      <c r="F147" s="50">
        <f>IF(OR('Net Income'!F147=0,'Net Income'!F147=""),"",IF('Market Cap'!F147="",0,'Market Cap'!F147/'Net Income'!F147))</f>
        <v>19.93097191938158</v>
      </c>
      <c r="G147" s="50">
        <f>IF(OR('Net Income'!G147=0,'Net Income'!G147=""),"",IF('Market Cap'!G147="",0,'Market Cap'!G147/'Net Income'!G147))</f>
        <v>17.498042141659408</v>
      </c>
      <c r="H147" s="50">
        <f>IF(OR('Net Income'!H147=0,'Net Income'!H147=""),"",IF('Market Cap'!H147="",0,'Market Cap'!H147/'Net Income'!H147))</f>
        <v>18.798255076385079</v>
      </c>
      <c r="I147" s="50">
        <f>IF(OR('Net Income'!I147=0,'Net Income'!I147=""),"",IF('Market Cap'!I147="",0,'Market Cap'!I147/'Net Income'!I147))</f>
        <v>14.365712098939413</v>
      </c>
      <c r="J147" s="50">
        <f>IF(OR('Net Income'!J147=0,'Net Income'!J147=""),"",IF('Market Cap'!J147="",0,'Market Cap'!J147/'Net Income'!J147))</f>
        <v>12.28196763029316</v>
      </c>
      <c r="K147" s="50">
        <f>IF(OR('Net Income'!K147=0,'Net Income'!K147=""),"",IF('Market Cap'!K147="",0,'Market Cap'!K147/'Net Income'!K147))</f>
        <v>13.815695586941901</v>
      </c>
      <c r="L147" s="50">
        <f>IF(OR('Net Income'!L147=0,'Net Income'!L147=""),"",IF('Market Cap'!L147="",0,'Market Cap'!L147/'Net Income'!L147))</f>
        <v>12.366710911600821</v>
      </c>
      <c r="M147" s="50">
        <f>IF(OR('Net Income'!M147=0,'Net Income'!M147=""),"",IF('Market Cap'!M147="",0,'Market Cap'!M147/'Net Income'!M147))</f>
        <v>11.719027819609629</v>
      </c>
      <c r="N147" s="50">
        <f>IF(OR('Net Income'!N147=0,'Net Income'!N147=""),"",IF('Market Cap'!N147="",0,'Market Cap'!N147/'Net Income'!N147))</f>
        <v>11.58285805615845</v>
      </c>
    </row>
    <row r="148" spans="1:14" x14ac:dyDescent="0.3">
      <c r="A148" s="8" t="s">
        <v>328</v>
      </c>
      <c r="B148" s="8" t="s">
        <v>329</v>
      </c>
      <c r="C148" s="8" t="s">
        <v>282</v>
      </c>
      <c r="D148" s="8" t="s">
        <v>279</v>
      </c>
      <c r="E148" s="50">
        <f>IF(OR('Net Income'!E148=0,'Net Income'!E148=""),"",IF('Market Cap'!E148="",0,'Market Cap'!E148/'Net Income'!E148))</f>
        <v>2.5750564537872358</v>
      </c>
      <c r="F148" s="50">
        <f>IF(OR('Net Income'!F148=0,'Net Income'!F148=""),"",IF('Market Cap'!F148="",0,'Market Cap'!F148/'Net Income'!F148))</f>
        <v>9.3676379904692197</v>
      </c>
      <c r="G148" s="50">
        <f>IF(OR('Net Income'!G148=0,'Net Income'!G148=""),"",IF('Market Cap'!G148="",0,'Market Cap'!G148/'Net Income'!G148))</f>
        <v>9.997837635099966</v>
      </c>
      <c r="H148" s="50">
        <f>IF(OR('Net Income'!H148=0,'Net Income'!H148=""),"",IF('Market Cap'!H148="",0,'Market Cap'!H148/'Net Income'!H148))</f>
        <v>4.9199153664574817</v>
      </c>
      <c r="I148" s="50"/>
      <c r="J148" s="50">
        <f>IF(OR('Net Income'!J148=0,'Net Income'!J148=""),"",IF('Market Cap'!J148="",0,'Market Cap'!J148/'Net Income'!J148))</f>
        <v>32.631739922122307</v>
      </c>
      <c r="K148" s="50"/>
      <c r="L148" s="50">
        <f>IF(OR('Net Income'!L148=0,'Net Income'!L148=""),"",IF('Market Cap'!L148="",0,'Market Cap'!L148/'Net Income'!L148))</f>
        <v>14.80253899887799</v>
      </c>
      <c r="M148" s="50">
        <f>IF(OR('Net Income'!M148=0,'Net Income'!M148=""),"",IF('Market Cap'!M148="",0,'Market Cap'!M148/'Net Income'!M148))</f>
        <v>13.336767761809663</v>
      </c>
      <c r="N148" s="50">
        <f>IF(OR('Net Income'!N148=0,'Net Income'!N148=""),"",IF('Market Cap'!N148="",0,'Market Cap'!N148/'Net Income'!N148))</f>
        <v>20.605417162816543</v>
      </c>
    </row>
    <row r="149" spans="1:14" x14ac:dyDescent="0.3">
      <c r="A149" s="8" t="s">
        <v>330</v>
      </c>
      <c r="B149" s="8" t="s">
        <v>331</v>
      </c>
      <c r="C149" s="8" t="s">
        <v>282</v>
      </c>
      <c r="D149" s="8" t="s">
        <v>279</v>
      </c>
      <c r="E149" s="50" t="str">
        <f>IF(OR('Net Income'!E149=0,'Net Income'!E149=""),"",IF('Market Cap'!E149="",0,'Market Cap'!E149/'Net Income'!E149))</f>
        <v/>
      </c>
      <c r="F149" s="50" t="str">
        <f>IF(OR('Net Income'!F149=0,'Net Income'!F149=""),"",IF('Market Cap'!F149="",0,'Market Cap'!F149/'Net Income'!F149))</f>
        <v/>
      </c>
      <c r="G149" s="50" t="str">
        <f>IF(OR('Net Income'!G149=0,'Net Income'!G149=""),"",IF('Market Cap'!G149="",0,'Market Cap'!G149/'Net Income'!G149))</f>
        <v/>
      </c>
      <c r="H149" s="50">
        <f>IF(OR('Net Income'!H149=0,'Net Income'!H149=""),"",IF('Market Cap'!H149="",0,'Market Cap'!H149/'Net Income'!H149))</f>
        <v>12.112149786955097</v>
      </c>
      <c r="I149" s="50">
        <f>IF(OR('Net Income'!I149=0,'Net Income'!I149=""),"",IF('Market Cap'!I149="",0,'Market Cap'!I149/'Net Income'!I149))</f>
        <v>9.0168272067146109</v>
      </c>
      <c r="J149" s="50">
        <f>IF(OR('Net Income'!J149=0,'Net Income'!J149=""),"",IF('Market Cap'!J149="",0,'Market Cap'!J149/'Net Income'!J149))</f>
        <v>14.541854852179723</v>
      </c>
      <c r="K149" s="50">
        <f>IF(OR('Net Income'!K149=0,'Net Income'!K149=""),"",IF('Market Cap'!K149="",0,'Market Cap'!K149/'Net Income'!K149))</f>
        <v>1.5875763078039744</v>
      </c>
      <c r="L149" s="50">
        <f>IF(OR('Net Income'!L149=0,'Net Income'!L149=""),"",IF('Market Cap'!L149="",0,'Market Cap'!L149/'Net Income'!L149))</f>
        <v>9.844868360376978</v>
      </c>
      <c r="M149" s="50">
        <f>IF(OR('Net Income'!M149=0,'Net Income'!M149=""),"",IF('Market Cap'!M149="",0,'Market Cap'!M149/'Net Income'!M149))</f>
        <v>8.860249116057938</v>
      </c>
      <c r="N149" s="50">
        <f>IF(OR('Net Income'!N149=0,'Net Income'!N149=""),"",IF('Market Cap'!N149="",0,'Market Cap'!N149/'Net Income'!N149))</f>
        <v>5.6909760175569568</v>
      </c>
    </row>
    <row r="150" spans="1:14" x14ac:dyDescent="0.3">
      <c r="A150" s="8" t="s">
        <v>332</v>
      </c>
      <c r="B150" s="8" t="s">
        <v>333</v>
      </c>
      <c r="C150" s="8" t="s">
        <v>282</v>
      </c>
      <c r="D150" s="8" t="s">
        <v>279</v>
      </c>
      <c r="E150" s="50">
        <f>IF(OR('Net Income'!E150=0,'Net Income'!E150=""),"",IF('Market Cap'!E150="",0,'Market Cap'!E150/'Net Income'!E150))</f>
        <v>84.040085173041902</v>
      </c>
      <c r="F150" s="50"/>
      <c r="G150" s="50"/>
      <c r="H150" s="50"/>
      <c r="I150" s="50"/>
      <c r="J150" s="50">
        <f>IF(OR('Net Income'!J150=0,'Net Income'!J150=""),"",IF('Market Cap'!J150="",0,'Market Cap'!J150/'Net Income'!J150))</f>
        <v>9.4622182395710386</v>
      </c>
      <c r="K150" s="50">
        <f>IF(OR('Net Income'!K150=0,'Net Income'!K150=""),"",IF('Market Cap'!K150="",0,'Market Cap'!K150/'Net Income'!K150))</f>
        <v>11.095870082598347</v>
      </c>
      <c r="L150" s="50">
        <f>IF(OR('Net Income'!L150=0,'Net Income'!L150=""),"",IF('Market Cap'!L150="",0,'Market Cap'!L150/'Net Income'!L150))</f>
        <v>23.515175459923817</v>
      </c>
      <c r="M150" s="50">
        <f>IF(OR('Net Income'!M150=0,'Net Income'!M150=""),"",IF('Market Cap'!M150="",0,'Market Cap'!M150/'Net Income'!M150))</f>
        <v>664.67722075637641</v>
      </c>
      <c r="N150" s="50">
        <f>IF(OR('Net Income'!N150=0,'Net Income'!N150=""),"",IF('Market Cap'!N150="",0,'Market Cap'!N150/'Net Income'!N150))</f>
        <v>53.573672727272729</v>
      </c>
    </row>
    <row r="151" spans="1:14" x14ac:dyDescent="0.3">
      <c r="A151" s="8" t="s">
        <v>334</v>
      </c>
      <c r="B151" s="8" t="s">
        <v>335</v>
      </c>
      <c r="C151" s="8" t="s">
        <v>282</v>
      </c>
      <c r="D151" s="8" t="s">
        <v>279</v>
      </c>
      <c r="E151" s="50">
        <f>IF(OR('Net Income'!E151=0,'Net Income'!E151=""),"",IF('Market Cap'!E151="",0,'Market Cap'!E151/'Net Income'!E151))</f>
        <v>11.333860502234518</v>
      </c>
      <c r="F151" s="50">
        <f>IF(OR('Net Income'!F151=0,'Net Income'!F151=""),"",IF('Market Cap'!F151="",0,'Market Cap'!F151/'Net Income'!F151))</f>
        <v>9.7750967521306489</v>
      </c>
      <c r="G151" s="50">
        <f>IF(OR('Net Income'!G151=0,'Net Income'!G151=""),"",IF('Market Cap'!G151="",0,'Market Cap'!G151/'Net Income'!G151))</f>
        <v>10.380440421884181</v>
      </c>
      <c r="H151" s="50">
        <f>IF(OR('Net Income'!H151=0,'Net Income'!H151=""),"",IF('Market Cap'!H151="",0,'Market Cap'!H151/'Net Income'!H151))</f>
        <v>8.6722607608691522</v>
      </c>
      <c r="I151" s="50">
        <f>IF(OR('Net Income'!I151=0,'Net Income'!I151=""),"",IF('Market Cap'!I151="",0,'Market Cap'!I151/'Net Income'!I151))</f>
        <v>7.7191686233917176</v>
      </c>
      <c r="J151" s="50">
        <f>IF(OR('Net Income'!J151=0,'Net Income'!J151=""),"",IF('Market Cap'!J151="",0,'Market Cap'!J151/'Net Income'!J151))</f>
        <v>9.0678052364539941</v>
      </c>
      <c r="K151" s="50">
        <f>IF(OR('Net Income'!K151=0,'Net Income'!K151=""),"",IF('Market Cap'!K151="",0,'Market Cap'!K151/'Net Income'!K151))</f>
        <v>3.0370342462876225</v>
      </c>
      <c r="L151" s="50">
        <f>IF(OR('Net Income'!L151=0,'Net Income'!L151=""),"",IF('Market Cap'!L151="",0,'Market Cap'!L151/'Net Income'!L151))</f>
        <v>10.057375344294837</v>
      </c>
      <c r="M151" s="50">
        <f>IF(OR('Net Income'!M151=0,'Net Income'!M151=""),"",IF('Market Cap'!M151="",0,'Market Cap'!M151/'Net Income'!M151))</f>
        <v>6.1695977802688722</v>
      </c>
      <c r="N151" s="50">
        <f>IF(OR('Net Income'!N151=0,'Net Income'!N151=""),"",IF('Market Cap'!N151="",0,'Market Cap'!N151/'Net Income'!N151))</f>
        <v>7.2042442381142768</v>
      </c>
    </row>
    <row r="152" spans="1:14" x14ac:dyDescent="0.3">
      <c r="A152" s="8" t="s">
        <v>336</v>
      </c>
      <c r="B152" s="8" t="s">
        <v>337</v>
      </c>
      <c r="C152" s="8" t="s">
        <v>282</v>
      </c>
      <c r="D152" s="8" t="s">
        <v>279</v>
      </c>
      <c r="E152" s="50">
        <f>IF(OR('Net Income'!E152=0,'Net Income'!E152=""),"",IF('Market Cap'!E152="",0,'Market Cap'!E152/'Net Income'!E152))</f>
        <v>57.973707770861019</v>
      </c>
      <c r="F152" s="50">
        <f>IF(OR('Net Income'!F152=0,'Net Income'!F152=""),"",IF('Market Cap'!F152="",0,'Market Cap'!F152/'Net Income'!F152))</f>
        <v>42.529862549800797</v>
      </c>
      <c r="G152" s="50">
        <f>IF(OR('Net Income'!G152=0,'Net Income'!G152=""),"",IF('Market Cap'!G152="",0,'Market Cap'!G152/'Net Income'!G152))</f>
        <v>14.254689550020501</v>
      </c>
      <c r="H152" s="50">
        <f>IF(OR('Net Income'!H152=0,'Net Income'!H152=""),"",IF('Market Cap'!H152="",0,'Market Cap'!H152/'Net Income'!H152))</f>
        <v>10.083888884202358</v>
      </c>
      <c r="I152" s="50"/>
      <c r="J152" s="50">
        <f>IF(OR('Net Income'!J152=0,'Net Income'!J152=""),"",IF('Market Cap'!J152="",0,'Market Cap'!J152/'Net Income'!J152))</f>
        <v>49.790833452262021</v>
      </c>
      <c r="K152" s="50">
        <f>IF(OR('Net Income'!K152=0,'Net Income'!K152=""),"",IF('Market Cap'!K152="",0,'Market Cap'!K152/'Net Income'!K152))</f>
        <v>5.3861916269440195</v>
      </c>
      <c r="L152" s="50">
        <f>IF(OR('Net Income'!L152=0,'Net Income'!L152=""),"",IF('Market Cap'!L152="",0,'Market Cap'!L152/'Net Income'!L152))</f>
        <v>4.280529444981962</v>
      </c>
      <c r="M152" s="50">
        <f>IF(OR('Net Income'!M152=0,'Net Income'!M152=""),"",IF('Market Cap'!M152="",0,'Market Cap'!M152/'Net Income'!M152))</f>
        <v>11.6474593210829</v>
      </c>
      <c r="N152" s="50">
        <f>IF(OR('Net Income'!N152=0,'Net Income'!N152=""),"",IF('Market Cap'!N152="",0,'Market Cap'!N152/'Net Income'!N152))</f>
        <v>10.474583900136032</v>
      </c>
    </row>
    <row r="153" spans="1:14" x14ac:dyDescent="0.3">
      <c r="A153" s="8" t="s">
        <v>338</v>
      </c>
      <c r="B153" s="8" t="s">
        <v>339</v>
      </c>
      <c r="C153" s="8" t="s">
        <v>282</v>
      </c>
      <c r="D153" s="8" t="s">
        <v>279</v>
      </c>
      <c r="E153" s="50">
        <f>IF(OR('Net Income'!E153=0,'Net Income'!E153=""),"",IF('Market Cap'!E153="",0,'Market Cap'!E153/'Net Income'!E153))</f>
        <v>36.110569942955223</v>
      </c>
      <c r="F153" s="50">
        <f>IF(OR('Net Income'!F153=0,'Net Income'!F153=""),"",IF('Market Cap'!F153="",0,'Market Cap'!F153/'Net Income'!F153))</f>
        <v>23.172686956188432</v>
      </c>
      <c r="G153" s="50">
        <f>IF(OR('Net Income'!G153=0,'Net Income'!G153=""),"",IF('Market Cap'!G153="",0,'Market Cap'!G153/'Net Income'!G153))</f>
        <v>44.757856272838005</v>
      </c>
      <c r="H153" s="50">
        <f>IF(OR('Net Income'!H153=0,'Net Income'!H153=""),"",IF('Market Cap'!H153="",0,'Market Cap'!H153/'Net Income'!H153))</f>
        <v>49.949223246716961</v>
      </c>
      <c r="I153" s="50">
        <f>IF(OR('Net Income'!I153=0,'Net Income'!I153=""),"",IF('Market Cap'!I153="",0,'Market Cap'!I153/'Net Income'!I153))</f>
        <v>34.282891553993835</v>
      </c>
      <c r="J153" s="50">
        <f>IF(OR('Net Income'!J153=0,'Net Income'!J153=""),"",IF('Market Cap'!J153="",0,'Market Cap'!J153/'Net Income'!J153))</f>
        <v>34.379831960299391</v>
      </c>
      <c r="K153" s="50">
        <f>IF(OR('Net Income'!K153=0,'Net Income'!K153=""),"",IF('Market Cap'!K153="",0,'Market Cap'!K153/'Net Income'!K153))</f>
        <v>26.710839642794149</v>
      </c>
      <c r="L153" s="50">
        <f>IF(OR('Net Income'!L153=0,'Net Income'!L153=""),"",IF('Market Cap'!L153="",0,'Market Cap'!L153/'Net Income'!L153))</f>
        <v>9.6559003150213609</v>
      </c>
      <c r="M153" s="50">
        <f>IF(OR('Net Income'!M153=0,'Net Income'!M153=""),"",IF('Market Cap'!M153="",0,'Market Cap'!M153/'Net Income'!M153))</f>
        <v>18.314338152464259</v>
      </c>
      <c r="N153" s="50">
        <f>IF(OR('Net Income'!N153=0,'Net Income'!N153=""),"",IF('Market Cap'!N153="",0,'Market Cap'!N153/'Net Income'!N153))</f>
        <v>23.57677896420979</v>
      </c>
    </row>
    <row r="154" spans="1:14" x14ac:dyDescent="0.3">
      <c r="A154" s="8" t="s">
        <v>340</v>
      </c>
      <c r="B154" s="8" t="s">
        <v>341</v>
      </c>
      <c r="C154" s="8" t="s">
        <v>282</v>
      </c>
      <c r="D154" s="8" t="s">
        <v>279</v>
      </c>
      <c r="E154" s="50">
        <f>IF(OR('Net Income'!E154=0,'Net Income'!E154=""),"",IF('Market Cap'!E154="",0,'Market Cap'!E154/'Net Income'!E154))</f>
        <v>11.365958529278942</v>
      </c>
      <c r="F154" s="50">
        <f>IF(OR('Net Income'!F154=0,'Net Income'!F154=""),"",IF('Market Cap'!F154="",0,'Market Cap'!F154/'Net Income'!F154))</f>
        <v>10.208066305756292</v>
      </c>
      <c r="G154" s="50">
        <f>IF(OR('Net Income'!G154=0,'Net Income'!G154=""),"",IF('Market Cap'!G154="",0,'Market Cap'!G154/'Net Income'!G154))</f>
        <v>11.843489125308107</v>
      </c>
      <c r="H154" s="50">
        <f>IF(OR('Net Income'!H154=0,'Net Income'!H154=""),"",IF('Market Cap'!H154="",0,'Market Cap'!H154/'Net Income'!H154))</f>
        <v>21.678943986226926</v>
      </c>
      <c r="I154" s="50">
        <f>IF(OR('Net Income'!I154=0,'Net Income'!I154=""),"",IF('Market Cap'!I154="",0,'Market Cap'!I154/'Net Income'!I154))</f>
        <v>35.594066306396883</v>
      </c>
      <c r="J154" s="50">
        <f>IF(OR('Net Income'!J154=0,'Net Income'!J154=""),"",IF('Market Cap'!J154="",0,'Market Cap'!J154/'Net Income'!J154))</f>
        <v>97.121112482738212</v>
      </c>
      <c r="K154" s="50">
        <f>IF(OR('Net Income'!K154=0,'Net Income'!K154=""),"",IF('Market Cap'!K154="",0,'Market Cap'!K154/'Net Income'!K154))</f>
        <v>44.533387008431355</v>
      </c>
      <c r="L154" s="50">
        <f>IF(OR('Net Income'!L154=0,'Net Income'!L154=""),"",IF('Market Cap'!L154="",0,'Market Cap'!L154/'Net Income'!L154))</f>
        <v>23.755788523343107</v>
      </c>
      <c r="M154" s="50">
        <f>IF(OR('Net Income'!M154=0,'Net Income'!M154=""),"",IF('Market Cap'!M154="",0,'Market Cap'!M154/'Net Income'!M154))</f>
        <v>21.628235485611174</v>
      </c>
      <c r="N154" s="50">
        <f>IF(OR('Net Income'!N154=0,'Net Income'!N154=""),"",IF('Market Cap'!N154="",0,'Market Cap'!N154/'Net Income'!N154))</f>
        <v>11.026653241248562</v>
      </c>
    </row>
    <row r="155" spans="1:14" x14ac:dyDescent="0.3">
      <c r="A155" s="8" t="s">
        <v>342</v>
      </c>
      <c r="B155" s="8" t="s">
        <v>343</v>
      </c>
      <c r="C155" s="8" t="s">
        <v>282</v>
      </c>
      <c r="D155" s="8" t="s">
        <v>279</v>
      </c>
      <c r="E155" s="50">
        <f>IF(OR('Net Income'!E155=0,'Net Income'!E155=""),"",IF('Market Cap'!E155="",0,'Market Cap'!E155/'Net Income'!E155))</f>
        <v>17.980582523609577</v>
      </c>
      <c r="F155" s="50">
        <f>IF(OR('Net Income'!F155=0,'Net Income'!F155=""),"",IF('Market Cap'!F155="",0,'Market Cap'!F155/'Net Income'!F155))</f>
        <v>15.104663440970942</v>
      </c>
      <c r="G155" s="50">
        <f>IF(OR('Net Income'!G155=0,'Net Income'!G155=""),"",IF('Market Cap'!G155="",0,'Market Cap'!G155/'Net Income'!G155))</f>
        <v>12.852657278140805</v>
      </c>
      <c r="H155" s="50">
        <f>IF(OR('Net Income'!H155=0,'Net Income'!H155=""),"",IF('Market Cap'!H155="",0,'Market Cap'!H155/'Net Income'!H155))</f>
        <v>15.022388065850389</v>
      </c>
      <c r="I155" s="50">
        <f>IF(OR('Net Income'!I155=0,'Net Income'!I155=""),"",IF('Market Cap'!I155="",0,'Market Cap'!I155/'Net Income'!I155))</f>
        <v>147.29656645280701</v>
      </c>
      <c r="J155" s="50">
        <f>IF(OR('Net Income'!J155=0,'Net Income'!J155=""),"",IF('Market Cap'!J155="",0,'Market Cap'!J155/'Net Income'!J155))</f>
        <v>16.97463928977762</v>
      </c>
      <c r="K155" s="50">
        <f>IF(OR('Net Income'!K155=0,'Net Income'!K155=""),"",IF('Market Cap'!K155="",0,'Market Cap'!K155/'Net Income'!K155))</f>
        <v>14.902254150940765</v>
      </c>
      <c r="L155" s="50">
        <f>IF(OR('Net Income'!L155=0,'Net Income'!L155=""),"",IF('Market Cap'!L155="",0,'Market Cap'!L155/'Net Income'!L155))</f>
        <v>7.3487278581818183</v>
      </c>
      <c r="M155" s="50">
        <f>IF(OR('Net Income'!M155=0,'Net Income'!M155=""),"",IF('Market Cap'!M155="",0,'Market Cap'!M155/'Net Income'!M155))</f>
        <v>26.333408236010779</v>
      </c>
      <c r="N155" s="50">
        <f>IF(OR('Net Income'!N155=0,'Net Income'!N155=""),"",IF('Market Cap'!N155="",0,'Market Cap'!N155/'Net Income'!N155))</f>
        <v>11.668539322505296</v>
      </c>
    </row>
    <row r="156" spans="1:14" x14ac:dyDescent="0.3">
      <c r="A156" s="8" t="s">
        <v>344</v>
      </c>
      <c r="B156" s="8" t="s">
        <v>345</v>
      </c>
      <c r="C156" s="8" t="s">
        <v>282</v>
      </c>
      <c r="D156" s="8" t="s">
        <v>279</v>
      </c>
      <c r="E156" s="50" t="str">
        <f>IF(OR('Net Income'!E156=0,'Net Income'!E156=""),"",IF('Market Cap'!E156="",0,'Market Cap'!E156/'Net Income'!E156))</f>
        <v/>
      </c>
      <c r="F156" s="50" t="str">
        <f>IF(OR('Net Income'!F156=0,'Net Income'!F156=""),"",IF('Market Cap'!F156="",0,'Market Cap'!F156/'Net Income'!F156))</f>
        <v/>
      </c>
      <c r="G156" s="50" t="str">
        <f>IF(OR('Net Income'!G156=0,'Net Income'!G156=""),"",IF('Market Cap'!G156="",0,'Market Cap'!G156/'Net Income'!G156))</f>
        <v/>
      </c>
      <c r="H156" s="50" t="str">
        <f>IF(OR('Net Income'!H156=0,'Net Income'!H156=""),"",IF('Market Cap'!H156="",0,'Market Cap'!H156/'Net Income'!H156))</f>
        <v/>
      </c>
      <c r="I156" s="50" t="str">
        <f>IF(OR('Net Income'!I156=0,'Net Income'!I156=""),"",IF('Market Cap'!I156="",0,'Market Cap'!I156/'Net Income'!I156))</f>
        <v/>
      </c>
      <c r="J156" s="50" t="str">
        <f>IF(OR('Net Income'!J156=0,'Net Income'!J156=""),"",IF('Market Cap'!J156="",0,'Market Cap'!J156/'Net Income'!J156))</f>
        <v/>
      </c>
      <c r="K156" s="50" t="str">
        <f>IF(OR('Net Income'!K156=0,'Net Income'!K156=""),"",IF('Market Cap'!K156="",0,'Market Cap'!K156/'Net Income'!K156))</f>
        <v/>
      </c>
      <c r="L156" s="50" t="str">
        <f>IF(OR('Net Income'!L156=0,'Net Income'!L156=""),"",IF('Market Cap'!L156="",0,'Market Cap'!L156/'Net Income'!L156))</f>
        <v/>
      </c>
      <c r="M156" s="50" t="str">
        <f>IF(OR('Net Income'!M156=0,'Net Income'!M156=""),"",IF('Market Cap'!M156="",0,'Market Cap'!M156/'Net Income'!M156))</f>
        <v/>
      </c>
      <c r="N156" s="50" t="str">
        <f>IF(OR('Net Income'!N156=0,'Net Income'!N156=""),"",IF('Market Cap'!N156="",0,'Market Cap'!N156/'Net Income'!N156))</f>
        <v/>
      </c>
    </row>
  </sheetData>
  <mergeCells count="2">
    <mergeCell ref="A1:N1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7D1F-74E5-42AA-8C46-89B36B6A0746}">
  <dimension ref="A1:G572"/>
  <sheetViews>
    <sheetView zoomScale="82" workbookViewId="0">
      <pane ySplit="1" topLeftCell="A2" activePane="bottomLeft" state="frozen"/>
      <selection pane="bottomLeft" activeCell="L7" sqref="L7"/>
    </sheetView>
  </sheetViews>
  <sheetFormatPr defaultRowHeight="14.4" x14ac:dyDescent="0.3"/>
  <cols>
    <col min="1" max="1" width="20.109375" bestFit="1" customWidth="1"/>
    <col min="2" max="2" width="9.5546875" bestFit="1" customWidth="1"/>
    <col min="3" max="3" width="26.33203125" bestFit="1" customWidth="1"/>
    <col min="4" max="4" width="6.77734375" customWidth="1"/>
    <col min="5" max="5" width="12.6640625" bestFit="1" customWidth="1"/>
    <col min="6" max="6" width="14.21875" bestFit="1" customWidth="1"/>
    <col min="7" max="7" width="38.77734375" bestFit="1" customWidth="1"/>
  </cols>
  <sheetData>
    <row r="1" spans="1:7" x14ac:dyDescent="0.3">
      <c r="A1" s="44" t="s">
        <v>366</v>
      </c>
      <c r="B1" s="44" t="s">
        <v>29</v>
      </c>
      <c r="C1" s="44" t="s">
        <v>30</v>
      </c>
      <c r="D1" s="44" t="s">
        <v>367</v>
      </c>
      <c r="E1" s="44" t="s">
        <v>368</v>
      </c>
      <c r="F1" s="44" t="s">
        <v>369</v>
      </c>
      <c r="G1" s="44" t="s">
        <v>370</v>
      </c>
    </row>
    <row r="2" spans="1:7" x14ac:dyDescent="0.3">
      <c r="A2" t="s">
        <v>371</v>
      </c>
      <c r="B2" t="s">
        <v>44</v>
      </c>
      <c r="C2" t="s">
        <v>45</v>
      </c>
      <c r="D2">
        <v>2016</v>
      </c>
      <c r="E2">
        <v>224000000</v>
      </c>
      <c r="F2" s="45" t="s">
        <v>372</v>
      </c>
      <c r="G2" t="s">
        <v>373</v>
      </c>
    </row>
    <row r="3" spans="1:7" x14ac:dyDescent="0.3">
      <c r="A3" t="s">
        <v>371</v>
      </c>
      <c r="B3" t="s">
        <v>51</v>
      </c>
      <c r="C3" t="s">
        <v>52</v>
      </c>
      <c r="D3">
        <v>2019</v>
      </c>
      <c r="E3">
        <v>370011000</v>
      </c>
      <c r="F3" s="45" t="s">
        <v>372</v>
      </c>
      <c r="G3" t="s">
        <v>374</v>
      </c>
    </row>
    <row r="4" spans="1:7" x14ac:dyDescent="0.3">
      <c r="A4" t="s">
        <v>371</v>
      </c>
      <c r="B4" t="s">
        <v>57</v>
      </c>
      <c r="C4" t="s">
        <v>58</v>
      </c>
      <c r="D4">
        <v>2016</v>
      </c>
      <c r="E4">
        <v>-1681660000</v>
      </c>
      <c r="F4" s="45" t="s">
        <v>372</v>
      </c>
      <c r="G4" t="s">
        <v>375</v>
      </c>
    </row>
    <row r="5" spans="1:7" x14ac:dyDescent="0.3">
      <c r="A5" t="s">
        <v>371</v>
      </c>
      <c r="B5" t="s">
        <v>57</v>
      </c>
      <c r="C5" t="s">
        <v>58</v>
      </c>
      <c r="D5">
        <v>2017</v>
      </c>
      <c r="E5">
        <v>2616362000</v>
      </c>
      <c r="F5" s="45" t="s">
        <v>372</v>
      </c>
      <c r="G5" t="s">
        <v>376</v>
      </c>
    </row>
    <row r="6" spans="1:7" x14ac:dyDescent="0.3">
      <c r="A6" t="s">
        <v>371</v>
      </c>
      <c r="B6" t="s">
        <v>57</v>
      </c>
      <c r="C6" t="s">
        <v>58</v>
      </c>
      <c r="D6">
        <v>2018</v>
      </c>
      <c r="E6">
        <v>-59432000</v>
      </c>
      <c r="F6" s="45" t="s">
        <v>372</v>
      </c>
      <c r="G6" t="s">
        <v>377</v>
      </c>
    </row>
    <row r="7" spans="1:7" x14ac:dyDescent="0.3">
      <c r="A7" t="s">
        <v>371</v>
      </c>
      <c r="B7" t="s">
        <v>57</v>
      </c>
      <c r="C7" t="s">
        <v>58</v>
      </c>
      <c r="D7">
        <v>2019</v>
      </c>
      <c r="E7">
        <v>797001000</v>
      </c>
      <c r="F7" s="45" t="s">
        <v>372</v>
      </c>
      <c r="G7" t="s">
        <v>378</v>
      </c>
    </row>
    <row r="8" spans="1:7" x14ac:dyDescent="0.3">
      <c r="A8" t="s">
        <v>371</v>
      </c>
      <c r="B8" t="s">
        <v>57</v>
      </c>
      <c r="C8" t="s">
        <v>58</v>
      </c>
      <c r="D8">
        <v>2021</v>
      </c>
      <c r="E8">
        <v>569068000</v>
      </c>
      <c r="F8" s="45" t="s">
        <v>372</v>
      </c>
      <c r="G8" t="s">
        <v>379</v>
      </c>
    </row>
    <row r="9" spans="1:7" x14ac:dyDescent="0.3">
      <c r="A9" t="s">
        <v>371</v>
      </c>
      <c r="B9" t="s">
        <v>59</v>
      </c>
      <c r="C9" t="s">
        <v>60</v>
      </c>
      <c r="D9">
        <v>2017</v>
      </c>
      <c r="E9">
        <v>176438000</v>
      </c>
      <c r="F9" s="45" t="s">
        <v>372</v>
      </c>
      <c r="G9" t="s">
        <v>380</v>
      </c>
    </row>
    <row r="10" spans="1:7" x14ac:dyDescent="0.3">
      <c r="A10" t="s">
        <v>371</v>
      </c>
      <c r="B10" t="s">
        <v>65</v>
      </c>
      <c r="C10" t="s">
        <v>66</v>
      </c>
      <c r="D10">
        <v>2016</v>
      </c>
      <c r="E10">
        <v>-252000000</v>
      </c>
      <c r="F10" s="45" t="s">
        <v>372</v>
      </c>
      <c r="G10" t="s">
        <v>377</v>
      </c>
    </row>
    <row r="11" spans="1:7" x14ac:dyDescent="0.3">
      <c r="A11" t="s">
        <v>371</v>
      </c>
      <c r="B11" t="s">
        <v>65</v>
      </c>
      <c r="C11" t="s">
        <v>66</v>
      </c>
      <c r="D11">
        <v>2017</v>
      </c>
      <c r="E11">
        <v>295000000</v>
      </c>
      <c r="F11" s="45" t="s">
        <v>372</v>
      </c>
      <c r="G11" t="s">
        <v>381</v>
      </c>
    </row>
    <row r="12" spans="1:7" x14ac:dyDescent="0.3">
      <c r="A12" t="s">
        <v>371</v>
      </c>
      <c r="B12" t="s">
        <v>65</v>
      </c>
      <c r="C12" t="s">
        <v>66</v>
      </c>
      <c r="D12">
        <v>2018</v>
      </c>
      <c r="E12">
        <v>1068000000</v>
      </c>
      <c r="F12" s="45" t="s">
        <v>372</v>
      </c>
      <c r="G12" t="s">
        <v>382</v>
      </c>
    </row>
    <row r="13" spans="1:7" x14ac:dyDescent="0.3">
      <c r="A13" t="s">
        <v>371</v>
      </c>
      <c r="B13" t="s">
        <v>65</v>
      </c>
      <c r="C13" t="s">
        <v>66</v>
      </c>
      <c r="D13">
        <v>2020</v>
      </c>
      <c r="E13">
        <v>-455000000</v>
      </c>
      <c r="F13" s="45" t="s">
        <v>372</v>
      </c>
      <c r="G13" t="s">
        <v>377</v>
      </c>
    </row>
    <row r="14" spans="1:7" x14ac:dyDescent="0.3">
      <c r="A14" t="s">
        <v>371</v>
      </c>
      <c r="B14" t="s">
        <v>65</v>
      </c>
      <c r="C14" t="s">
        <v>66</v>
      </c>
      <c r="D14">
        <v>2021</v>
      </c>
      <c r="E14">
        <v>1723000000</v>
      </c>
      <c r="F14" s="45" t="s">
        <v>372</v>
      </c>
      <c r="G14" t="s">
        <v>383</v>
      </c>
    </row>
    <row r="15" spans="1:7" x14ac:dyDescent="0.3">
      <c r="A15" t="s">
        <v>371</v>
      </c>
      <c r="B15" t="s">
        <v>71</v>
      </c>
      <c r="C15" t="s">
        <v>72</v>
      </c>
      <c r="D15">
        <v>2017</v>
      </c>
      <c r="E15">
        <v>3374000000</v>
      </c>
      <c r="F15" s="45" t="s">
        <v>372</v>
      </c>
      <c r="G15" t="s">
        <v>384</v>
      </c>
    </row>
    <row r="16" spans="1:7" x14ac:dyDescent="0.3">
      <c r="A16" t="s">
        <v>371</v>
      </c>
      <c r="B16" t="s">
        <v>71</v>
      </c>
      <c r="C16" t="s">
        <v>72</v>
      </c>
      <c r="D16">
        <v>2020</v>
      </c>
      <c r="E16">
        <v>-8635000000</v>
      </c>
      <c r="F16" s="45" t="s">
        <v>372</v>
      </c>
      <c r="G16" t="s">
        <v>385</v>
      </c>
    </row>
    <row r="17" spans="1:7" x14ac:dyDescent="0.3">
      <c r="A17" t="s">
        <v>371</v>
      </c>
      <c r="B17" t="s">
        <v>71</v>
      </c>
      <c r="C17" t="s">
        <v>72</v>
      </c>
      <c r="D17">
        <v>2021</v>
      </c>
      <c r="E17">
        <v>5821000000</v>
      </c>
      <c r="F17" s="45" t="s">
        <v>372</v>
      </c>
      <c r="G17" t="s">
        <v>377</v>
      </c>
    </row>
    <row r="18" spans="1:7" x14ac:dyDescent="0.3">
      <c r="A18" t="s">
        <v>371</v>
      </c>
      <c r="B18" t="s">
        <v>97</v>
      </c>
      <c r="C18" t="s">
        <v>98</v>
      </c>
      <c r="D18">
        <v>2022</v>
      </c>
      <c r="E18">
        <v>140023000</v>
      </c>
      <c r="F18" s="45" t="s">
        <v>372</v>
      </c>
      <c r="G18" t="s">
        <v>386</v>
      </c>
    </row>
    <row r="19" spans="1:7" x14ac:dyDescent="0.3">
      <c r="A19" t="s">
        <v>371</v>
      </c>
      <c r="B19" t="s">
        <v>97</v>
      </c>
      <c r="C19" t="s">
        <v>98</v>
      </c>
      <c r="D19">
        <v>2023</v>
      </c>
      <c r="E19">
        <v>-1027145000</v>
      </c>
      <c r="F19" s="45" t="s">
        <v>372</v>
      </c>
      <c r="G19" t="s">
        <v>387</v>
      </c>
    </row>
    <row r="20" spans="1:7" x14ac:dyDescent="0.3">
      <c r="A20" t="s">
        <v>371</v>
      </c>
      <c r="B20" t="s">
        <v>97</v>
      </c>
      <c r="C20" t="s">
        <v>98</v>
      </c>
      <c r="D20">
        <v>2024</v>
      </c>
      <c r="E20">
        <v>167361000</v>
      </c>
      <c r="F20" s="45" t="s">
        <v>372</v>
      </c>
      <c r="G20" t="s">
        <v>377</v>
      </c>
    </row>
    <row r="21" spans="1:7" x14ac:dyDescent="0.3">
      <c r="A21" t="s">
        <v>371</v>
      </c>
      <c r="B21" t="s">
        <v>99</v>
      </c>
      <c r="C21" t="s">
        <v>100</v>
      </c>
      <c r="D21">
        <v>2021</v>
      </c>
      <c r="E21">
        <v>302796000</v>
      </c>
      <c r="F21" s="45" t="s">
        <v>372</v>
      </c>
      <c r="G21" t="s">
        <v>388</v>
      </c>
    </row>
    <row r="22" spans="1:7" x14ac:dyDescent="0.3">
      <c r="A22" t="s">
        <v>371</v>
      </c>
      <c r="B22" t="s">
        <v>105</v>
      </c>
      <c r="C22" t="s">
        <v>106</v>
      </c>
      <c r="D22">
        <v>2019</v>
      </c>
      <c r="E22">
        <v>98000000</v>
      </c>
      <c r="F22" s="45" t="s">
        <v>372</v>
      </c>
      <c r="G22" t="s">
        <v>377</v>
      </c>
    </row>
    <row r="23" spans="1:7" x14ac:dyDescent="0.3">
      <c r="A23" t="s">
        <v>371</v>
      </c>
      <c r="B23" t="s">
        <v>105</v>
      </c>
      <c r="C23" t="s">
        <v>106</v>
      </c>
      <c r="D23">
        <v>2020</v>
      </c>
      <c r="E23">
        <v>-1117000000</v>
      </c>
      <c r="F23" s="45" t="s">
        <v>372</v>
      </c>
      <c r="G23" t="s">
        <v>389</v>
      </c>
    </row>
    <row r="24" spans="1:7" x14ac:dyDescent="0.3">
      <c r="A24" t="s">
        <v>371</v>
      </c>
      <c r="B24" t="s">
        <v>105</v>
      </c>
      <c r="C24" t="s">
        <v>106</v>
      </c>
      <c r="D24">
        <v>2023</v>
      </c>
      <c r="E24">
        <v>179000000</v>
      </c>
      <c r="F24" s="45" t="s">
        <v>372</v>
      </c>
      <c r="G24" t="s">
        <v>377</v>
      </c>
    </row>
    <row r="25" spans="1:7" x14ac:dyDescent="0.3">
      <c r="A25" t="s">
        <v>371</v>
      </c>
      <c r="B25" t="s">
        <v>109</v>
      </c>
      <c r="C25" t="s">
        <v>110</v>
      </c>
      <c r="D25">
        <v>2016</v>
      </c>
      <c r="E25">
        <v>1803000000</v>
      </c>
      <c r="F25" s="45" t="s">
        <v>372</v>
      </c>
      <c r="G25" t="s">
        <v>390</v>
      </c>
    </row>
    <row r="26" spans="1:7" x14ac:dyDescent="0.3">
      <c r="A26" t="s">
        <v>371</v>
      </c>
      <c r="B26" t="s">
        <v>109</v>
      </c>
      <c r="C26" t="s">
        <v>110</v>
      </c>
      <c r="D26">
        <v>2021</v>
      </c>
      <c r="E26">
        <v>14200000000</v>
      </c>
      <c r="F26" s="45" t="s">
        <v>372</v>
      </c>
      <c r="G26" t="s">
        <v>391</v>
      </c>
    </row>
    <row r="27" spans="1:7" x14ac:dyDescent="0.3">
      <c r="A27" t="s">
        <v>371</v>
      </c>
      <c r="B27" t="s">
        <v>111</v>
      </c>
      <c r="C27" t="s">
        <v>112</v>
      </c>
      <c r="D27">
        <v>2018</v>
      </c>
      <c r="E27">
        <v>1629000000</v>
      </c>
      <c r="F27" s="45" t="s">
        <v>372</v>
      </c>
      <c r="G27" t="s">
        <v>392</v>
      </c>
    </row>
    <row r="28" spans="1:7" x14ac:dyDescent="0.3">
      <c r="A28" t="s">
        <v>371</v>
      </c>
      <c r="B28" t="s">
        <v>113</v>
      </c>
      <c r="C28" t="s">
        <v>114</v>
      </c>
      <c r="D28">
        <v>2016</v>
      </c>
      <c r="E28">
        <v>55298000</v>
      </c>
      <c r="F28" s="45" t="s">
        <v>372</v>
      </c>
      <c r="G28" t="s">
        <v>377</v>
      </c>
    </row>
    <row r="29" spans="1:7" x14ac:dyDescent="0.3">
      <c r="A29" t="s">
        <v>371</v>
      </c>
      <c r="B29" t="s">
        <v>113</v>
      </c>
      <c r="C29" t="s">
        <v>114</v>
      </c>
      <c r="D29">
        <v>2017</v>
      </c>
      <c r="E29">
        <v>544737000</v>
      </c>
      <c r="F29" s="45" t="s">
        <v>372</v>
      </c>
      <c r="G29" t="s">
        <v>393</v>
      </c>
    </row>
    <row r="30" spans="1:7" x14ac:dyDescent="0.3">
      <c r="A30" t="s">
        <v>371</v>
      </c>
      <c r="B30" t="s">
        <v>113</v>
      </c>
      <c r="C30" t="s">
        <v>114</v>
      </c>
      <c r="D30">
        <v>2020</v>
      </c>
      <c r="E30">
        <v>-642417000</v>
      </c>
      <c r="F30" s="45" t="s">
        <v>372</v>
      </c>
      <c r="G30" t="s">
        <v>377</v>
      </c>
    </row>
    <row r="31" spans="1:7" x14ac:dyDescent="0.3">
      <c r="A31" t="s">
        <v>371</v>
      </c>
      <c r="B31" t="s">
        <v>113</v>
      </c>
      <c r="C31" t="s">
        <v>114</v>
      </c>
      <c r="D31">
        <v>2021</v>
      </c>
      <c r="E31">
        <v>1100191000</v>
      </c>
      <c r="F31" s="45" t="s">
        <v>372</v>
      </c>
      <c r="G31" t="s">
        <v>394</v>
      </c>
    </row>
    <row r="32" spans="1:7" x14ac:dyDescent="0.3">
      <c r="A32" t="s">
        <v>371</v>
      </c>
      <c r="B32" t="s">
        <v>117</v>
      </c>
      <c r="C32" t="s">
        <v>118</v>
      </c>
      <c r="D32">
        <v>2016</v>
      </c>
      <c r="E32">
        <v>-11790094000</v>
      </c>
      <c r="F32" s="45" t="s">
        <v>372</v>
      </c>
      <c r="G32" t="s">
        <v>395</v>
      </c>
    </row>
    <row r="33" spans="1:7" x14ac:dyDescent="0.3">
      <c r="A33" t="s">
        <v>371</v>
      </c>
      <c r="B33" t="s">
        <v>117</v>
      </c>
      <c r="C33" t="s">
        <v>118</v>
      </c>
      <c r="D33">
        <v>2017</v>
      </c>
      <c r="E33">
        <v>5473075000</v>
      </c>
      <c r="F33" s="45" t="s">
        <v>372</v>
      </c>
      <c r="G33" t="s">
        <v>377</v>
      </c>
    </row>
    <row r="34" spans="1:7" x14ac:dyDescent="0.3">
      <c r="A34" t="s">
        <v>371</v>
      </c>
      <c r="B34" t="s">
        <v>117</v>
      </c>
      <c r="C34" t="s">
        <v>118</v>
      </c>
      <c r="D34">
        <v>2020</v>
      </c>
      <c r="E34">
        <v>-2785000000</v>
      </c>
      <c r="F34" s="45" t="s">
        <v>372</v>
      </c>
      <c r="G34" t="s">
        <v>377</v>
      </c>
    </row>
    <row r="35" spans="1:7" x14ac:dyDescent="0.3">
      <c r="A35" t="s">
        <v>371</v>
      </c>
      <c r="B35" t="s">
        <v>117</v>
      </c>
      <c r="C35" t="s">
        <v>118</v>
      </c>
      <c r="D35">
        <v>2021</v>
      </c>
      <c r="E35">
        <v>2096000000</v>
      </c>
      <c r="F35" s="45" t="s">
        <v>372</v>
      </c>
      <c r="G35" t="s">
        <v>377</v>
      </c>
    </row>
    <row r="36" spans="1:7" x14ac:dyDescent="0.3">
      <c r="A36" t="s">
        <v>371</v>
      </c>
      <c r="B36" t="s">
        <v>117</v>
      </c>
      <c r="C36" t="s">
        <v>118</v>
      </c>
      <c r="D36">
        <v>2022</v>
      </c>
      <c r="E36">
        <v>6458000000</v>
      </c>
      <c r="F36" s="45" t="s">
        <v>372</v>
      </c>
      <c r="G36" t="s">
        <v>396</v>
      </c>
    </row>
    <row r="37" spans="1:7" x14ac:dyDescent="0.3">
      <c r="A37" t="s">
        <v>371</v>
      </c>
      <c r="B37" t="s">
        <v>119</v>
      </c>
      <c r="C37" t="s">
        <v>120</v>
      </c>
      <c r="D37">
        <v>2017</v>
      </c>
      <c r="E37">
        <v>-169100000</v>
      </c>
      <c r="F37" s="45" t="s">
        <v>372</v>
      </c>
      <c r="G37" t="s">
        <v>377</v>
      </c>
    </row>
    <row r="38" spans="1:7" x14ac:dyDescent="0.3">
      <c r="A38" t="s">
        <v>371</v>
      </c>
      <c r="B38" t="s">
        <v>119</v>
      </c>
      <c r="C38" t="s">
        <v>120</v>
      </c>
      <c r="D38">
        <v>2018</v>
      </c>
      <c r="E38">
        <v>932800000</v>
      </c>
      <c r="F38" s="45" t="s">
        <v>372</v>
      </c>
      <c r="G38" t="s">
        <v>397</v>
      </c>
    </row>
    <row r="39" spans="1:7" x14ac:dyDescent="0.3">
      <c r="A39" t="s">
        <v>371</v>
      </c>
      <c r="B39" t="s">
        <v>122</v>
      </c>
      <c r="C39" t="s">
        <v>123</v>
      </c>
      <c r="D39">
        <v>2021</v>
      </c>
      <c r="E39">
        <v>1492000000</v>
      </c>
      <c r="F39" s="45" t="s">
        <v>372</v>
      </c>
      <c r="G39" t="s">
        <v>398</v>
      </c>
    </row>
    <row r="40" spans="1:7" x14ac:dyDescent="0.3">
      <c r="A40" t="s">
        <v>371</v>
      </c>
      <c r="B40" t="s">
        <v>122</v>
      </c>
      <c r="C40" t="s">
        <v>123</v>
      </c>
      <c r="D40">
        <v>2023</v>
      </c>
      <c r="E40">
        <v>-75000000</v>
      </c>
      <c r="F40" s="45" t="s">
        <v>372</v>
      </c>
      <c r="G40" t="s">
        <v>377</v>
      </c>
    </row>
    <row r="41" spans="1:7" x14ac:dyDescent="0.3">
      <c r="A41" t="s">
        <v>371</v>
      </c>
      <c r="B41" t="s">
        <v>122</v>
      </c>
      <c r="C41" t="s">
        <v>123</v>
      </c>
      <c r="D41">
        <v>2024</v>
      </c>
      <c r="E41">
        <v>764000000</v>
      </c>
      <c r="F41" s="45" t="s">
        <v>372</v>
      </c>
      <c r="G41" t="s">
        <v>399</v>
      </c>
    </row>
    <row r="42" spans="1:7" x14ac:dyDescent="0.3">
      <c r="A42" t="s">
        <v>371</v>
      </c>
      <c r="B42" t="s">
        <v>125</v>
      </c>
      <c r="C42" t="s">
        <v>126</v>
      </c>
      <c r="D42">
        <v>2019</v>
      </c>
      <c r="E42">
        <v>-1325000000</v>
      </c>
      <c r="F42" s="45" t="s">
        <v>372</v>
      </c>
      <c r="G42" t="s">
        <v>377</v>
      </c>
    </row>
    <row r="43" spans="1:7" x14ac:dyDescent="0.3">
      <c r="A43" t="s">
        <v>371</v>
      </c>
      <c r="B43" t="s">
        <v>125</v>
      </c>
      <c r="C43" t="s">
        <v>126</v>
      </c>
      <c r="D43">
        <v>2021</v>
      </c>
      <c r="E43">
        <v>4213000000</v>
      </c>
      <c r="F43" s="45" t="s">
        <v>372</v>
      </c>
      <c r="G43" t="s">
        <v>400</v>
      </c>
    </row>
    <row r="44" spans="1:7" x14ac:dyDescent="0.3">
      <c r="A44" t="s">
        <v>371</v>
      </c>
      <c r="B44" t="s">
        <v>129</v>
      </c>
      <c r="C44" t="s">
        <v>130</v>
      </c>
      <c r="D44">
        <v>2020</v>
      </c>
      <c r="E44">
        <v>-1471000000</v>
      </c>
      <c r="F44" s="45" t="s">
        <v>372</v>
      </c>
      <c r="G44" t="s">
        <v>377</v>
      </c>
    </row>
    <row r="45" spans="1:7" x14ac:dyDescent="0.3">
      <c r="A45" t="s">
        <v>371</v>
      </c>
      <c r="B45" t="s">
        <v>129</v>
      </c>
      <c r="C45" t="s">
        <v>130</v>
      </c>
      <c r="D45">
        <v>2021</v>
      </c>
      <c r="E45">
        <v>5523000000</v>
      </c>
      <c r="F45" s="45" t="s">
        <v>372</v>
      </c>
      <c r="G45" t="s">
        <v>401</v>
      </c>
    </row>
    <row r="46" spans="1:7" x14ac:dyDescent="0.3">
      <c r="A46" t="s">
        <v>371</v>
      </c>
      <c r="B46" t="s">
        <v>129</v>
      </c>
      <c r="C46" t="s">
        <v>130</v>
      </c>
      <c r="D46">
        <v>2022</v>
      </c>
      <c r="E46">
        <v>-391000000</v>
      </c>
      <c r="F46" s="45" t="s">
        <v>372</v>
      </c>
      <c r="G46" t="s">
        <v>377</v>
      </c>
    </row>
    <row r="47" spans="1:7" x14ac:dyDescent="0.3">
      <c r="A47" t="s">
        <v>371</v>
      </c>
      <c r="B47" t="s">
        <v>129</v>
      </c>
      <c r="C47" t="s">
        <v>130</v>
      </c>
      <c r="D47">
        <v>2023</v>
      </c>
      <c r="E47">
        <v>225000000</v>
      </c>
      <c r="F47" s="45" t="s">
        <v>372</v>
      </c>
      <c r="G47" t="s">
        <v>377</v>
      </c>
    </row>
    <row r="48" spans="1:7" x14ac:dyDescent="0.3">
      <c r="A48" t="s">
        <v>371</v>
      </c>
      <c r="B48" t="s">
        <v>129</v>
      </c>
      <c r="C48" t="s">
        <v>130</v>
      </c>
      <c r="D48">
        <v>2024</v>
      </c>
      <c r="E48">
        <v>1298000000</v>
      </c>
      <c r="F48" s="45" t="s">
        <v>372</v>
      </c>
      <c r="G48" t="s">
        <v>402</v>
      </c>
    </row>
    <row r="49" spans="1:7" x14ac:dyDescent="0.3">
      <c r="A49" t="s">
        <v>371</v>
      </c>
      <c r="B49" t="s">
        <v>131</v>
      </c>
      <c r="C49" t="s">
        <v>132</v>
      </c>
      <c r="D49">
        <v>2021</v>
      </c>
      <c r="E49">
        <v>12382000000</v>
      </c>
      <c r="F49" s="45" t="s">
        <v>372</v>
      </c>
      <c r="G49" t="s">
        <v>403</v>
      </c>
    </row>
    <row r="50" spans="1:7" x14ac:dyDescent="0.3">
      <c r="A50" t="s">
        <v>371</v>
      </c>
      <c r="B50" t="s">
        <v>133</v>
      </c>
      <c r="C50" t="s">
        <v>134</v>
      </c>
      <c r="D50">
        <v>2020</v>
      </c>
      <c r="E50">
        <v>-15561000000</v>
      </c>
      <c r="F50" s="45" t="s">
        <v>372</v>
      </c>
      <c r="G50" t="s">
        <v>404</v>
      </c>
    </row>
    <row r="51" spans="1:7" x14ac:dyDescent="0.3">
      <c r="A51" t="s">
        <v>371</v>
      </c>
      <c r="B51" t="s">
        <v>133</v>
      </c>
      <c r="C51" t="s">
        <v>134</v>
      </c>
      <c r="D51">
        <v>2021</v>
      </c>
      <c r="E51">
        <v>1000000000</v>
      </c>
      <c r="F51" s="45" t="s">
        <v>372</v>
      </c>
      <c r="G51" t="s">
        <v>377</v>
      </c>
    </row>
    <row r="52" spans="1:7" x14ac:dyDescent="0.3">
      <c r="A52" t="s">
        <v>371</v>
      </c>
      <c r="B52" t="s">
        <v>133</v>
      </c>
      <c r="C52" t="s">
        <v>134</v>
      </c>
      <c r="D52">
        <v>2022</v>
      </c>
      <c r="E52">
        <v>4150000000</v>
      </c>
      <c r="F52" s="45" t="s">
        <v>372</v>
      </c>
      <c r="G52" t="s">
        <v>405</v>
      </c>
    </row>
    <row r="53" spans="1:7" x14ac:dyDescent="0.3">
      <c r="A53" t="s">
        <v>371</v>
      </c>
      <c r="B53" t="s">
        <v>133</v>
      </c>
      <c r="C53" t="s">
        <v>134</v>
      </c>
      <c r="D53">
        <v>2023</v>
      </c>
      <c r="E53">
        <v>-2941000000</v>
      </c>
      <c r="F53" s="45" t="s">
        <v>372</v>
      </c>
      <c r="G53" t="s">
        <v>377</v>
      </c>
    </row>
    <row r="54" spans="1:7" x14ac:dyDescent="0.3">
      <c r="A54" t="s">
        <v>371</v>
      </c>
      <c r="B54" t="s">
        <v>139</v>
      </c>
      <c r="C54" t="s">
        <v>140</v>
      </c>
      <c r="D54">
        <v>2018</v>
      </c>
      <c r="E54">
        <v>865000000</v>
      </c>
      <c r="F54" s="45" t="s">
        <v>372</v>
      </c>
      <c r="G54" t="s">
        <v>406</v>
      </c>
    </row>
    <row r="55" spans="1:7" x14ac:dyDescent="0.3">
      <c r="A55" t="s">
        <v>371</v>
      </c>
      <c r="B55" t="s">
        <v>139</v>
      </c>
      <c r="C55" t="s">
        <v>140</v>
      </c>
      <c r="D55">
        <v>2020</v>
      </c>
      <c r="E55">
        <v>-2890000000</v>
      </c>
      <c r="F55" s="45" t="s">
        <v>372</v>
      </c>
      <c r="G55" t="s">
        <v>407</v>
      </c>
    </row>
    <row r="56" spans="1:7" x14ac:dyDescent="0.3">
      <c r="A56" t="s">
        <v>371</v>
      </c>
      <c r="B56" t="s">
        <v>139</v>
      </c>
      <c r="C56" t="s">
        <v>140</v>
      </c>
      <c r="D56">
        <v>2021</v>
      </c>
      <c r="E56">
        <v>430000000</v>
      </c>
      <c r="F56" s="45" t="s">
        <v>372</v>
      </c>
      <c r="G56" t="s">
        <v>377</v>
      </c>
    </row>
    <row r="57" spans="1:7" x14ac:dyDescent="0.3">
      <c r="A57" t="s">
        <v>371</v>
      </c>
      <c r="B57" t="s">
        <v>139</v>
      </c>
      <c r="C57" t="s">
        <v>140</v>
      </c>
      <c r="D57">
        <v>2022</v>
      </c>
      <c r="E57">
        <v>1435000000</v>
      </c>
      <c r="F57" s="45" t="s">
        <v>372</v>
      </c>
      <c r="G57" t="s">
        <v>408</v>
      </c>
    </row>
    <row r="58" spans="1:7" x14ac:dyDescent="0.3">
      <c r="A58" t="s">
        <v>371</v>
      </c>
      <c r="B58" t="s">
        <v>141</v>
      </c>
      <c r="C58" t="s">
        <v>142</v>
      </c>
      <c r="D58">
        <v>2019</v>
      </c>
      <c r="E58">
        <v>-1171000000</v>
      </c>
      <c r="F58" s="45" t="s">
        <v>372</v>
      </c>
      <c r="G58" t="s">
        <v>377</v>
      </c>
    </row>
    <row r="59" spans="1:7" x14ac:dyDescent="0.3">
      <c r="A59" t="s">
        <v>371</v>
      </c>
      <c r="B59" t="s">
        <v>141</v>
      </c>
      <c r="C59" t="s">
        <v>142</v>
      </c>
      <c r="D59">
        <v>2021</v>
      </c>
      <c r="E59">
        <v>1435200000</v>
      </c>
      <c r="F59" s="45" t="s">
        <v>372</v>
      </c>
      <c r="G59" t="s">
        <v>376</v>
      </c>
    </row>
    <row r="60" spans="1:7" x14ac:dyDescent="0.3">
      <c r="A60" t="s">
        <v>371</v>
      </c>
      <c r="B60" t="s">
        <v>141</v>
      </c>
      <c r="C60" t="s">
        <v>142</v>
      </c>
      <c r="D60">
        <v>2023</v>
      </c>
      <c r="E60">
        <v>1156400000</v>
      </c>
      <c r="F60" s="45" t="s">
        <v>372</v>
      </c>
      <c r="G60" t="s">
        <v>409</v>
      </c>
    </row>
    <row r="61" spans="1:7" x14ac:dyDescent="0.3">
      <c r="A61" t="s">
        <v>371</v>
      </c>
      <c r="B61" t="s">
        <v>143</v>
      </c>
      <c r="C61" t="s">
        <v>144</v>
      </c>
      <c r="D61">
        <v>2021</v>
      </c>
      <c r="E61">
        <v>1616000000</v>
      </c>
      <c r="F61" s="45" t="s">
        <v>372</v>
      </c>
      <c r="G61" t="s">
        <v>410</v>
      </c>
    </row>
    <row r="62" spans="1:7" x14ac:dyDescent="0.3">
      <c r="A62" t="s">
        <v>371</v>
      </c>
      <c r="B62" t="s">
        <v>143</v>
      </c>
      <c r="C62" t="s">
        <v>144</v>
      </c>
      <c r="D62">
        <v>2022</v>
      </c>
      <c r="E62">
        <v>-281000000</v>
      </c>
      <c r="F62" s="45" t="s">
        <v>372</v>
      </c>
      <c r="G62" t="s">
        <v>377</v>
      </c>
    </row>
    <row r="63" spans="1:7" x14ac:dyDescent="0.3">
      <c r="A63" t="s">
        <v>371</v>
      </c>
      <c r="B63" t="s">
        <v>147</v>
      </c>
      <c r="C63" t="s">
        <v>148</v>
      </c>
      <c r="D63">
        <v>2018</v>
      </c>
      <c r="E63">
        <v>267000000</v>
      </c>
      <c r="F63" s="45" t="s">
        <v>372</v>
      </c>
      <c r="G63" t="s">
        <v>377</v>
      </c>
    </row>
    <row r="64" spans="1:7" x14ac:dyDescent="0.3">
      <c r="A64" t="s">
        <v>371</v>
      </c>
      <c r="B64" t="s">
        <v>147</v>
      </c>
      <c r="C64" t="s">
        <v>148</v>
      </c>
      <c r="D64">
        <v>2019</v>
      </c>
      <c r="E64">
        <v>-5264000000</v>
      </c>
      <c r="F64" s="45" t="s">
        <v>372</v>
      </c>
      <c r="G64" t="s">
        <v>411</v>
      </c>
    </row>
    <row r="65" spans="1:7" x14ac:dyDescent="0.3">
      <c r="A65" t="s">
        <v>371</v>
      </c>
      <c r="B65" t="s">
        <v>147</v>
      </c>
      <c r="C65" t="s">
        <v>148</v>
      </c>
      <c r="D65">
        <v>2020</v>
      </c>
      <c r="E65">
        <v>495000000</v>
      </c>
      <c r="F65" s="45" t="s">
        <v>372</v>
      </c>
      <c r="G65" t="s">
        <v>377</v>
      </c>
    </row>
    <row r="66" spans="1:7" x14ac:dyDescent="0.3">
      <c r="A66" t="s">
        <v>371</v>
      </c>
      <c r="B66" t="s">
        <v>147</v>
      </c>
      <c r="C66" t="s">
        <v>148</v>
      </c>
      <c r="D66">
        <v>2021</v>
      </c>
      <c r="E66">
        <v>2365000000</v>
      </c>
      <c r="F66" s="45" t="s">
        <v>372</v>
      </c>
      <c r="G66" t="s">
        <v>412</v>
      </c>
    </row>
    <row r="67" spans="1:7" x14ac:dyDescent="0.3">
      <c r="A67" t="s">
        <v>371</v>
      </c>
      <c r="B67" t="s">
        <v>157</v>
      </c>
      <c r="C67" t="s">
        <v>158</v>
      </c>
      <c r="D67">
        <v>2017</v>
      </c>
      <c r="E67">
        <v>3925000000</v>
      </c>
      <c r="F67" s="45" t="s">
        <v>372</v>
      </c>
      <c r="G67" t="s">
        <v>377</v>
      </c>
    </row>
    <row r="68" spans="1:7" x14ac:dyDescent="0.3">
      <c r="A68" t="s">
        <v>371</v>
      </c>
      <c r="B68" t="s">
        <v>157</v>
      </c>
      <c r="C68" t="s">
        <v>158</v>
      </c>
      <c r="D68">
        <v>2021</v>
      </c>
      <c r="E68">
        <v>4691000000</v>
      </c>
      <c r="F68" s="45" t="s">
        <v>372</v>
      </c>
      <c r="G68" t="s">
        <v>413</v>
      </c>
    </row>
    <row r="69" spans="1:7" x14ac:dyDescent="0.3">
      <c r="A69" t="s">
        <v>371</v>
      </c>
      <c r="B69" t="s">
        <v>157</v>
      </c>
      <c r="C69" t="s">
        <v>158</v>
      </c>
      <c r="D69">
        <v>2024</v>
      </c>
      <c r="E69">
        <v>4531000000</v>
      </c>
      <c r="F69" s="45" t="s">
        <v>372</v>
      </c>
      <c r="G69" t="s">
        <v>414</v>
      </c>
    </row>
    <row r="70" spans="1:7" x14ac:dyDescent="0.3">
      <c r="A70" t="s">
        <v>371</v>
      </c>
      <c r="B70" t="s">
        <v>159</v>
      </c>
      <c r="C70" t="s">
        <v>160</v>
      </c>
      <c r="D70">
        <v>2023</v>
      </c>
      <c r="E70">
        <v>-594000000</v>
      </c>
      <c r="F70" s="45" t="s">
        <v>372</v>
      </c>
      <c r="G70" t="s">
        <v>377</v>
      </c>
    </row>
    <row r="71" spans="1:7" x14ac:dyDescent="0.3">
      <c r="A71" t="s">
        <v>371</v>
      </c>
      <c r="B71" t="s">
        <v>159</v>
      </c>
      <c r="C71" t="s">
        <v>160</v>
      </c>
      <c r="D71">
        <v>2024</v>
      </c>
      <c r="E71">
        <v>471000000</v>
      </c>
      <c r="F71" s="45" t="s">
        <v>372</v>
      </c>
      <c r="G71" t="s">
        <v>377</v>
      </c>
    </row>
    <row r="72" spans="1:7" x14ac:dyDescent="0.3">
      <c r="A72" t="s">
        <v>371</v>
      </c>
      <c r="B72" t="s">
        <v>163</v>
      </c>
      <c r="C72" t="s">
        <v>164</v>
      </c>
      <c r="D72">
        <v>2020</v>
      </c>
      <c r="E72">
        <v>-1936900000</v>
      </c>
      <c r="F72" s="45" t="s">
        <v>372</v>
      </c>
      <c r="G72" t="s">
        <v>415</v>
      </c>
    </row>
    <row r="73" spans="1:7" x14ac:dyDescent="0.3">
      <c r="A73" t="s">
        <v>371</v>
      </c>
      <c r="B73" t="s">
        <v>163</v>
      </c>
      <c r="C73" t="s">
        <v>164</v>
      </c>
      <c r="D73">
        <v>2021</v>
      </c>
      <c r="E73">
        <v>1759000000</v>
      </c>
      <c r="F73" s="45" t="s">
        <v>372</v>
      </c>
      <c r="G73" t="s">
        <v>377</v>
      </c>
    </row>
    <row r="74" spans="1:7" x14ac:dyDescent="0.3">
      <c r="A74" t="s">
        <v>371</v>
      </c>
      <c r="B74" t="s">
        <v>167</v>
      </c>
      <c r="C74" t="s">
        <v>168</v>
      </c>
      <c r="D74">
        <v>2021</v>
      </c>
      <c r="E74">
        <v>1169000000</v>
      </c>
      <c r="F74" s="45" t="s">
        <v>372</v>
      </c>
      <c r="G74" t="s">
        <v>416</v>
      </c>
    </row>
    <row r="75" spans="1:7" x14ac:dyDescent="0.3">
      <c r="A75" t="s">
        <v>371</v>
      </c>
      <c r="B75" t="s">
        <v>173</v>
      </c>
      <c r="C75" t="s">
        <v>174</v>
      </c>
      <c r="D75">
        <v>2023</v>
      </c>
      <c r="E75">
        <v>-102000000</v>
      </c>
      <c r="F75" s="45" t="s">
        <v>372</v>
      </c>
      <c r="G75" t="s">
        <v>377</v>
      </c>
    </row>
    <row r="76" spans="1:7" x14ac:dyDescent="0.3">
      <c r="A76" t="s">
        <v>371</v>
      </c>
      <c r="B76" t="s">
        <v>173</v>
      </c>
      <c r="C76" t="s">
        <v>174</v>
      </c>
      <c r="D76">
        <v>2024</v>
      </c>
      <c r="E76">
        <v>633000000</v>
      </c>
      <c r="F76" s="45" t="s">
        <v>372</v>
      </c>
      <c r="G76" t="s">
        <v>417</v>
      </c>
    </row>
    <row r="77" spans="1:7" x14ac:dyDescent="0.3">
      <c r="A77" t="s">
        <v>371</v>
      </c>
      <c r="B77" t="s">
        <v>175</v>
      </c>
      <c r="C77" t="s">
        <v>176</v>
      </c>
      <c r="D77">
        <v>2018</v>
      </c>
      <c r="E77">
        <v>2310000000</v>
      </c>
      <c r="F77" s="45" t="s">
        <v>372</v>
      </c>
      <c r="G77" t="s">
        <v>418</v>
      </c>
    </row>
    <row r="78" spans="1:7" x14ac:dyDescent="0.3">
      <c r="A78" t="s">
        <v>371</v>
      </c>
      <c r="B78" t="s">
        <v>177</v>
      </c>
      <c r="C78" t="s">
        <v>178</v>
      </c>
      <c r="D78">
        <v>2016</v>
      </c>
      <c r="E78">
        <v>1374000000</v>
      </c>
      <c r="F78" s="45" t="s">
        <v>372</v>
      </c>
      <c r="G78" t="s">
        <v>419</v>
      </c>
    </row>
    <row r="79" spans="1:7" x14ac:dyDescent="0.3">
      <c r="A79" t="s">
        <v>371</v>
      </c>
      <c r="B79" t="s">
        <v>177</v>
      </c>
      <c r="C79" t="s">
        <v>178</v>
      </c>
      <c r="D79">
        <v>2024</v>
      </c>
      <c r="E79">
        <v>-20017000000</v>
      </c>
      <c r="F79" s="45" t="s">
        <v>372</v>
      </c>
      <c r="G79" t="s">
        <v>420</v>
      </c>
    </row>
    <row r="80" spans="1:7" x14ac:dyDescent="0.3">
      <c r="A80" t="s">
        <v>371</v>
      </c>
      <c r="B80" t="s">
        <v>179</v>
      </c>
      <c r="C80" t="s">
        <v>180</v>
      </c>
      <c r="D80">
        <v>2018</v>
      </c>
      <c r="E80">
        <v>190380000</v>
      </c>
      <c r="F80" s="45" t="s">
        <v>372</v>
      </c>
      <c r="G80" t="s">
        <v>421</v>
      </c>
    </row>
    <row r="81" spans="1:7" x14ac:dyDescent="0.3">
      <c r="A81" t="s">
        <v>371</v>
      </c>
      <c r="B81" t="s">
        <v>179</v>
      </c>
      <c r="C81" t="s">
        <v>180</v>
      </c>
      <c r="D81">
        <v>2019</v>
      </c>
      <c r="E81">
        <v>-41455000</v>
      </c>
      <c r="F81" s="45" t="s">
        <v>372</v>
      </c>
      <c r="G81" t="s">
        <v>377</v>
      </c>
    </row>
    <row r="82" spans="1:7" x14ac:dyDescent="0.3">
      <c r="A82" t="s">
        <v>371</v>
      </c>
      <c r="B82" t="s">
        <v>179</v>
      </c>
      <c r="C82" t="s">
        <v>180</v>
      </c>
      <c r="D82">
        <v>2020</v>
      </c>
      <c r="E82">
        <v>73640000</v>
      </c>
      <c r="F82" s="45" t="s">
        <v>372</v>
      </c>
      <c r="G82" t="s">
        <v>415</v>
      </c>
    </row>
    <row r="83" spans="1:7" x14ac:dyDescent="0.3">
      <c r="A83" t="s">
        <v>371</v>
      </c>
      <c r="B83" t="s">
        <v>179</v>
      </c>
      <c r="C83" t="s">
        <v>180</v>
      </c>
      <c r="D83">
        <v>2021</v>
      </c>
      <c r="E83">
        <v>512599000</v>
      </c>
      <c r="F83" s="45" t="s">
        <v>372</v>
      </c>
      <c r="G83" t="s">
        <v>422</v>
      </c>
    </row>
    <row r="84" spans="1:7" x14ac:dyDescent="0.3">
      <c r="A84" t="s">
        <v>371</v>
      </c>
      <c r="B84" t="s">
        <v>181</v>
      </c>
      <c r="C84" t="s">
        <v>182</v>
      </c>
      <c r="D84">
        <v>2021</v>
      </c>
      <c r="E84">
        <v>432000000</v>
      </c>
      <c r="F84" s="45" t="s">
        <v>372</v>
      </c>
      <c r="G84" t="s">
        <v>423</v>
      </c>
    </row>
    <row r="85" spans="1:7" x14ac:dyDescent="0.3">
      <c r="A85" t="s">
        <v>371</v>
      </c>
      <c r="B85" t="s">
        <v>183</v>
      </c>
      <c r="C85" t="s">
        <v>184</v>
      </c>
      <c r="D85">
        <v>2016</v>
      </c>
      <c r="E85">
        <v>-5651000000</v>
      </c>
      <c r="F85" s="45" t="s">
        <v>372</v>
      </c>
      <c r="G85" t="s">
        <v>424</v>
      </c>
    </row>
    <row r="86" spans="1:7" x14ac:dyDescent="0.3">
      <c r="A86" t="s">
        <v>371</v>
      </c>
      <c r="B86" t="s">
        <v>183</v>
      </c>
      <c r="C86" t="s">
        <v>184</v>
      </c>
      <c r="D86">
        <v>2017</v>
      </c>
      <c r="E86">
        <v>1942000000</v>
      </c>
      <c r="F86" s="45" t="s">
        <v>372</v>
      </c>
      <c r="G86" t="s">
        <v>377</v>
      </c>
    </row>
    <row r="87" spans="1:7" x14ac:dyDescent="0.3">
      <c r="A87" t="s">
        <v>371</v>
      </c>
      <c r="B87" t="s">
        <v>183</v>
      </c>
      <c r="C87" t="s">
        <v>184</v>
      </c>
      <c r="D87">
        <v>2019</v>
      </c>
      <c r="E87">
        <v>-660000000</v>
      </c>
      <c r="F87" s="45" t="s">
        <v>372</v>
      </c>
      <c r="G87" t="s">
        <v>425</v>
      </c>
    </row>
    <row r="88" spans="1:7" x14ac:dyDescent="0.3">
      <c r="A88" t="s">
        <v>371</v>
      </c>
      <c r="B88" t="s">
        <v>183</v>
      </c>
      <c r="C88" t="s">
        <v>184</v>
      </c>
      <c r="D88">
        <v>2020</v>
      </c>
      <c r="E88">
        <v>1051000000</v>
      </c>
      <c r="F88" s="45" t="s">
        <v>372</v>
      </c>
      <c r="G88" t="s">
        <v>426</v>
      </c>
    </row>
    <row r="89" spans="1:7" x14ac:dyDescent="0.3">
      <c r="A89" t="s">
        <v>371</v>
      </c>
      <c r="B89" t="s">
        <v>183</v>
      </c>
      <c r="C89" t="s">
        <v>184</v>
      </c>
      <c r="D89">
        <v>2022</v>
      </c>
      <c r="E89">
        <v>2717000000</v>
      </c>
      <c r="F89" s="45" t="s">
        <v>372</v>
      </c>
      <c r="G89" t="s">
        <v>427</v>
      </c>
    </row>
    <row r="90" spans="1:7" x14ac:dyDescent="0.3">
      <c r="A90" t="s">
        <v>371</v>
      </c>
      <c r="B90" t="s">
        <v>183</v>
      </c>
      <c r="C90" t="s">
        <v>184</v>
      </c>
      <c r="D90">
        <v>2024</v>
      </c>
      <c r="E90">
        <v>5135000000</v>
      </c>
      <c r="F90" s="45" t="s">
        <v>372</v>
      </c>
      <c r="G90" t="s">
        <v>428</v>
      </c>
    </row>
    <row r="91" spans="1:7" x14ac:dyDescent="0.3">
      <c r="A91" t="s">
        <v>371</v>
      </c>
      <c r="B91" t="s">
        <v>191</v>
      </c>
      <c r="C91" t="s">
        <v>192</v>
      </c>
      <c r="D91">
        <v>2023</v>
      </c>
      <c r="E91">
        <v>-4531000000</v>
      </c>
      <c r="F91" s="45" t="s">
        <v>372</v>
      </c>
      <c r="G91" t="s">
        <v>429</v>
      </c>
    </row>
    <row r="92" spans="1:7" x14ac:dyDescent="0.3">
      <c r="A92" t="s">
        <v>371</v>
      </c>
      <c r="B92" t="s">
        <v>191</v>
      </c>
      <c r="C92" t="s">
        <v>192</v>
      </c>
      <c r="D92">
        <v>2024</v>
      </c>
      <c r="E92">
        <v>1185000000</v>
      </c>
      <c r="F92" s="45" t="s">
        <v>372</v>
      </c>
      <c r="G92" t="s">
        <v>377</v>
      </c>
    </row>
    <row r="93" spans="1:7" x14ac:dyDescent="0.3">
      <c r="A93" t="s">
        <v>371</v>
      </c>
      <c r="B93" t="s">
        <v>197</v>
      </c>
      <c r="C93" t="s">
        <v>198</v>
      </c>
      <c r="D93">
        <v>2016</v>
      </c>
      <c r="E93">
        <v>5369000000</v>
      </c>
      <c r="F93" s="45" t="s">
        <v>372</v>
      </c>
      <c r="G93" t="s">
        <v>430</v>
      </c>
    </row>
    <row r="94" spans="1:7" x14ac:dyDescent="0.3">
      <c r="A94" t="s">
        <v>371</v>
      </c>
      <c r="B94" t="s">
        <v>199</v>
      </c>
      <c r="C94" t="s">
        <v>200</v>
      </c>
      <c r="D94">
        <v>2022</v>
      </c>
      <c r="E94">
        <v>-669400000</v>
      </c>
      <c r="F94" s="45" t="s">
        <v>372</v>
      </c>
      <c r="G94" t="s">
        <v>377</v>
      </c>
    </row>
    <row r="95" spans="1:7" x14ac:dyDescent="0.3">
      <c r="A95" t="s">
        <v>371</v>
      </c>
      <c r="B95" t="s">
        <v>199</v>
      </c>
      <c r="C95" t="s">
        <v>200</v>
      </c>
      <c r="D95">
        <v>2023</v>
      </c>
      <c r="E95">
        <v>-6285100000</v>
      </c>
      <c r="F95" s="45" t="s">
        <v>372</v>
      </c>
      <c r="G95" t="s">
        <v>431</v>
      </c>
    </row>
    <row r="96" spans="1:7" x14ac:dyDescent="0.3">
      <c r="A96" t="s">
        <v>371</v>
      </c>
      <c r="B96" t="s">
        <v>201</v>
      </c>
      <c r="C96" t="s">
        <v>202</v>
      </c>
      <c r="D96">
        <v>2023</v>
      </c>
      <c r="E96">
        <v>83000000</v>
      </c>
      <c r="F96" s="45" t="s">
        <v>372</v>
      </c>
      <c r="G96" t="s">
        <v>432</v>
      </c>
    </row>
    <row r="97" spans="1:7" x14ac:dyDescent="0.3">
      <c r="A97" t="s">
        <v>371</v>
      </c>
      <c r="B97" t="s">
        <v>201</v>
      </c>
      <c r="C97" t="s">
        <v>202</v>
      </c>
      <c r="D97">
        <v>2024</v>
      </c>
      <c r="E97">
        <v>251100000</v>
      </c>
      <c r="F97" s="45" t="s">
        <v>372</v>
      </c>
      <c r="G97" t="s">
        <v>374</v>
      </c>
    </row>
    <row r="98" spans="1:7" x14ac:dyDescent="0.3">
      <c r="A98" t="s">
        <v>371</v>
      </c>
      <c r="B98" t="s">
        <v>209</v>
      </c>
      <c r="C98" t="s">
        <v>126</v>
      </c>
      <c r="D98">
        <v>2019</v>
      </c>
      <c r="E98">
        <v>-1325000000</v>
      </c>
      <c r="F98" s="45" t="s">
        <v>372</v>
      </c>
      <c r="G98" t="s">
        <v>377</v>
      </c>
    </row>
    <row r="99" spans="1:7" x14ac:dyDescent="0.3">
      <c r="A99" t="s">
        <v>371</v>
      </c>
      <c r="B99" t="s">
        <v>209</v>
      </c>
      <c r="C99" t="s">
        <v>126</v>
      </c>
      <c r="D99">
        <v>2021</v>
      </c>
      <c r="E99">
        <v>4213000000</v>
      </c>
      <c r="F99" s="45" t="s">
        <v>372</v>
      </c>
      <c r="G99" t="s">
        <v>400</v>
      </c>
    </row>
    <row r="100" spans="1:7" x14ac:dyDescent="0.3">
      <c r="A100" t="s">
        <v>371</v>
      </c>
      <c r="B100" t="s">
        <v>210</v>
      </c>
      <c r="C100" t="s">
        <v>211</v>
      </c>
      <c r="D100">
        <v>2020</v>
      </c>
      <c r="E100">
        <v>-7242000000</v>
      </c>
      <c r="F100" s="45" t="s">
        <v>372</v>
      </c>
      <c r="G100" t="s">
        <v>377</v>
      </c>
    </row>
    <row r="101" spans="1:7" x14ac:dyDescent="0.3">
      <c r="A101" t="s">
        <v>371</v>
      </c>
      <c r="B101" t="s">
        <v>210</v>
      </c>
      <c r="C101" t="s">
        <v>211</v>
      </c>
      <c r="D101">
        <v>2021</v>
      </c>
      <c r="E101">
        <v>16032000000</v>
      </c>
      <c r="F101" s="45" t="s">
        <v>372</v>
      </c>
      <c r="G101" t="s">
        <v>433</v>
      </c>
    </row>
    <row r="102" spans="1:7" x14ac:dyDescent="0.3">
      <c r="A102" t="s">
        <v>371</v>
      </c>
      <c r="B102" t="s">
        <v>212</v>
      </c>
      <c r="C102" t="s">
        <v>213</v>
      </c>
      <c r="D102">
        <v>2020</v>
      </c>
      <c r="E102">
        <v>12294000000</v>
      </c>
      <c r="F102" s="45" t="s">
        <v>372</v>
      </c>
      <c r="G102" t="s">
        <v>434</v>
      </c>
    </row>
    <row r="103" spans="1:7" x14ac:dyDescent="0.3">
      <c r="A103" t="s">
        <v>371</v>
      </c>
      <c r="B103" t="s">
        <v>214</v>
      </c>
      <c r="C103" t="s">
        <v>215</v>
      </c>
      <c r="D103">
        <v>2016</v>
      </c>
      <c r="E103">
        <v>1908000000</v>
      </c>
      <c r="F103" s="45" t="s">
        <v>372</v>
      </c>
      <c r="G103" t="s">
        <v>435</v>
      </c>
    </row>
    <row r="104" spans="1:7" x14ac:dyDescent="0.3">
      <c r="A104" t="s">
        <v>371</v>
      </c>
      <c r="B104" t="s">
        <v>214</v>
      </c>
      <c r="C104" t="s">
        <v>215</v>
      </c>
      <c r="D104">
        <v>2022</v>
      </c>
      <c r="E104">
        <v>-2459000000</v>
      </c>
      <c r="F104" s="45" t="s">
        <v>372</v>
      </c>
      <c r="G104" t="s">
        <v>436</v>
      </c>
    </row>
    <row r="105" spans="1:7" x14ac:dyDescent="0.3">
      <c r="A105" t="s">
        <v>371</v>
      </c>
      <c r="B105" t="s">
        <v>214</v>
      </c>
      <c r="C105" t="s">
        <v>215</v>
      </c>
      <c r="D105">
        <v>2023</v>
      </c>
      <c r="E105">
        <v>3444000000</v>
      </c>
      <c r="F105" s="45" t="s">
        <v>372</v>
      </c>
      <c r="G105" t="s">
        <v>437</v>
      </c>
    </row>
    <row r="106" spans="1:7" x14ac:dyDescent="0.3">
      <c r="A106" t="s">
        <v>371</v>
      </c>
      <c r="B106" t="s">
        <v>214</v>
      </c>
      <c r="C106" t="s">
        <v>215</v>
      </c>
      <c r="D106">
        <v>2024</v>
      </c>
      <c r="E106">
        <v>-667000000</v>
      </c>
      <c r="F106" s="45" t="s">
        <v>372</v>
      </c>
      <c r="G106" t="s">
        <v>377</v>
      </c>
    </row>
    <row r="107" spans="1:7" x14ac:dyDescent="0.3">
      <c r="A107" t="s">
        <v>371</v>
      </c>
      <c r="B107" t="s">
        <v>220</v>
      </c>
      <c r="C107" t="s">
        <v>221</v>
      </c>
      <c r="D107">
        <v>2021</v>
      </c>
      <c r="E107">
        <v>1448000000</v>
      </c>
      <c r="F107" s="45" t="s">
        <v>372</v>
      </c>
      <c r="G107" t="s">
        <v>438</v>
      </c>
    </row>
    <row r="108" spans="1:7" x14ac:dyDescent="0.3">
      <c r="A108" t="s">
        <v>371</v>
      </c>
      <c r="B108" t="s">
        <v>232</v>
      </c>
      <c r="C108" t="s">
        <v>233</v>
      </c>
      <c r="D108">
        <v>2020</v>
      </c>
      <c r="E108">
        <v>-258000000</v>
      </c>
      <c r="F108" s="45" t="s">
        <v>372</v>
      </c>
      <c r="G108" t="s">
        <v>377</v>
      </c>
    </row>
    <row r="109" spans="1:7" x14ac:dyDescent="0.3">
      <c r="A109" t="s">
        <v>371</v>
      </c>
      <c r="B109" t="s">
        <v>232</v>
      </c>
      <c r="C109" t="s">
        <v>233</v>
      </c>
      <c r="D109">
        <v>2021</v>
      </c>
      <c r="E109">
        <v>5641000000</v>
      </c>
      <c r="F109" s="45" t="s">
        <v>372</v>
      </c>
      <c r="G109" t="s">
        <v>439</v>
      </c>
    </row>
    <row r="110" spans="1:7" x14ac:dyDescent="0.3">
      <c r="A110" t="s">
        <v>371</v>
      </c>
      <c r="B110" t="s">
        <v>234</v>
      </c>
      <c r="C110" t="s">
        <v>235</v>
      </c>
      <c r="D110">
        <v>2017</v>
      </c>
      <c r="E110">
        <v>903000000</v>
      </c>
      <c r="F110" s="45" t="s">
        <v>372</v>
      </c>
      <c r="G110" t="s">
        <v>440</v>
      </c>
    </row>
    <row r="111" spans="1:7" x14ac:dyDescent="0.3">
      <c r="A111" t="s">
        <v>371</v>
      </c>
      <c r="B111" t="s">
        <v>234</v>
      </c>
      <c r="C111" t="s">
        <v>235</v>
      </c>
      <c r="D111">
        <v>2018</v>
      </c>
      <c r="E111">
        <v>-157000000</v>
      </c>
      <c r="F111" s="45" t="s">
        <v>372</v>
      </c>
      <c r="G111" t="s">
        <v>377</v>
      </c>
    </row>
    <row r="112" spans="1:7" x14ac:dyDescent="0.3">
      <c r="A112" t="s">
        <v>371</v>
      </c>
      <c r="B112" t="s">
        <v>234</v>
      </c>
      <c r="C112" t="s">
        <v>235</v>
      </c>
      <c r="D112">
        <v>2019</v>
      </c>
      <c r="E112">
        <v>984000000</v>
      </c>
      <c r="F112" s="45" t="s">
        <v>372</v>
      </c>
      <c r="G112" t="s">
        <v>441</v>
      </c>
    </row>
    <row r="113" spans="1:7" x14ac:dyDescent="0.3">
      <c r="A113" t="s">
        <v>371</v>
      </c>
      <c r="B113" t="s">
        <v>234</v>
      </c>
      <c r="C113" t="s">
        <v>235</v>
      </c>
      <c r="D113">
        <v>2020</v>
      </c>
      <c r="E113">
        <v>-1723000000</v>
      </c>
      <c r="F113" s="45" t="s">
        <v>372</v>
      </c>
      <c r="G113" t="s">
        <v>442</v>
      </c>
    </row>
    <row r="114" spans="1:7" x14ac:dyDescent="0.3">
      <c r="A114" t="s">
        <v>371</v>
      </c>
      <c r="B114" t="s">
        <v>234</v>
      </c>
      <c r="C114" t="s">
        <v>235</v>
      </c>
      <c r="D114">
        <v>2021</v>
      </c>
      <c r="E114">
        <v>3661000000</v>
      </c>
      <c r="F114" s="45" t="s">
        <v>372</v>
      </c>
      <c r="G114" t="s">
        <v>443</v>
      </c>
    </row>
    <row r="115" spans="1:7" x14ac:dyDescent="0.3">
      <c r="A115" t="s">
        <v>371</v>
      </c>
      <c r="B115" t="s">
        <v>234</v>
      </c>
      <c r="C115" t="s">
        <v>235</v>
      </c>
      <c r="D115">
        <v>2023</v>
      </c>
      <c r="E115">
        <v>2208000000</v>
      </c>
      <c r="F115" s="45" t="s">
        <v>372</v>
      </c>
      <c r="G115" t="s">
        <v>444</v>
      </c>
    </row>
    <row r="116" spans="1:7" x14ac:dyDescent="0.3">
      <c r="A116" t="s">
        <v>371</v>
      </c>
      <c r="B116" t="s">
        <v>236</v>
      </c>
      <c r="C116" t="s">
        <v>237</v>
      </c>
      <c r="D116">
        <v>2016</v>
      </c>
      <c r="E116">
        <v>1311000000</v>
      </c>
      <c r="F116" s="45" t="s">
        <v>372</v>
      </c>
      <c r="G116" t="s">
        <v>445</v>
      </c>
    </row>
    <row r="117" spans="1:7" x14ac:dyDescent="0.3">
      <c r="A117" t="s">
        <v>371</v>
      </c>
      <c r="B117" t="s">
        <v>236</v>
      </c>
      <c r="C117" t="s">
        <v>237</v>
      </c>
      <c r="D117">
        <v>2019</v>
      </c>
      <c r="E117">
        <v>1406000000</v>
      </c>
      <c r="F117" s="45" t="s">
        <v>372</v>
      </c>
      <c r="G117" t="s">
        <v>428</v>
      </c>
    </row>
    <row r="118" spans="1:7" x14ac:dyDescent="0.3">
      <c r="A118" t="s">
        <v>371</v>
      </c>
      <c r="B118" t="s">
        <v>236</v>
      </c>
      <c r="C118" t="s">
        <v>237</v>
      </c>
      <c r="D118">
        <v>2021</v>
      </c>
      <c r="E118">
        <v>2521000000</v>
      </c>
      <c r="F118" s="45" t="s">
        <v>372</v>
      </c>
      <c r="G118" t="s">
        <v>446</v>
      </c>
    </row>
    <row r="119" spans="1:7" x14ac:dyDescent="0.3">
      <c r="A119" t="s">
        <v>371</v>
      </c>
      <c r="B119" t="s">
        <v>240</v>
      </c>
      <c r="C119" t="s">
        <v>241</v>
      </c>
      <c r="D119">
        <v>2022</v>
      </c>
      <c r="E119">
        <v>2146000000</v>
      </c>
      <c r="F119" s="45" t="s">
        <v>372</v>
      </c>
      <c r="G119" t="s">
        <v>447</v>
      </c>
    </row>
    <row r="120" spans="1:7" x14ac:dyDescent="0.3">
      <c r="A120" t="s">
        <v>371</v>
      </c>
      <c r="B120" t="s">
        <v>244</v>
      </c>
      <c r="C120" t="s">
        <v>245</v>
      </c>
      <c r="D120">
        <v>2016</v>
      </c>
      <c r="E120">
        <v>-527000000</v>
      </c>
      <c r="F120" s="45" t="s">
        <v>372</v>
      </c>
      <c r="G120" t="s">
        <v>377</v>
      </c>
    </row>
    <row r="121" spans="1:7" x14ac:dyDescent="0.3">
      <c r="A121" t="s">
        <v>371</v>
      </c>
      <c r="B121" t="s">
        <v>244</v>
      </c>
      <c r="C121" t="s">
        <v>245</v>
      </c>
      <c r="D121">
        <v>2017</v>
      </c>
      <c r="E121">
        <v>862000000</v>
      </c>
      <c r="F121" s="45" t="s">
        <v>372</v>
      </c>
      <c r="G121" t="s">
        <v>448</v>
      </c>
    </row>
    <row r="122" spans="1:7" x14ac:dyDescent="0.3">
      <c r="A122" t="s">
        <v>371</v>
      </c>
      <c r="B122" t="s">
        <v>254</v>
      </c>
      <c r="C122" t="s">
        <v>110</v>
      </c>
      <c r="D122">
        <v>2016</v>
      </c>
      <c r="E122">
        <v>1803000000</v>
      </c>
      <c r="F122" s="45" t="s">
        <v>372</v>
      </c>
      <c r="G122" t="s">
        <v>390</v>
      </c>
    </row>
    <row r="123" spans="1:7" x14ac:dyDescent="0.3">
      <c r="A123" t="s">
        <v>371</v>
      </c>
      <c r="B123" t="s">
        <v>254</v>
      </c>
      <c r="C123" t="s">
        <v>110</v>
      </c>
      <c r="D123">
        <v>2021</v>
      </c>
      <c r="E123">
        <v>14200000000</v>
      </c>
      <c r="F123" s="45" t="s">
        <v>372</v>
      </c>
      <c r="G123" t="s">
        <v>391</v>
      </c>
    </row>
    <row r="124" spans="1:7" x14ac:dyDescent="0.3">
      <c r="A124" t="s">
        <v>371</v>
      </c>
      <c r="B124" t="s">
        <v>255</v>
      </c>
      <c r="C124" t="s">
        <v>256</v>
      </c>
      <c r="D124">
        <v>2021</v>
      </c>
      <c r="E124">
        <v>1305000000</v>
      </c>
      <c r="F124" s="45" t="s">
        <v>372</v>
      </c>
      <c r="G124" t="s">
        <v>449</v>
      </c>
    </row>
    <row r="125" spans="1:7" x14ac:dyDescent="0.3">
      <c r="A125" t="s">
        <v>371</v>
      </c>
      <c r="B125" t="s">
        <v>261</v>
      </c>
      <c r="C125" t="s">
        <v>262</v>
      </c>
      <c r="D125">
        <v>2020</v>
      </c>
      <c r="E125">
        <v>-7212600000</v>
      </c>
      <c r="F125" s="45" t="s">
        <v>372</v>
      </c>
      <c r="G125" t="s">
        <v>450</v>
      </c>
    </row>
    <row r="126" spans="1:7" x14ac:dyDescent="0.3">
      <c r="A126" t="s">
        <v>371</v>
      </c>
      <c r="B126" t="s">
        <v>261</v>
      </c>
      <c r="C126" t="s">
        <v>262</v>
      </c>
      <c r="D126">
        <v>2022</v>
      </c>
      <c r="E126">
        <v>178200000</v>
      </c>
      <c r="F126" s="45" t="s">
        <v>372</v>
      </c>
      <c r="G126" t="s">
        <v>377</v>
      </c>
    </row>
    <row r="127" spans="1:7" x14ac:dyDescent="0.3">
      <c r="A127" t="s">
        <v>371</v>
      </c>
      <c r="B127" t="s">
        <v>261</v>
      </c>
      <c r="C127" t="s">
        <v>262</v>
      </c>
      <c r="D127">
        <v>2023</v>
      </c>
      <c r="E127">
        <v>-1629100000</v>
      </c>
      <c r="F127" s="45" t="s">
        <v>372</v>
      </c>
      <c r="G127" t="s">
        <v>451</v>
      </c>
    </row>
    <row r="128" spans="1:7" x14ac:dyDescent="0.3">
      <c r="A128" t="s">
        <v>371</v>
      </c>
      <c r="B128" t="s">
        <v>261</v>
      </c>
      <c r="C128" t="s">
        <v>262</v>
      </c>
      <c r="D128">
        <v>2024</v>
      </c>
      <c r="E128">
        <v>146200000</v>
      </c>
      <c r="F128" s="45" t="s">
        <v>372</v>
      </c>
      <c r="G128" t="s">
        <v>377</v>
      </c>
    </row>
    <row r="129" spans="1:7" x14ac:dyDescent="0.3">
      <c r="A129" t="s">
        <v>371</v>
      </c>
      <c r="B129" t="s">
        <v>265</v>
      </c>
      <c r="C129" t="s">
        <v>266</v>
      </c>
      <c r="D129">
        <v>2017</v>
      </c>
      <c r="E129">
        <v>203000000</v>
      </c>
      <c r="F129" s="45" t="s">
        <v>372</v>
      </c>
      <c r="G129" t="s">
        <v>452</v>
      </c>
    </row>
    <row r="130" spans="1:7" x14ac:dyDescent="0.3">
      <c r="A130" t="s">
        <v>371</v>
      </c>
      <c r="B130" t="s">
        <v>265</v>
      </c>
      <c r="C130" t="s">
        <v>266</v>
      </c>
      <c r="D130">
        <v>2019</v>
      </c>
      <c r="E130">
        <v>-184000000</v>
      </c>
      <c r="F130" s="45" t="s">
        <v>372</v>
      </c>
      <c r="G130" t="s">
        <v>453</v>
      </c>
    </row>
    <row r="131" spans="1:7" x14ac:dyDescent="0.3">
      <c r="A131" t="s">
        <v>371</v>
      </c>
      <c r="B131" t="s">
        <v>265</v>
      </c>
      <c r="C131" t="s">
        <v>266</v>
      </c>
      <c r="D131">
        <v>2020</v>
      </c>
      <c r="E131">
        <v>-675000000</v>
      </c>
      <c r="F131" s="45" t="s">
        <v>372</v>
      </c>
      <c r="G131" t="s">
        <v>454</v>
      </c>
    </row>
    <row r="132" spans="1:7" x14ac:dyDescent="0.3">
      <c r="A132" t="s">
        <v>371</v>
      </c>
      <c r="B132" t="s">
        <v>265</v>
      </c>
      <c r="C132" t="s">
        <v>266</v>
      </c>
      <c r="D132">
        <v>2021</v>
      </c>
      <c r="E132">
        <v>298000000</v>
      </c>
      <c r="F132" s="45" t="s">
        <v>372</v>
      </c>
      <c r="G132" t="s">
        <v>377</v>
      </c>
    </row>
    <row r="133" spans="1:7" x14ac:dyDescent="0.3">
      <c r="A133" t="s">
        <v>371</v>
      </c>
      <c r="B133" t="s">
        <v>267</v>
      </c>
      <c r="C133" t="s">
        <v>112</v>
      </c>
      <c r="D133">
        <v>2017</v>
      </c>
      <c r="E133">
        <v>802000000</v>
      </c>
      <c r="F133" s="45" t="s">
        <v>372</v>
      </c>
      <c r="G133" t="s">
        <v>455</v>
      </c>
    </row>
    <row r="134" spans="1:7" x14ac:dyDescent="0.3">
      <c r="A134" t="s">
        <v>371</v>
      </c>
      <c r="B134" t="s">
        <v>269</v>
      </c>
      <c r="C134" t="s">
        <v>270</v>
      </c>
      <c r="D134">
        <v>2019</v>
      </c>
      <c r="E134">
        <v>-141000000</v>
      </c>
      <c r="F134" s="45" t="s">
        <v>372</v>
      </c>
      <c r="G134" t="s">
        <v>377</v>
      </c>
    </row>
    <row r="135" spans="1:7" x14ac:dyDescent="0.3">
      <c r="A135" t="s">
        <v>371</v>
      </c>
      <c r="B135" t="s">
        <v>269</v>
      </c>
      <c r="C135" t="s">
        <v>270</v>
      </c>
      <c r="D135">
        <v>2020</v>
      </c>
      <c r="E135">
        <v>-8008000000</v>
      </c>
      <c r="F135" s="45" t="s">
        <v>372</v>
      </c>
      <c r="G135" t="s">
        <v>456</v>
      </c>
    </row>
    <row r="136" spans="1:7" x14ac:dyDescent="0.3">
      <c r="A136" t="s">
        <v>371</v>
      </c>
      <c r="B136" t="s">
        <v>269</v>
      </c>
      <c r="C136" t="s">
        <v>270</v>
      </c>
      <c r="D136">
        <v>2021</v>
      </c>
      <c r="E136">
        <v>888000000</v>
      </c>
      <c r="F136" s="45" t="s">
        <v>372</v>
      </c>
      <c r="G136" t="s">
        <v>377</v>
      </c>
    </row>
    <row r="137" spans="1:7" x14ac:dyDescent="0.3">
      <c r="A137" t="s">
        <v>371</v>
      </c>
      <c r="B137" t="s">
        <v>269</v>
      </c>
      <c r="C137" t="s">
        <v>270</v>
      </c>
      <c r="D137">
        <v>2022</v>
      </c>
      <c r="E137">
        <v>-338000000</v>
      </c>
      <c r="F137" s="45" t="s">
        <v>372</v>
      </c>
      <c r="G137" t="s">
        <v>377</v>
      </c>
    </row>
    <row r="138" spans="1:7" x14ac:dyDescent="0.3">
      <c r="A138" t="s">
        <v>371</v>
      </c>
      <c r="B138" t="s">
        <v>269</v>
      </c>
      <c r="C138" t="s">
        <v>270</v>
      </c>
      <c r="D138">
        <v>2023</v>
      </c>
      <c r="E138">
        <v>2198000000</v>
      </c>
      <c r="F138" s="45" t="s">
        <v>372</v>
      </c>
      <c r="G138" t="s">
        <v>457</v>
      </c>
    </row>
    <row r="139" spans="1:7" x14ac:dyDescent="0.3">
      <c r="A139" t="s">
        <v>371</v>
      </c>
      <c r="B139" t="s">
        <v>271</v>
      </c>
      <c r="C139" t="s">
        <v>272</v>
      </c>
      <c r="D139">
        <v>2020</v>
      </c>
      <c r="E139">
        <v>-319000000</v>
      </c>
      <c r="F139" s="45" t="s">
        <v>372</v>
      </c>
      <c r="G139" t="s">
        <v>377</v>
      </c>
    </row>
    <row r="140" spans="1:7" x14ac:dyDescent="0.3">
      <c r="A140" t="s">
        <v>371</v>
      </c>
      <c r="B140" t="s">
        <v>271</v>
      </c>
      <c r="C140" t="s">
        <v>272</v>
      </c>
      <c r="D140">
        <v>2021</v>
      </c>
      <c r="E140">
        <v>139000000</v>
      </c>
      <c r="F140" s="45" t="s">
        <v>372</v>
      </c>
      <c r="G140" t="s">
        <v>377</v>
      </c>
    </row>
    <row r="141" spans="1:7" x14ac:dyDescent="0.3">
      <c r="A141" t="s">
        <v>371</v>
      </c>
      <c r="B141" t="s">
        <v>271</v>
      </c>
      <c r="C141" t="s">
        <v>272</v>
      </c>
      <c r="D141">
        <v>2022</v>
      </c>
      <c r="E141">
        <v>695000000</v>
      </c>
      <c r="F141" s="45" t="s">
        <v>372</v>
      </c>
      <c r="G141" t="s">
        <v>458</v>
      </c>
    </row>
    <row r="142" spans="1:7" x14ac:dyDescent="0.3">
      <c r="A142" t="s">
        <v>371</v>
      </c>
      <c r="B142" t="s">
        <v>273</v>
      </c>
      <c r="C142" t="s">
        <v>274</v>
      </c>
      <c r="D142">
        <v>2017</v>
      </c>
      <c r="E142">
        <v>-254000000</v>
      </c>
      <c r="F142" s="45" t="s">
        <v>372</v>
      </c>
      <c r="G142" t="s">
        <v>377</v>
      </c>
    </row>
    <row r="143" spans="1:7" x14ac:dyDescent="0.3">
      <c r="A143" t="s">
        <v>371</v>
      </c>
      <c r="B143" t="s">
        <v>273</v>
      </c>
      <c r="C143" t="s">
        <v>274</v>
      </c>
      <c r="D143">
        <v>2019</v>
      </c>
      <c r="E143">
        <v>1129000000</v>
      </c>
      <c r="F143" s="45" t="s">
        <v>372</v>
      </c>
      <c r="G143" t="s">
        <v>459</v>
      </c>
    </row>
    <row r="144" spans="1:7" x14ac:dyDescent="0.3">
      <c r="A144" t="s">
        <v>371</v>
      </c>
      <c r="B144" t="s">
        <v>283</v>
      </c>
      <c r="C144" t="s">
        <v>284</v>
      </c>
      <c r="D144">
        <v>2020</v>
      </c>
      <c r="E144">
        <v>-8771000000</v>
      </c>
      <c r="F144" s="45" t="s">
        <v>372</v>
      </c>
      <c r="G144" t="s">
        <v>460</v>
      </c>
    </row>
    <row r="145" spans="1:7" x14ac:dyDescent="0.3">
      <c r="A145" t="s">
        <v>371</v>
      </c>
      <c r="B145" t="s">
        <v>283</v>
      </c>
      <c r="C145" t="s">
        <v>284</v>
      </c>
      <c r="D145">
        <v>2021</v>
      </c>
      <c r="E145">
        <v>8124000000</v>
      </c>
      <c r="F145" s="45" t="s">
        <v>372</v>
      </c>
      <c r="G145" t="s">
        <v>377</v>
      </c>
    </row>
    <row r="146" spans="1:7" x14ac:dyDescent="0.3">
      <c r="A146" t="s">
        <v>371</v>
      </c>
      <c r="B146" t="s">
        <v>287</v>
      </c>
      <c r="C146" t="s">
        <v>288</v>
      </c>
      <c r="D146">
        <v>2021</v>
      </c>
      <c r="E146">
        <v>4653000000</v>
      </c>
      <c r="F146" s="45" t="s">
        <v>372</v>
      </c>
      <c r="G146" t="s">
        <v>461</v>
      </c>
    </row>
    <row r="147" spans="1:7" x14ac:dyDescent="0.3">
      <c r="A147" t="s">
        <v>371</v>
      </c>
      <c r="B147" t="s">
        <v>289</v>
      </c>
      <c r="C147" t="s">
        <v>290</v>
      </c>
      <c r="D147">
        <v>2021</v>
      </c>
      <c r="E147">
        <v>8137000000</v>
      </c>
      <c r="F147" s="45" t="s">
        <v>372</v>
      </c>
      <c r="G147" t="s">
        <v>462</v>
      </c>
    </row>
    <row r="148" spans="1:7" x14ac:dyDescent="0.3">
      <c r="A148" t="s">
        <v>371</v>
      </c>
      <c r="B148" t="s">
        <v>289</v>
      </c>
      <c r="C148" t="s">
        <v>290</v>
      </c>
      <c r="D148">
        <v>2023</v>
      </c>
      <c r="E148">
        <v>-892000000</v>
      </c>
      <c r="F148" s="45" t="s">
        <v>372</v>
      </c>
      <c r="G148" t="s">
        <v>377</v>
      </c>
    </row>
    <row r="149" spans="1:7" x14ac:dyDescent="0.3">
      <c r="A149" t="s">
        <v>371</v>
      </c>
      <c r="B149" t="s">
        <v>291</v>
      </c>
      <c r="C149" t="s">
        <v>292</v>
      </c>
      <c r="D149">
        <v>2018</v>
      </c>
      <c r="E149">
        <v>-448000000</v>
      </c>
      <c r="F149" s="45" t="s">
        <v>372</v>
      </c>
      <c r="G149" t="s">
        <v>377</v>
      </c>
    </row>
    <row r="150" spans="1:7" x14ac:dyDescent="0.3">
      <c r="A150" t="s">
        <v>371</v>
      </c>
      <c r="B150" t="s">
        <v>291</v>
      </c>
      <c r="C150" t="s">
        <v>292</v>
      </c>
      <c r="D150">
        <v>2019</v>
      </c>
      <c r="E150">
        <v>268000000</v>
      </c>
      <c r="F150" s="45" t="s">
        <v>372</v>
      </c>
      <c r="G150" t="s">
        <v>377</v>
      </c>
    </row>
    <row r="151" spans="1:7" x14ac:dyDescent="0.3">
      <c r="A151" t="s">
        <v>371</v>
      </c>
      <c r="B151" t="s">
        <v>291</v>
      </c>
      <c r="C151" t="s">
        <v>292</v>
      </c>
      <c r="D151">
        <v>2020</v>
      </c>
      <c r="E151">
        <v>-424000000</v>
      </c>
      <c r="F151" s="45" t="s">
        <v>372</v>
      </c>
      <c r="G151" t="s">
        <v>463</v>
      </c>
    </row>
    <row r="152" spans="1:7" x14ac:dyDescent="0.3">
      <c r="A152" t="s">
        <v>371</v>
      </c>
      <c r="B152" t="s">
        <v>291</v>
      </c>
      <c r="C152" t="s">
        <v>292</v>
      </c>
      <c r="D152">
        <v>2021</v>
      </c>
      <c r="E152">
        <v>1198000000</v>
      </c>
      <c r="F152" s="45" t="s">
        <v>372</v>
      </c>
      <c r="G152" t="s">
        <v>464</v>
      </c>
    </row>
    <row r="153" spans="1:7" x14ac:dyDescent="0.3">
      <c r="A153" t="s">
        <v>371</v>
      </c>
      <c r="B153" t="s">
        <v>291</v>
      </c>
      <c r="C153" t="s">
        <v>292</v>
      </c>
      <c r="D153">
        <v>2024</v>
      </c>
      <c r="E153">
        <v>3239000000</v>
      </c>
      <c r="F153" s="45" t="s">
        <v>372</v>
      </c>
      <c r="G153" t="s">
        <v>465</v>
      </c>
    </row>
    <row r="154" spans="1:7" x14ac:dyDescent="0.3">
      <c r="A154" t="s">
        <v>371</v>
      </c>
      <c r="B154" t="s">
        <v>293</v>
      </c>
      <c r="C154" t="s">
        <v>294</v>
      </c>
      <c r="D154">
        <v>2021</v>
      </c>
      <c r="E154">
        <v>5226000000</v>
      </c>
      <c r="F154" s="45" t="s">
        <v>372</v>
      </c>
      <c r="G154" t="s">
        <v>466</v>
      </c>
    </row>
    <row r="155" spans="1:7" x14ac:dyDescent="0.3">
      <c r="A155" t="s">
        <v>371</v>
      </c>
      <c r="B155" t="s">
        <v>295</v>
      </c>
      <c r="C155" t="s">
        <v>296</v>
      </c>
      <c r="D155">
        <v>2020</v>
      </c>
      <c r="E155">
        <v>-625400000</v>
      </c>
      <c r="F155" s="45" t="s">
        <v>372</v>
      </c>
      <c r="G155" t="s">
        <v>377</v>
      </c>
    </row>
    <row r="156" spans="1:7" x14ac:dyDescent="0.3">
      <c r="A156" t="s">
        <v>371</v>
      </c>
      <c r="B156" t="s">
        <v>295</v>
      </c>
      <c r="C156" t="s">
        <v>296</v>
      </c>
      <c r="D156">
        <v>2022</v>
      </c>
      <c r="E156">
        <v>664400000</v>
      </c>
      <c r="F156" s="45" t="s">
        <v>372</v>
      </c>
      <c r="G156" t="s">
        <v>467</v>
      </c>
    </row>
    <row r="157" spans="1:7" x14ac:dyDescent="0.3">
      <c r="A157" t="s">
        <v>371</v>
      </c>
      <c r="B157" t="s">
        <v>297</v>
      </c>
      <c r="C157" t="s">
        <v>298</v>
      </c>
      <c r="D157">
        <v>2016</v>
      </c>
      <c r="E157">
        <v>1736000000</v>
      </c>
      <c r="F157" s="45" t="s">
        <v>372</v>
      </c>
      <c r="G157" t="s">
        <v>468</v>
      </c>
    </row>
    <row r="158" spans="1:7" x14ac:dyDescent="0.3">
      <c r="A158" t="s">
        <v>371</v>
      </c>
      <c r="B158" t="s">
        <v>297</v>
      </c>
      <c r="C158" t="s">
        <v>298</v>
      </c>
      <c r="D158">
        <v>2019</v>
      </c>
      <c r="E158">
        <v>-3816000000</v>
      </c>
      <c r="F158" s="45" t="s">
        <v>372</v>
      </c>
      <c r="G158" t="s">
        <v>469</v>
      </c>
    </row>
    <row r="159" spans="1:7" x14ac:dyDescent="0.3">
      <c r="A159" t="s">
        <v>371</v>
      </c>
      <c r="B159" t="s">
        <v>297</v>
      </c>
      <c r="C159" t="s">
        <v>298</v>
      </c>
      <c r="D159">
        <v>2021</v>
      </c>
      <c r="E159">
        <v>2499000000</v>
      </c>
      <c r="F159" s="45" t="s">
        <v>372</v>
      </c>
      <c r="G159" t="s">
        <v>377</v>
      </c>
    </row>
    <row r="160" spans="1:7" x14ac:dyDescent="0.3">
      <c r="A160" t="s">
        <v>371</v>
      </c>
      <c r="B160" t="s">
        <v>299</v>
      </c>
      <c r="C160" t="s">
        <v>300</v>
      </c>
      <c r="D160">
        <v>2020</v>
      </c>
      <c r="E160">
        <v>-160748000</v>
      </c>
      <c r="F160" s="45" t="s">
        <v>372</v>
      </c>
      <c r="G160" t="s">
        <v>377</v>
      </c>
    </row>
    <row r="161" spans="1:7" x14ac:dyDescent="0.3">
      <c r="A161" t="s">
        <v>371</v>
      </c>
      <c r="B161" t="s">
        <v>299</v>
      </c>
      <c r="C161" t="s">
        <v>300</v>
      </c>
      <c r="D161">
        <v>2022</v>
      </c>
      <c r="E161">
        <v>901499000</v>
      </c>
      <c r="F161" s="45" t="s">
        <v>372</v>
      </c>
      <c r="G161" t="s">
        <v>470</v>
      </c>
    </row>
    <row r="162" spans="1:7" x14ac:dyDescent="0.3">
      <c r="A162" t="s">
        <v>371</v>
      </c>
      <c r="B162" t="s">
        <v>301</v>
      </c>
      <c r="C162" t="s">
        <v>302</v>
      </c>
      <c r="D162">
        <v>2024</v>
      </c>
      <c r="E162">
        <v>-299309000</v>
      </c>
      <c r="F162" s="45" t="s">
        <v>372</v>
      </c>
      <c r="G162" t="s">
        <v>377</v>
      </c>
    </row>
    <row r="163" spans="1:7" x14ac:dyDescent="0.3">
      <c r="A163" t="s">
        <v>371</v>
      </c>
      <c r="B163" t="s">
        <v>309</v>
      </c>
      <c r="C163" t="s">
        <v>310</v>
      </c>
      <c r="D163">
        <v>2021</v>
      </c>
      <c r="E163">
        <v>3045413000</v>
      </c>
      <c r="F163" s="45" t="s">
        <v>372</v>
      </c>
      <c r="G163" t="s">
        <v>471</v>
      </c>
    </row>
    <row r="164" spans="1:7" x14ac:dyDescent="0.3">
      <c r="A164" t="s">
        <v>371</v>
      </c>
      <c r="B164" t="s">
        <v>313</v>
      </c>
      <c r="C164" t="s">
        <v>314</v>
      </c>
      <c r="D164">
        <v>2018</v>
      </c>
      <c r="E164">
        <v>-14983000</v>
      </c>
      <c r="F164" s="45" t="s">
        <v>372</v>
      </c>
      <c r="G164" t="s">
        <v>377</v>
      </c>
    </row>
    <row r="165" spans="1:7" x14ac:dyDescent="0.3">
      <c r="A165" t="s">
        <v>371</v>
      </c>
      <c r="B165" t="s">
        <v>313</v>
      </c>
      <c r="C165" t="s">
        <v>314</v>
      </c>
      <c r="D165">
        <v>2020</v>
      </c>
      <c r="E165">
        <v>-135425000</v>
      </c>
      <c r="F165" s="45" t="s">
        <v>372</v>
      </c>
      <c r="G165" t="s">
        <v>472</v>
      </c>
    </row>
    <row r="166" spans="1:7" x14ac:dyDescent="0.3">
      <c r="A166" t="s">
        <v>371</v>
      </c>
      <c r="B166" t="s">
        <v>315</v>
      </c>
      <c r="C166" t="s">
        <v>316</v>
      </c>
      <c r="D166">
        <v>2020</v>
      </c>
      <c r="E166">
        <v>-6935000000</v>
      </c>
      <c r="F166" s="45" t="s">
        <v>372</v>
      </c>
      <c r="G166" t="s">
        <v>473</v>
      </c>
    </row>
    <row r="167" spans="1:7" x14ac:dyDescent="0.3">
      <c r="A167" t="s">
        <v>371</v>
      </c>
      <c r="B167" t="s">
        <v>315</v>
      </c>
      <c r="C167" t="s">
        <v>316</v>
      </c>
      <c r="D167">
        <v>2022</v>
      </c>
      <c r="E167">
        <v>431000000</v>
      </c>
      <c r="F167" s="45" t="s">
        <v>372</v>
      </c>
      <c r="G167" t="s">
        <v>377</v>
      </c>
    </row>
    <row r="168" spans="1:7" x14ac:dyDescent="0.3">
      <c r="A168" t="s">
        <v>371</v>
      </c>
      <c r="B168" t="s">
        <v>315</v>
      </c>
      <c r="C168" t="s">
        <v>316</v>
      </c>
      <c r="D168">
        <v>2023</v>
      </c>
      <c r="E168">
        <v>2655000000</v>
      </c>
      <c r="F168" s="45" t="s">
        <v>372</v>
      </c>
      <c r="G168" t="s">
        <v>418</v>
      </c>
    </row>
    <row r="169" spans="1:7" x14ac:dyDescent="0.3">
      <c r="A169" t="s">
        <v>371</v>
      </c>
      <c r="B169" t="s">
        <v>317</v>
      </c>
      <c r="C169" t="s">
        <v>318</v>
      </c>
      <c r="D169">
        <v>2016</v>
      </c>
      <c r="E169">
        <v>582645000</v>
      </c>
      <c r="F169" s="45" t="s">
        <v>372</v>
      </c>
      <c r="G169" t="s">
        <v>474</v>
      </c>
    </row>
    <row r="170" spans="1:7" x14ac:dyDescent="0.3">
      <c r="A170" t="s">
        <v>371</v>
      </c>
      <c r="B170" t="s">
        <v>317</v>
      </c>
      <c r="C170" t="s">
        <v>318</v>
      </c>
      <c r="D170">
        <v>2021</v>
      </c>
      <c r="E170">
        <v>512217000</v>
      </c>
      <c r="F170" s="45" t="s">
        <v>372</v>
      </c>
      <c r="G170" t="s">
        <v>475</v>
      </c>
    </row>
    <row r="171" spans="1:7" x14ac:dyDescent="0.3">
      <c r="A171" t="s">
        <v>371</v>
      </c>
      <c r="B171" t="s">
        <v>317</v>
      </c>
      <c r="C171" t="s">
        <v>318</v>
      </c>
      <c r="D171">
        <v>2023</v>
      </c>
      <c r="E171">
        <v>-83497000</v>
      </c>
      <c r="F171" s="45" t="s">
        <v>372</v>
      </c>
      <c r="G171" t="s">
        <v>377</v>
      </c>
    </row>
    <row r="172" spans="1:7" x14ac:dyDescent="0.3">
      <c r="A172" t="s">
        <v>371</v>
      </c>
      <c r="B172" t="s">
        <v>317</v>
      </c>
      <c r="C172" t="s">
        <v>318</v>
      </c>
      <c r="D172">
        <v>2024</v>
      </c>
      <c r="E172">
        <v>283759000</v>
      </c>
      <c r="F172" s="45" t="s">
        <v>372</v>
      </c>
      <c r="G172" t="s">
        <v>476</v>
      </c>
    </row>
    <row r="173" spans="1:7" x14ac:dyDescent="0.3">
      <c r="A173" t="s">
        <v>371</v>
      </c>
      <c r="B173" t="s">
        <v>319</v>
      </c>
      <c r="C173" t="s">
        <v>268</v>
      </c>
      <c r="D173">
        <v>2016</v>
      </c>
      <c r="E173">
        <v>1779000000</v>
      </c>
      <c r="F173" s="45" t="s">
        <v>372</v>
      </c>
      <c r="G173" t="s">
        <v>377</v>
      </c>
    </row>
    <row r="174" spans="1:7" x14ac:dyDescent="0.3">
      <c r="A174" t="s">
        <v>371</v>
      </c>
      <c r="B174" t="s">
        <v>319</v>
      </c>
      <c r="C174" t="s">
        <v>268</v>
      </c>
      <c r="D174">
        <v>2019</v>
      </c>
      <c r="E174">
        <v>-2391000000</v>
      </c>
      <c r="F174" s="45" t="s">
        <v>372</v>
      </c>
      <c r="G174" t="s">
        <v>377</v>
      </c>
    </row>
    <row r="175" spans="1:7" x14ac:dyDescent="0.3">
      <c r="A175" t="s">
        <v>371</v>
      </c>
      <c r="B175" t="s">
        <v>319</v>
      </c>
      <c r="C175" t="s">
        <v>268</v>
      </c>
      <c r="D175">
        <v>2021</v>
      </c>
      <c r="E175">
        <v>20485000000</v>
      </c>
      <c r="F175" s="45" t="s">
        <v>372</v>
      </c>
      <c r="G175" t="s">
        <v>477</v>
      </c>
    </row>
    <row r="176" spans="1:7" x14ac:dyDescent="0.3">
      <c r="A176" t="s">
        <v>371</v>
      </c>
      <c r="B176" t="s">
        <v>320</v>
      </c>
      <c r="C176" t="s">
        <v>321</v>
      </c>
      <c r="D176">
        <v>2021</v>
      </c>
      <c r="E176">
        <v>530238000</v>
      </c>
      <c r="F176" s="45" t="s">
        <v>372</v>
      </c>
      <c r="G176" t="s">
        <v>478</v>
      </c>
    </row>
    <row r="177" spans="1:7" x14ac:dyDescent="0.3">
      <c r="A177" t="s">
        <v>371</v>
      </c>
      <c r="B177" t="s">
        <v>322</v>
      </c>
      <c r="C177" t="s">
        <v>323</v>
      </c>
      <c r="D177">
        <v>2018</v>
      </c>
      <c r="E177">
        <v>-2822000000</v>
      </c>
      <c r="F177" s="45" t="s">
        <v>372</v>
      </c>
      <c r="G177" t="s">
        <v>479</v>
      </c>
    </row>
    <row r="178" spans="1:7" x14ac:dyDescent="0.3">
      <c r="A178" t="s">
        <v>371</v>
      </c>
      <c r="B178" t="s">
        <v>322</v>
      </c>
      <c r="C178" t="s">
        <v>323</v>
      </c>
      <c r="D178">
        <v>2019</v>
      </c>
      <c r="E178">
        <v>1401000000</v>
      </c>
      <c r="F178" s="45" t="s">
        <v>372</v>
      </c>
      <c r="G178" t="s">
        <v>377</v>
      </c>
    </row>
    <row r="179" spans="1:7" x14ac:dyDescent="0.3">
      <c r="A179" t="s">
        <v>371</v>
      </c>
      <c r="B179" t="s">
        <v>322</v>
      </c>
      <c r="C179" t="s">
        <v>323</v>
      </c>
      <c r="D179">
        <v>2020</v>
      </c>
      <c r="E179">
        <v>-55000000</v>
      </c>
      <c r="F179" s="45" t="s">
        <v>372</v>
      </c>
      <c r="G179" t="s">
        <v>377</v>
      </c>
    </row>
    <row r="180" spans="1:7" x14ac:dyDescent="0.3">
      <c r="A180" t="s">
        <v>371</v>
      </c>
      <c r="B180" t="s">
        <v>322</v>
      </c>
      <c r="C180" t="s">
        <v>323</v>
      </c>
      <c r="D180">
        <v>2021</v>
      </c>
      <c r="E180">
        <v>1214000000</v>
      </c>
      <c r="F180" s="45" t="s">
        <v>372</v>
      </c>
      <c r="G180" t="s">
        <v>480</v>
      </c>
    </row>
    <row r="181" spans="1:7" x14ac:dyDescent="0.3">
      <c r="A181" t="s">
        <v>371</v>
      </c>
      <c r="B181" t="s">
        <v>324</v>
      </c>
      <c r="C181" t="s">
        <v>325</v>
      </c>
      <c r="D181">
        <v>2021</v>
      </c>
      <c r="E181">
        <v>473842000</v>
      </c>
      <c r="F181" s="45" t="s">
        <v>372</v>
      </c>
      <c r="G181" t="s">
        <v>481</v>
      </c>
    </row>
    <row r="182" spans="1:7" x14ac:dyDescent="0.3">
      <c r="A182" t="s">
        <v>371</v>
      </c>
      <c r="B182" t="s">
        <v>324</v>
      </c>
      <c r="C182" t="s">
        <v>325</v>
      </c>
      <c r="D182">
        <v>2023</v>
      </c>
      <c r="E182">
        <v>-1018973000</v>
      </c>
      <c r="F182" s="45" t="s">
        <v>372</v>
      </c>
      <c r="G182" t="s">
        <v>482</v>
      </c>
    </row>
    <row r="183" spans="1:7" x14ac:dyDescent="0.3">
      <c r="A183" t="s">
        <v>371</v>
      </c>
      <c r="B183" t="s">
        <v>324</v>
      </c>
      <c r="C183" t="s">
        <v>325</v>
      </c>
      <c r="D183">
        <v>2024</v>
      </c>
      <c r="E183">
        <v>307395000</v>
      </c>
      <c r="F183" s="45" t="s">
        <v>372</v>
      </c>
      <c r="G183" t="s">
        <v>377</v>
      </c>
    </row>
    <row r="184" spans="1:7" x14ac:dyDescent="0.3">
      <c r="A184" t="s">
        <v>371</v>
      </c>
      <c r="B184" t="s">
        <v>328</v>
      </c>
      <c r="C184" t="s">
        <v>329</v>
      </c>
      <c r="D184">
        <v>2019</v>
      </c>
      <c r="E184">
        <v>-273187000</v>
      </c>
      <c r="F184" s="45" t="s">
        <v>372</v>
      </c>
      <c r="G184" t="s">
        <v>483</v>
      </c>
    </row>
    <row r="185" spans="1:7" x14ac:dyDescent="0.3">
      <c r="A185" t="s">
        <v>371</v>
      </c>
      <c r="B185" t="s">
        <v>328</v>
      </c>
      <c r="C185" t="s">
        <v>329</v>
      </c>
      <c r="D185">
        <v>2020</v>
      </c>
      <c r="E185">
        <v>35697000</v>
      </c>
      <c r="F185" s="45" t="s">
        <v>372</v>
      </c>
      <c r="G185" t="s">
        <v>377</v>
      </c>
    </row>
    <row r="186" spans="1:7" x14ac:dyDescent="0.3">
      <c r="A186" t="s">
        <v>371</v>
      </c>
      <c r="B186" t="s">
        <v>328</v>
      </c>
      <c r="C186" t="s">
        <v>329</v>
      </c>
      <c r="D186">
        <v>2021</v>
      </c>
      <c r="E186">
        <v>-189182000</v>
      </c>
      <c r="F186" s="45" t="s">
        <v>372</v>
      </c>
      <c r="G186" t="s">
        <v>484</v>
      </c>
    </row>
    <row r="187" spans="1:7" x14ac:dyDescent="0.3">
      <c r="A187" t="s">
        <v>371</v>
      </c>
      <c r="B187" t="s">
        <v>328</v>
      </c>
      <c r="C187" t="s">
        <v>329</v>
      </c>
      <c r="D187">
        <v>2022</v>
      </c>
      <c r="E187">
        <v>110516000</v>
      </c>
      <c r="F187" s="45" t="s">
        <v>372</v>
      </c>
      <c r="G187" t="s">
        <v>377</v>
      </c>
    </row>
    <row r="188" spans="1:7" x14ac:dyDescent="0.3">
      <c r="A188" t="s">
        <v>371</v>
      </c>
      <c r="B188" t="s">
        <v>330</v>
      </c>
      <c r="C188" t="s">
        <v>331</v>
      </c>
      <c r="D188">
        <v>2021</v>
      </c>
      <c r="E188">
        <v>1113202000</v>
      </c>
      <c r="F188" s="45" t="s">
        <v>372</v>
      </c>
      <c r="G188" t="s">
        <v>485</v>
      </c>
    </row>
    <row r="189" spans="1:7" x14ac:dyDescent="0.3">
      <c r="A189" t="s">
        <v>371</v>
      </c>
      <c r="B189" t="s">
        <v>332</v>
      </c>
      <c r="C189" t="s">
        <v>333</v>
      </c>
      <c r="D189">
        <v>2016</v>
      </c>
      <c r="E189">
        <v>-24082000</v>
      </c>
      <c r="F189" s="45" t="s">
        <v>372</v>
      </c>
      <c r="G189" t="s">
        <v>486</v>
      </c>
    </row>
    <row r="190" spans="1:7" x14ac:dyDescent="0.3">
      <c r="A190" t="s">
        <v>371</v>
      </c>
      <c r="B190" t="s">
        <v>332</v>
      </c>
      <c r="C190" t="s">
        <v>333</v>
      </c>
      <c r="D190">
        <v>2020</v>
      </c>
      <c r="E190">
        <v>137262000</v>
      </c>
      <c r="F190" s="45" t="s">
        <v>372</v>
      </c>
      <c r="G190" t="s">
        <v>487</v>
      </c>
    </row>
    <row r="191" spans="1:7" x14ac:dyDescent="0.3">
      <c r="A191" t="s">
        <v>371</v>
      </c>
      <c r="B191" t="s">
        <v>332</v>
      </c>
      <c r="C191" t="s">
        <v>333</v>
      </c>
      <c r="D191">
        <v>2024</v>
      </c>
      <c r="E191">
        <v>26125000</v>
      </c>
      <c r="F191" s="45" t="s">
        <v>372</v>
      </c>
      <c r="G191" t="s">
        <v>488</v>
      </c>
    </row>
    <row r="192" spans="1:7" x14ac:dyDescent="0.3">
      <c r="A192" t="s">
        <v>371</v>
      </c>
      <c r="B192" t="s">
        <v>334</v>
      </c>
      <c r="C192" t="s">
        <v>335</v>
      </c>
      <c r="D192">
        <v>2021</v>
      </c>
      <c r="E192">
        <v>1333108000</v>
      </c>
      <c r="F192" s="45" t="s">
        <v>372</v>
      </c>
      <c r="G192" t="s">
        <v>489</v>
      </c>
    </row>
    <row r="193" spans="1:7" x14ac:dyDescent="0.3">
      <c r="A193" t="s">
        <v>371</v>
      </c>
      <c r="B193" t="s">
        <v>336</v>
      </c>
      <c r="C193" t="s">
        <v>337</v>
      </c>
      <c r="D193">
        <v>2019</v>
      </c>
      <c r="E193">
        <v>-59545000</v>
      </c>
      <c r="F193" s="45" t="s">
        <v>372</v>
      </c>
      <c r="G193" t="s">
        <v>377</v>
      </c>
    </row>
    <row r="194" spans="1:7" x14ac:dyDescent="0.3">
      <c r="A194" t="s">
        <v>371</v>
      </c>
      <c r="B194" t="s">
        <v>336</v>
      </c>
      <c r="C194" t="s">
        <v>337</v>
      </c>
      <c r="D194">
        <v>2020</v>
      </c>
      <c r="E194">
        <v>49049000</v>
      </c>
      <c r="F194" s="45" t="s">
        <v>372</v>
      </c>
      <c r="G194" t="s">
        <v>377</v>
      </c>
    </row>
    <row r="195" spans="1:7" x14ac:dyDescent="0.3">
      <c r="A195" t="s">
        <v>371</v>
      </c>
      <c r="B195" t="s">
        <v>336</v>
      </c>
      <c r="C195" t="s">
        <v>337</v>
      </c>
      <c r="D195">
        <v>2021</v>
      </c>
      <c r="E195">
        <v>571882000</v>
      </c>
      <c r="F195" s="45" t="s">
        <v>372</v>
      </c>
      <c r="G195" t="s">
        <v>490</v>
      </c>
    </row>
    <row r="196" spans="1:7" x14ac:dyDescent="0.3">
      <c r="A196" t="s">
        <v>371</v>
      </c>
      <c r="B196" t="s">
        <v>342</v>
      </c>
      <c r="C196" t="s">
        <v>343</v>
      </c>
      <c r="D196">
        <v>2020</v>
      </c>
      <c r="E196">
        <v>1394000000</v>
      </c>
      <c r="F196" s="45" t="s">
        <v>372</v>
      </c>
      <c r="G196" t="s">
        <v>491</v>
      </c>
    </row>
    <row r="197" spans="1:7" x14ac:dyDescent="0.3">
      <c r="A197" t="s">
        <v>492</v>
      </c>
      <c r="B197" t="s">
        <v>57</v>
      </c>
      <c r="C197" t="s">
        <v>58</v>
      </c>
      <c r="D197">
        <v>2016</v>
      </c>
      <c r="E197">
        <v>817078746</v>
      </c>
      <c r="F197" s="45" t="s">
        <v>372</v>
      </c>
      <c r="G197" t="s">
        <v>493</v>
      </c>
    </row>
    <row r="198" spans="1:7" x14ac:dyDescent="0.3">
      <c r="A198" t="s">
        <v>492</v>
      </c>
      <c r="B198" t="s">
        <v>57</v>
      </c>
      <c r="C198" t="s">
        <v>58</v>
      </c>
      <c r="D198">
        <v>2017</v>
      </c>
      <c r="E198">
        <v>1514538059</v>
      </c>
      <c r="F198" s="45" t="s">
        <v>372</v>
      </c>
      <c r="G198" t="s">
        <v>494</v>
      </c>
    </row>
    <row r="199" spans="1:7" x14ac:dyDescent="0.3">
      <c r="A199" t="s">
        <v>492</v>
      </c>
      <c r="B199" t="s">
        <v>59</v>
      </c>
      <c r="C199" t="s">
        <v>60</v>
      </c>
      <c r="D199">
        <v>2021</v>
      </c>
      <c r="E199">
        <v>1412323581</v>
      </c>
      <c r="F199" s="45" t="s">
        <v>372</v>
      </c>
      <c r="G199" t="s">
        <v>495</v>
      </c>
    </row>
    <row r="200" spans="1:7" x14ac:dyDescent="0.3">
      <c r="A200" t="s">
        <v>492</v>
      </c>
      <c r="B200" t="s">
        <v>81</v>
      </c>
      <c r="C200" t="s">
        <v>82</v>
      </c>
      <c r="D200">
        <v>2020</v>
      </c>
      <c r="E200">
        <v>871314724</v>
      </c>
      <c r="F200" s="45" t="s">
        <v>372</v>
      </c>
      <c r="G200" t="s">
        <v>496</v>
      </c>
    </row>
    <row r="201" spans="1:7" x14ac:dyDescent="0.3">
      <c r="A201" t="s">
        <v>492</v>
      </c>
      <c r="B201" t="s">
        <v>97</v>
      </c>
      <c r="C201" t="s">
        <v>98</v>
      </c>
      <c r="D201">
        <v>2021</v>
      </c>
      <c r="E201">
        <v>834754000</v>
      </c>
      <c r="F201" s="45" t="s">
        <v>372</v>
      </c>
      <c r="G201" t="s">
        <v>497</v>
      </c>
    </row>
    <row r="202" spans="1:7" x14ac:dyDescent="0.3">
      <c r="A202" t="s">
        <v>492</v>
      </c>
      <c r="B202" t="s">
        <v>97</v>
      </c>
      <c r="C202" t="s">
        <v>98</v>
      </c>
      <c r="D202">
        <v>2022</v>
      </c>
      <c r="E202">
        <v>1310754000</v>
      </c>
      <c r="F202" s="45" t="s">
        <v>372</v>
      </c>
      <c r="G202" t="s">
        <v>498</v>
      </c>
    </row>
    <row r="203" spans="1:7" x14ac:dyDescent="0.3">
      <c r="A203" t="s">
        <v>492</v>
      </c>
      <c r="B203" t="s">
        <v>105</v>
      </c>
      <c r="C203" t="s">
        <v>106</v>
      </c>
      <c r="D203">
        <v>2022</v>
      </c>
      <c r="E203">
        <v>940341988</v>
      </c>
      <c r="F203" s="45" t="s">
        <v>372</v>
      </c>
      <c r="G203" t="s">
        <v>499</v>
      </c>
    </row>
    <row r="204" spans="1:7" x14ac:dyDescent="0.3">
      <c r="A204" t="s">
        <v>492</v>
      </c>
      <c r="B204" t="s">
        <v>105</v>
      </c>
      <c r="C204" t="s">
        <v>106</v>
      </c>
      <c r="D204">
        <v>2023</v>
      </c>
      <c r="E204">
        <v>1995147895</v>
      </c>
      <c r="F204" s="45" t="s">
        <v>372</v>
      </c>
      <c r="G204" t="s">
        <v>500</v>
      </c>
    </row>
    <row r="205" spans="1:7" x14ac:dyDescent="0.3">
      <c r="A205" t="s">
        <v>492</v>
      </c>
      <c r="B205" t="s">
        <v>109</v>
      </c>
      <c r="C205" t="s">
        <v>110</v>
      </c>
      <c r="D205">
        <v>2021</v>
      </c>
      <c r="E205">
        <v>3059284000</v>
      </c>
      <c r="F205" s="45" t="s">
        <v>372</v>
      </c>
      <c r="G205" t="s">
        <v>501</v>
      </c>
    </row>
    <row r="206" spans="1:7" x14ac:dyDescent="0.3">
      <c r="A206" t="s">
        <v>492</v>
      </c>
      <c r="B206" t="s">
        <v>220</v>
      </c>
      <c r="C206" t="s">
        <v>221</v>
      </c>
      <c r="D206">
        <v>2019</v>
      </c>
      <c r="E206">
        <v>434084752</v>
      </c>
      <c r="F206" s="45" t="s">
        <v>372</v>
      </c>
      <c r="G206" t="s">
        <v>493</v>
      </c>
    </row>
    <row r="207" spans="1:7" x14ac:dyDescent="0.3">
      <c r="A207" t="s">
        <v>492</v>
      </c>
      <c r="B207" t="s">
        <v>222</v>
      </c>
      <c r="C207" t="s">
        <v>223</v>
      </c>
      <c r="D207">
        <v>2023</v>
      </c>
      <c r="E207">
        <v>1793300946</v>
      </c>
      <c r="F207" s="45" t="s">
        <v>372</v>
      </c>
      <c r="G207" t="s">
        <v>496</v>
      </c>
    </row>
    <row r="208" spans="1:7" x14ac:dyDescent="0.3">
      <c r="A208" t="s">
        <v>492</v>
      </c>
      <c r="B208" t="s">
        <v>222</v>
      </c>
      <c r="C208" t="s">
        <v>223</v>
      </c>
      <c r="D208">
        <v>2024</v>
      </c>
      <c r="E208">
        <v>1133302000</v>
      </c>
      <c r="F208" s="45" t="s">
        <v>372</v>
      </c>
      <c r="G208" t="s">
        <v>502</v>
      </c>
    </row>
    <row r="209" spans="1:7" x14ac:dyDescent="0.3">
      <c r="A209" t="s">
        <v>492</v>
      </c>
      <c r="B209" t="s">
        <v>254</v>
      </c>
      <c r="C209" t="s">
        <v>110</v>
      </c>
      <c r="D209">
        <v>2021</v>
      </c>
      <c r="E209">
        <v>3059284000</v>
      </c>
      <c r="F209" s="45" t="s">
        <v>372</v>
      </c>
      <c r="G209" t="s">
        <v>501</v>
      </c>
    </row>
    <row r="210" spans="1:7" x14ac:dyDescent="0.3">
      <c r="A210" t="s">
        <v>492</v>
      </c>
      <c r="B210" t="s">
        <v>309</v>
      </c>
      <c r="C210" t="s">
        <v>310</v>
      </c>
      <c r="D210">
        <v>2016</v>
      </c>
      <c r="E210">
        <v>468300000</v>
      </c>
      <c r="F210" s="45" t="s">
        <v>372</v>
      </c>
      <c r="G210" t="s">
        <v>503</v>
      </c>
    </row>
    <row r="211" spans="1:7" x14ac:dyDescent="0.3">
      <c r="A211" t="s">
        <v>492</v>
      </c>
      <c r="B211" t="s">
        <v>309</v>
      </c>
      <c r="C211" t="s">
        <v>310</v>
      </c>
      <c r="D211">
        <v>2020</v>
      </c>
      <c r="E211">
        <v>293848000</v>
      </c>
      <c r="F211" s="45" t="s">
        <v>372</v>
      </c>
      <c r="G211" t="s">
        <v>504</v>
      </c>
    </row>
    <row r="212" spans="1:7" x14ac:dyDescent="0.3">
      <c r="A212" t="s">
        <v>492</v>
      </c>
      <c r="B212" t="s">
        <v>313</v>
      </c>
      <c r="C212" t="s">
        <v>314</v>
      </c>
      <c r="D212">
        <v>2021</v>
      </c>
      <c r="E212">
        <v>610542810</v>
      </c>
      <c r="F212" s="45" t="s">
        <v>372</v>
      </c>
      <c r="G212" t="s">
        <v>505</v>
      </c>
    </row>
    <row r="213" spans="1:7" x14ac:dyDescent="0.3">
      <c r="A213" t="s">
        <v>492</v>
      </c>
      <c r="B213" t="s">
        <v>315</v>
      </c>
      <c r="C213" t="s">
        <v>316</v>
      </c>
      <c r="D213">
        <v>2020</v>
      </c>
      <c r="E213">
        <v>3527466937</v>
      </c>
      <c r="F213" s="45" t="s">
        <v>372</v>
      </c>
      <c r="G213" t="s">
        <v>506</v>
      </c>
    </row>
    <row r="214" spans="1:7" x14ac:dyDescent="0.3">
      <c r="A214" t="s">
        <v>492</v>
      </c>
      <c r="B214" t="s">
        <v>315</v>
      </c>
      <c r="C214" t="s">
        <v>316</v>
      </c>
      <c r="D214">
        <v>2021</v>
      </c>
      <c r="E214">
        <v>4962774957</v>
      </c>
      <c r="F214" s="45" t="s">
        <v>372</v>
      </c>
      <c r="G214" t="s">
        <v>507</v>
      </c>
    </row>
    <row r="215" spans="1:7" x14ac:dyDescent="0.3">
      <c r="A215" t="s">
        <v>492</v>
      </c>
      <c r="B215" t="s">
        <v>317</v>
      </c>
      <c r="C215" t="s">
        <v>318</v>
      </c>
      <c r="D215">
        <v>2016</v>
      </c>
      <c r="E215">
        <v>359870354</v>
      </c>
      <c r="F215" s="45" t="s">
        <v>372</v>
      </c>
      <c r="G215" t="s">
        <v>508</v>
      </c>
    </row>
    <row r="216" spans="1:7" x14ac:dyDescent="0.3">
      <c r="A216" t="s">
        <v>492</v>
      </c>
      <c r="B216" t="s">
        <v>317</v>
      </c>
      <c r="C216" t="s">
        <v>318</v>
      </c>
      <c r="D216">
        <v>2017</v>
      </c>
      <c r="E216">
        <v>467899126</v>
      </c>
      <c r="F216" s="45" t="s">
        <v>372</v>
      </c>
      <c r="G216" t="s">
        <v>509</v>
      </c>
    </row>
    <row r="217" spans="1:7" x14ac:dyDescent="0.3">
      <c r="A217" t="s">
        <v>492</v>
      </c>
      <c r="B217" t="s">
        <v>330</v>
      </c>
      <c r="C217" t="s">
        <v>331</v>
      </c>
      <c r="D217">
        <v>2022</v>
      </c>
      <c r="E217">
        <v>2653106000</v>
      </c>
      <c r="F217" s="45" t="s">
        <v>372</v>
      </c>
      <c r="G217" t="s">
        <v>509</v>
      </c>
    </row>
    <row r="218" spans="1:7" x14ac:dyDescent="0.3">
      <c r="A218" t="s">
        <v>510</v>
      </c>
      <c r="B218" t="s">
        <v>57</v>
      </c>
      <c r="C218" t="s">
        <v>58</v>
      </c>
      <c r="D218">
        <v>2016</v>
      </c>
      <c r="E218">
        <v>-0.75894736842105304</v>
      </c>
      <c r="F218" s="46" t="s">
        <v>511</v>
      </c>
      <c r="G218" t="s">
        <v>512</v>
      </c>
    </row>
    <row r="219" spans="1:7" x14ac:dyDescent="0.3">
      <c r="A219" t="s">
        <v>510</v>
      </c>
      <c r="B219" t="s">
        <v>105</v>
      </c>
      <c r="C219" t="s">
        <v>106</v>
      </c>
      <c r="D219">
        <v>2022</v>
      </c>
      <c r="E219">
        <v>-0.75593952483801297</v>
      </c>
      <c r="F219" s="46" t="s">
        <v>511</v>
      </c>
      <c r="G219" t="s">
        <v>513</v>
      </c>
    </row>
    <row r="220" spans="1:7" x14ac:dyDescent="0.3">
      <c r="A220" t="s">
        <v>510</v>
      </c>
      <c r="B220" t="s">
        <v>191</v>
      </c>
      <c r="C220" t="s">
        <v>192</v>
      </c>
      <c r="D220">
        <v>2024</v>
      </c>
      <c r="E220">
        <v>3.1983333333333301</v>
      </c>
      <c r="F220" s="46" t="s">
        <v>511</v>
      </c>
      <c r="G220" t="s">
        <v>514</v>
      </c>
    </row>
    <row r="221" spans="1:7" x14ac:dyDescent="0.3">
      <c r="A221" t="s">
        <v>510</v>
      </c>
      <c r="B221" t="s">
        <v>267</v>
      </c>
      <c r="C221" t="s">
        <v>112</v>
      </c>
      <c r="D221">
        <v>2023</v>
      </c>
      <c r="E221">
        <v>-1</v>
      </c>
      <c r="F221" s="46" t="s">
        <v>511</v>
      </c>
      <c r="G221" t="s">
        <v>515</v>
      </c>
    </row>
    <row r="222" spans="1:7" x14ac:dyDescent="0.3">
      <c r="A222" t="s">
        <v>510</v>
      </c>
      <c r="B222" t="s">
        <v>332</v>
      </c>
      <c r="C222" t="s">
        <v>333</v>
      </c>
      <c r="D222">
        <v>2019</v>
      </c>
      <c r="E222">
        <v>2.3027522935779801</v>
      </c>
      <c r="F222" s="46" t="s">
        <v>511</v>
      </c>
      <c r="G222" t="s">
        <v>516</v>
      </c>
    </row>
    <row r="223" spans="1:7" x14ac:dyDescent="0.3">
      <c r="A223" t="s">
        <v>510</v>
      </c>
      <c r="B223" t="s">
        <v>340</v>
      </c>
      <c r="C223" t="s">
        <v>341</v>
      </c>
      <c r="D223">
        <v>2020</v>
      </c>
      <c r="E223">
        <v>2.48207739575713</v>
      </c>
      <c r="F223" s="46" t="s">
        <v>511</v>
      </c>
      <c r="G223" t="s">
        <v>517</v>
      </c>
    </row>
    <row r="224" spans="1:7" x14ac:dyDescent="0.3">
      <c r="A224" t="s">
        <v>518</v>
      </c>
      <c r="B224" t="s">
        <v>47</v>
      </c>
      <c r="C224" t="s">
        <v>48</v>
      </c>
      <c r="D224">
        <v>2020</v>
      </c>
      <c r="E224">
        <v>75.423475514200007</v>
      </c>
      <c r="F224" s="45" t="s">
        <v>372</v>
      </c>
      <c r="G224" t="s">
        <v>519</v>
      </c>
    </row>
    <row r="225" spans="1:7" x14ac:dyDescent="0.3">
      <c r="A225" t="s">
        <v>518</v>
      </c>
      <c r="B225" t="s">
        <v>47</v>
      </c>
      <c r="C225" t="s">
        <v>48</v>
      </c>
      <c r="D225">
        <v>2021</v>
      </c>
      <c r="E225">
        <v>67.610326305699999</v>
      </c>
      <c r="F225" s="45" t="s">
        <v>372</v>
      </c>
      <c r="G225" t="s">
        <v>520</v>
      </c>
    </row>
    <row r="226" spans="1:7" x14ac:dyDescent="0.3">
      <c r="A226" t="s">
        <v>518</v>
      </c>
      <c r="B226" t="s">
        <v>57</v>
      </c>
      <c r="C226" t="s">
        <v>58</v>
      </c>
      <c r="D226">
        <v>2020</v>
      </c>
      <c r="E226">
        <v>130.8526626288</v>
      </c>
      <c r="F226" s="45" t="s">
        <v>372</v>
      </c>
      <c r="G226" t="s">
        <v>521</v>
      </c>
    </row>
    <row r="227" spans="1:7" x14ac:dyDescent="0.3">
      <c r="A227" t="s">
        <v>518</v>
      </c>
      <c r="B227" t="s">
        <v>59</v>
      </c>
      <c r="C227" t="s">
        <v>60</v>
      </c>
      <c r="D227">
        <v>2016</v>
      </c>
      <c r="E227">
        <v>170.40698500729999</v>
      </c>
      <c r="F227" s="45" t="s">
        <v>372</v>
      </c>
      <c r="G227" t="s">
        <v>522</v>
      </c>
    </row>
    <row r="228" spans="1:7" x14ac:dyDescent="0.3">
      <c r="A228" t="s">
        <v>518</v>
      </c>
      <c r="B228" t="s">
        <v>65</v>
      </c>
      <c r="C228" t="s">
        <v>66</v>
      </c>
      <c r="D228">
        <v>2018</v>
      </c>
      <c r="E228">
        <v>62.252305280000002</v>
      </c>
      <c r="F228" s="45" t="s">
        <v>372</v>
      </c>
      <c r="G228" t="s">
        <v>523</v>
      </c>
    </row>
    <row r="229" spans="1:7" x14ac:dyDescent="0.3">
      <c r="A229" t="s">
        <v>518</v>
      </c>
      <c r="B229" t="s">
        <v>71</v>
      </c>
      <c r="C229" t="s">
        <v>72</v>
      </c>
      <c r="D229">
        <v>2019</v>
      </c>
      <c r="E229">
        <v>336.16660136180002</v>
      </c>
      <c r="F229" s="45" t="s">
        <v>372</v>
      </c>
      <c r="G229" t="s">
        <v>524</v>
      </c>
    </row>
    <row r="230" spans="1:7" x14ac:dyDescent="0.3">
      <c r="A230" t="s">
        <v>518</v>
      </c>
      <c r="B230" t="s">
        <v>71</v>
      </c>
      <c r="C230" t="s">
        <v>72</v>
      </c>
      <c r="D230">
        <v>2021</v>
      </c>
      <c r="E230">
        <v>7.4860337192999999</v>
      </c>
      <c r="F230" s="45" t="s">
        <v>372</v>
      </c>
      <c r="G230" t="s">
        <v>525</v>
      </c>
    </row>
    <row r="231" spans="1:7" x14ac:dyDescent="0.3">
      <c r="A231" t="s">
        <v>518</v>
      </c>
      <c r="B231" t="s">
        <v>73</v>
      </c>
      <c r="C231" t="s">
        <v>74</v>
      </c>
      <c r="D231">
        <v>2020</v>
      </c>
      <c r="E231">
        <v>15274.16670672</v>
      </c>
      <c r="F231" s="45" t="s">
        <v>372</v>
      </c>
      <c r="G231" t="s">
        <v>526</v>
      </c>
    </row>
    <row r="232" spans="1:7" x14ac:dyDescent="0.3">
      <c r="A232" t="s">
        <v>518</v>
      </c>
      <c r="B232" t="s">
        <v>89</v>
      </c>
      <c r="C232" t="s">
        <v>90</v>
      </c>
      <c r="D232">
        <v>2021</v>
      </c>
      <c r="E232">
        <v>36.0501315789</v>
      </c>
      <c r="F232" s="45" t="s">
        <v>372</v>
      </c>
      <c r="G232" t="s">
        <v>527</v>
      </c>
    </row>
    <row r="233" spans="1:7" x14ac:dyDescent="0.3">
      <c r="A233" t="s">
        <v>518</v>
      </c>
      <c r="B233" t="s">
        <v>97</v>
      </c>
      <c r="C233" t="s">
        <v>98</v>
      </c>
      <c r="D233">
        <v>2017</v>
      </c>
      <c r="E233">
        <v>71.787523392899999</v>
      </c>
      <c r="F233" s="45" t="s">
        <v>372</v>
      </c>
      <c r="G233" t="s">
        <v>528</v>
      </c>
    </row>
    <row r="234" spans="1:7" x14ac:dyDescent="0.3">
      <c r="A234" t="s">
        <v>518</v>
      </c>
      <c r="B234" t="s">
        <v>97</v>
      </c>
      <c r="C234" t="s">
        <v>98</v>
      </c>
      <c r="D234">
        <v>2018</v>
      </c>
      <c r="E234">
        <v>260.8799654083</v>
      </c>
      <c r="F234" s="45" t="s">
        <v>372</v>
      </c>
      <c r="G234" t="s">
        <v>529</v>
      </c>
    </row>
    <row r="235" spans="1:7" x14ac:dyDescent="0.3">
      <c r="A235" t="s">
        <v>518</v>
      </c>
      <c r="B235" t="s">
        <v>97</v>
      </c>
      <c r="C235" t="s">
        <v>98</v>
      </c>
      <c r="D235">
        <v>2019</v>
      </c>
      <c r="E235">
        <v>212.73482804119999</v>
      </c>
      <c r="F235" s="45" t="s">
        <v>372</v>
      </c>
      <c r="G235" t="s">
        <v>530</v>
      </c>
    </row>
    <row r="236" spans="1:7" x14ac:dyDescent="0.3">
      <c r="A236" t="s">
        <v>518</v>
      </c>
      <c r="B236" t="s">
        <v>97</v>
      </c>
      <c r="C236" t="s">
        <v>98</v>
      </c>
      <c r="D236">
        <v>2020</v>
      </c>
      <c r="E236">
        <v>80.186142926399995</v>
      </c>
      <c r="F236" s="45" t="s">
        <v>372</v>
      </c>
      <c r="G236" t="s">
        <v>531</v>
      </c>
    </row>
    <row r="237" spans="1:7" x14ac:dyDescent="0.3">
      <c r="A237" t="s">
        <v>518</v>
      </c>
      <c r="B237" t="s">
        <v>97</v>
      </c>
      <c r="C237" t="s">
        <v>98</v>
      </c>
      <c r="D237">
        <v>2021</v>
      </c>
      <c r="E237">
        <v>309.52870364969999</v>
      </c>
      <c r="F237" s="45" t="s">
        <v>372</v>
      </c>
      <c r="G237" t="s">
        <v>532</v>
      </c>
    </row>
    <row r="238" spans="1:7" x14ac:dyDescent="0.3">
      <c r="A238" t="s">
        <v>518</v>
      </c>
      <c r="B238" t="s">
        <v>97</v>
      </c>
      <c r="C238" t="s">
        <v>98</v>
      </c>
      <c r="D238">
        <v>2022</v>
      </c>
      <c r="E238">
        <v>68.953057454800003</v>
      </c>
      <c r="F238" s="45" t="s">
        <v>372</v>
      </c>
      <c r="G238" t="s">
        <v>533</v>
      </c>
    </row>
    <row r="239" spans="1:7" x14ac:dyDescent="0.3">
      <c r="A239" t="s">
        <v>518</v>
      </c>
      <c r="B239" t="s">
        <v>97</v>
      </c>
      <c r="C239" t="s">
        <v>98</v>
      </c>
      <c r="D239">
        <v>2024</v>
      </c>
      <c r="E239">
        <v>41.024700378200002</v>
      </c>
      <c r="F239" s="45" t="s">
        <v>372</v>
      </c>
      <c r="G239" t="s">
        <v>534</v>
      </c>
    </row>
    <row r="240" spans="1:7" x14ac:dyDescent="0.3">
      <c r="A240" t="s">
        <v>518</v>
      </c>
      <c r="B240" t="s">
        <v>99</v>
      </c>
      <c r="C240" t="s">
        <v>100</v>
      </c>
      <c r="D240">
        <v>2016</v>
      </c>
      <c r="E240">
        <v>33.842148330800001</v>
      </c>
      <c r="F240" s="45" t="s">
        <v>372</v>
      </c>
      <c r="G240" t="s">
        <v>535</v>
      </c>
    </row>
    <row r="241" spans="1:7" x14ac:dyDescent="0.3">
      <c r="A241" t="s">
        <v>518</v>
      </c>
      <c r="B241" t="s">
        <v>99</v>
      </c>
      <c r="C241" t="s">
        <v>100</v>
      </c>
      <c r="D241">
        <v>2020</v>
      </c>
      <c r="E241">
        <v>103.8127153001</v>
      </c>
      <c r="F241" s="45" t="s">
        <v>372</v>
      </c>
      <c r="G241" t="s">
        <v>536</v>
      </c>
    </row>
    <row r="242" spans="1:7" x14ac:dyDescent="0.3">
      <c r="A242" t="s">
        <v>518</v>
      </c>
      <c r="B242" t="s">
        <v>105</v>
      </c>
      <c r="C242" t="s">
        <v>106</v>
      </c>
      <c r="D242">
        <v>2019</v>
      </c>
      <c r="E242">
        <v>23.332866127300001</v>
      </c>
      <c r="F242" s="45" t="s">
        <v>372</v>
      </c>
      <c r="G242" t="s">
        <v>537</v>
      </c>
    </row>
    <row r="243" spans="1:7" x14ac:dyDescent="0.3">
      <c r="A243" t="s">
        <v>518</v>
      </c>
      <c r="B243" t="s">
        <v>105</v>
      </c>
      <c r="C243" t="s">
        <v>106</v>
      </c>
      <c r="D243">
        <v>2023</v>
      </c>
      <c r="E243">
        <v>16.3847341098</v>
      </c>
      <c r="F243" s="45" t="s">
        <v>372</v>
      </c>
      <c r="G243" t="s">
        <v>538</v>
      </c>
    </row>
    <row r="244" spans="1:7" x14ac:dyDescent="0.3">
      <c r="A244" t="s">
        <v>518</v>
      </c>
      <c r="B244" t="s">
        <v>109</v>
      </c>
      <c r="C244" t="s">
        <v>110</v>
      </c>
      <c r="D244">
        <v>2020</v>
      </c>
      <c r="E244">
        <v>780.51963172410001</v>
      </c>
      <c r="F244" s="45" t="s">
        <v>372</v>
      </c>
      <c r="G244" t="s">
        <v>539</v>
      </c>
    </row>
    <row r="245" spans="1:7" x14ac:dyDescent="0.3">
      <c r="A245" t="s">
        <v>518</v>
      </c>
      <c r="B245" t="s">
        <v>111</v>
      </c>
      <c r="C245" t="s">
        <v>112</v>
      </c>
      <c r="D245">
        <v>2016</v>
      </c>
      <c r="E245">
        <v>82.573248308399997</v>
      </c>
      <c r="F245" s="45" t="s">
        <v>372</v>
      </c>
      <c r="G245" t="s">
        <v>540</v>
      </c>
    </row>
    <row r="246" spans="1:7" x14ac:dyDescent="0.3">
      <c r="A246" t="s">
        <v>518</v>
      </c>
      <c r="B246" t="s">
        <v>111</v>
      </c>
      <c r="C246" t="s">
        <v>112</v>
      </c>
      <c r="D246">
        <v>2017</v>
      </c>
      <c r="E246">
        <v>89.928466364800002</v>
      </c>
      <c r="F246" s="45" t="s">
        <v>372</v>
      </c>
      <c r="G246" t="s">
        <v>541</v>
      </c>
    </row>
    <row r="247" spans="1:7" x14ac:dyDescent="0.3">
      <c r="A247" t="s">
        <v>518</v>
      </c>
      <c r="B247" t="s">
        <v>113</v>
      </c>
      <c r="C247" t="s">
        <v>114</v>
      </c>
      <c r="D247">
        <v>2016</v>
      </c>
      <c r="E247">
        <v>381.03108964030002</v>
      </c>
      <c r="F247" s="45" t="s">
        <v>372</v>
      </c>
      <c r="G247" t="s">
        <v>542</v>
      </c>
    </row>
    <row r="248" spans="1:7" x14ac:dyDescent="0.3">
      <c r="A248" t="s">
        <v>518</v>
      </c>
      <c r="B248" t="s">
        <v>117</v>
      </c>
      <c r="C248" t="s">
        <v>118</v>
      </c>
      <c r="D248">
        <v>2017</v>
      </c>
      <c r="E248">
        <v>5.5899885850000004</v>
      </c>
      <c r="F248" s="45" t="s">
        <v>372</v>
      </c>
      <c r="G248" t="s">
        <v>543</v>
      </c>
    </row>
    <row r="249" spans="1:7" x14ac:dyDescent="0.3">
      <c r="A249" t="s">
        <v>518</v>
      </c>
      <c r="B249" t="s">
        <v>117</v>
      </c>
      <c r="C249" t="s">
        <v>118</v>
      </c>
      <c r="D249">
        <v>2021</v>
      </c>
      <c r="E249">
        <v>14.3520059447</v>
      </c>
      <c r="F249" s="45" t="s">
        <v>372</v>
      </c>
      <c r="G249" t="s">
        <v>544</v>
      </c>
    </row>
    <row r="250" spans="1:7" x14ac:dyDescent="0.3">
      <c r="A250" t="s">
        <v>518</v>
      </c>
      <c r="B250" t="s">
        <v>122</v>
      </c>
      <c r="C250" t="s">
        <v>123</v>
      </c>
      <c r="D250">
        <v>2020</v>
      </c>
      <c r="E250">
        <v>134.57627259169999</v>
      </c>
      <c r="F250" s="45" t="s">
        <v>372</v>
      </c>
      <c r="G250" t="s">
        <v>545</v>
      </c>
    </row>
    <row r="251" spans="1:7" x14ac:dyDescent="0.3">
      <c r="A251" t="s">
        <v>518</v>
      </c>
      <c r="B251" t="s">
        <v>122</v>
      </c>
      <c r="C251" t="s">
        <v>123</v>
      </c>
      <c r="D251">
        <v>2022</v>
      </c>
      <c r="E251">
        <v>91.963709261199995</v>
      </c>
      <c r="F251" s="45" t="s">
        <v>372</v>
      </c>
      <c r="G251" t="s">
        <v>546</v>
      </c>
    </row>
    <row r="252" spans="1:7" x14ac:dyDescent="0.3">
      <c r="A252" t="s">
        <v>518</v>
      </c>
      <c r="B252" t="s">
        <v>129</v>
      </c>
      <c r="C252" t="s">
        <v>130</v>
      </c>
      <c r="D252">
        <v>2023</v>
      </c>
      <c r="E252">
        <v>193.5245688</v>
      </c>
      <c r="F252" s="45" t="s">
        <v>372</v>
      </c>
      <c r="G252" t="s">
        <v>547</v>
      </c>
    </row>
    <row r="253" spans="1:7" x14ac:dyDescent="0.3">
      <c r="A253" t="s">
        <v>518</v>
      </c>
      <c r="B253" t="s">
        <v>133</v>
      </c>
      <c r="C253" t="s">
        <v>134</v>
      </c>
      <c r="D253">
        <v>2021</v>
      </c>
      <c r="E253">
        <v>46.173740000000002</v>
      </c>
      <c r="F253" s="45" t="s">
        <v>372</v>
      </c>
      <c r="G253" t="s">
        <v>548</v>
      </c>
    </row>
    <row r="254" spans="1:7" x14ac:dyDescent="0.3">
      <c r="A254" t="s">
        <v>518</v>
      </c>
      <c r="B254" t="s">
        <v>139</v>
      </c>
      <c r="C254" t="s">
        <v>140</v>
      </c>
      <c r="D254">
        <v>2017</v>
      </c>
      <c r="E254">
        <v>101.5533594237</v>
      </c>
      <c r="F254" s="45" t="s">
        <v>372</v>
      </c>
      <c r="G254" t="s">
        <v>549</v>
      </c>
    </row>
    <row r="255" spans="1:7" x14ac:dyDescent="0.3">
      <c r="A255" t="s">
        <v>518</v>
      </c>
      <c r="B255" t="s">
        <v>139</v>
      </c>
      <c r="C255" t="s">
        <v>140</v>
      </c>
      <c r="D255">
        <v>2021</v>
      </c>
      <c r="E255">
        <v>19.484354817300002</v>
      </c>
      <c r="F255" s="45" t="s">
        <v>372</v>
      </c>
      <c r="G255" t="s">
        <v>550</v>
      </c>
    </row>
    <row r="256" spans="1:7" x14ac:dyDescent="0.3">
      <c r="A256" t="s">
        <v>518</v>
      </c>
      <c r="B256" t="s">
        <v>141</v>
      </c>
      <c r="C256" t="s">
        <v>142</v>
      </c>
      <c r="D256">
        <v>2022</v>
      </c>
      <c r="E256">
        <v>99.786096256700006</v>
      </c>
      <c r="F256" s="45" t="s">
        <v>372</v>
      </c>
      <c r="G256" t="s">
        <v>551</v>
      </c>
    </row>
    <row r="257" spans="1:7" x14ac:dyDescent="0.3">
      <c r="A257" t="s">
        <v>518</v>
      </c>
      <c r="B257" t="s">
        <v>147</v>
      </c>
      <c r="C257" t="s">
        <v>148</v>
      </c>
      <c r="D257">
        <v>2020</v>
      </c>
      <c r="E257">
        <v>38.117959577900002</v>
      </c>
      <c r="F257" s="45" t="s">
        <v>372</v>
      </c>
      <c r="G257" t="s">
        <v>552</v>
      </c>
    </row>
    <row r="258" spans="1:7" x14ac:dyDescent="0.3">
      <c r="A258" t="s">
        <v>518</v>
      </c>
      <c r="B258" t="s">
        <v>157</v>
      </c>
      <c r="C258" t="s">
        <v>158</v>
      </c>
      <c r="D258">
        <v>2017</v>
      </c>
      <c r="E258">
        <v>4.9251770701000002</v>
      </c>
      <c r="F258" s="45" t="s">
        <v>372</v>
      </c>
      <c r="G258" t="s">
        <v>553</v>
      </c>
    </row>
    <row r="259" spans="1:7" x14ac:dyDescent="0.3">
      <c r="A259" t="s">
        <v>518</v>
      </c>
      <c r="B259" t="s">
        <v>157</v>
      </c>
      <c r="C259" t="s">
        <v>158</v>
      </c>
      <c r="D259">
        <v>2019</v>
      </c>
      <c r="E259">
        <v>29.3405376344</v>
      </c>
      <c r="F259" s="45" t="s">
        <v>372</v>
      </c>
      <c r="G259" t="s">
        <v>554</v>
      </c>
    </row>
    <row r="260" spans="1:7" x14ac:dyDescent="0.3">
      <c r="A260" t="s">
        <v>518</v>
      </c>
      <c r="B260" t="s">
        <v>157</v>
      </c>
      <c r="C260" t="s">
        <v>158</v>
      </c>
      <c r="D260">
        <v>2023</v>
      </c>
      <c r="E260">
        <v>61.563036750499997</v>
      </c>
      <c r="F260" s="45" t="s">
        <v>372</v>
      </c>
      <c r="G260" t="s">
        <v>555</v>
      </c>
    </row>
    <row r="261" spans="1:7" x14ac:dyDescent="0.3">
      <c r="A261" t="s">
        <v>518</v>
      </c>
      <c r="B261" t="s">
        <v>167</v>
      </c>
      <c r="C261" t="s">
        <v>168</v>
      </c>
      <c r="D261">
        <v>2020</v>
      </c>
      <c r="E261">
        <v>82.879728260899995</v>
      </c>
      <c r="F261" s="45" t="s">
        <v>372</v>
      </c>
      <c r="G261" t="s">
        <v>556</v>
      </c>
    </row>
    <row r="262" spans="1:7" x14ac:dyDescent="0.3">
      <c r="A262" t="s">
        <v>518</v>
      </c>
      <c r="B262" t="s">
        <v>173</v>
      </c>
      <c r="C262" t="s">
        <v>174</v>
      </c>
      <c r="D262">
        <v>2020</v>
      </c>
      <c r="E262">
        <v>81.346187034500005</v>
      </c>
      <c r="F262" s="45" t="s">
        <v>372</v>
      </c>
      <c r="G262" t="s">
        <v>557</v>
      </c>
    </row>
    <row r="263" spans="1:7" x14ac:dyDescent="0.3">
      <c r="A263" t="s">
        <v>518</v>
      </c>
      <c r="B263" t="s">
        <v>175</v>
      </c>
      <c r="C263" t="s">
        <v>176</v>
      </c>
      <c r="D263">
        <v>2017</v>
      </c>
      <c r="E263">
        <v>74.031441541899994</v>
      </c>
      <c r="F263" s="45" t="s">
        <v>372</v>
      </c>
      <c r="G263" t="s">
        <v>558</v>
      </c>
    </row>
    <row r="264" spans="1:7" x14ac:dyDescent="0.3">
      <c r="A264" t="s">
        <v>518</v>
      </c>
      <c r="B264" t="s">
        <v>179</v>
      </c>
      <c r="C264" t="s">
        <v>180</v>
      </c>
      <c r="D264">
        <v>2016</v>
      </c>
      <c r="E264">
        <v>86.664682606</v>
      </c>
      <c r="F264" s="45" t="s">
        <v>372</v>
      </c>
      <c r="G264" t="s">
        <v>559</v>
      </c>
    </row>
    <row r="265" spans="1:7" x14ac:dyDescent="0.3">
      <c r="A265" t="s">
        <v>518</v>
      </c>
      <c r="B265" t="s">
        <v>179</v>
      </c>
      <c r="C265" t="s">
        <v>180</v>
      </c>
      <c r="D265">
        <v>2017</v>
      </c>
      <c r="E265">
        <v>185.19649452889999</v>
      </c>
      <c r="F265" s="45" t="s">
        <v>372</v>
      </c>
      <c r="G265" t="s">
        <v>560</v>
      </c>
    </row>
    <row r="266" spans="1:7" x14ac:dyDescent="0.3">
      <c r="A266" t="s">
        <v>518</v>
      </c>
      <c r="B266" t="s">
        <v>179</v>
      </c>
      <c r="C266" t="s">
        <v>180</v>
      </c>
      <c r="D266">
        <v>2024</v>
      </c>
      <c r="E266">
        <v>118.5860080631</v>
      </c>
      <c r="F266" s="45" t="s">
        <v>372</v>
      </c>
      <c r="G266" t="s">
        <v>561</v>
      </c>
    </row>
    <row r="267" spans="1:7" x14ac:dyDescent="0.3">
      <c r="A267" t="s">
        <v>518</v>
      </c>
      <c r="B267" t="s">
        <v>181</v>
      </c>
      <c r="C267" t="s">
        <v>182</v>
      </c>
      <c r="D267">
        <v>2020</v>
      </c>
      <c r="E267">
        <v>3737.6586000000002</v>
      </c>
      <c r="F267" s="45" t="s">
        <v>372</v>
      </c>
      <c r="G267" t="s">
        <v>562</v>
      </c>
    </row>
    <row r="268" spans="1:7" x14ac:dyDescent="0.3">
      <c r="A268" t="s">
        <v>518</v>
      </c>
      <c r="B268" t="s">
        <v>183</v>
      </c>
      <c r="C268" t="s">
        <v>184</v>
      </c>
      <c r="D268">
        <v>2017</v>
      </c>
      <c r="E268">
        <v>5.4763586509</v>
      </c>
      <c r="F268" s="45" t="s">
        <v>372</v>
      </c>
      <c r="G268" t="s">
        <v>563</v>
      </c>
    </row>
    <row r="269" spans="1:7" x14ac:dyDescent="0.3">
      <c r="A269" t="s">
        <v>518</v>
      </c>
      <c r="B269" t="s">
        <v>183</v>
      </c>
      <c r="C269" t="s">
        <v>184</v>
      </c>
      <c r="D269">
        <v>2018</v>
      </c>
      <c r="E269">
        <v>30.113143400999999</v>
      </c>
      <c r="F269" s="45" t="s">
        <v>372</v>
      </c>
      <c r="G269" t="s">
        <v>564</v>
      </c>
    </row>
    <row r="270" spans="1:7" x14ac:dyDescent="0.3">
      <c r="A270" t="s">
        <v>518</v>
      </c>
      <c r="B270" t="s">
        <v>185</v>
      </c>
      <c r="C270" t="s">
        <v>186</v>
      </c>
      <c r="D270">
        <v>2024</v>
      </c>
      <c r="E270">
        <v>88.196478873199993</v>
      </c>
      <c r="F270" s="45" t="s">
        <v>372</v>
      </c>
      <c r="G270" t="s">
        <v>565</v>
      </c>
    </row>
    <row r="271" spans="1:7" x14ac:dyDescent="0.3">
      <c r="A271" t="s">
        <v>518</v>
      </c>
      <c r="B271" t="s">
        <v>187</v>
      </c>
      <c r="C271" t="s">
        <v>188</v>
      </c>
      <c r="D271">
        <v>2020</v>
      </c>
      <c r="E271">
        <v>73.125156104400006</v>
      </c>
      <c r="F271" s="45" t="s">
        <v>372</v>
      </c>
      <c r="G271" t="s">
        <v>566</v>
      </c>
    </row>
    <row r="272" spans="1:7" x14ac:dyDescent="0.3">
      <c r="A272" t="s">
        <v>518</v>
      </c>
      <c r="B272" t="s">
        <v>187</v>
      </c>
      <c r="C272" t="s">
        <v>188</v>
      </c>
      <c r="D272">
        <v>2021</v>
      </c>
      <c r="E272">
        <v>95.370536801399993</v>
      </c>
      <c r="F272" s="45" t="s">
        <v>372</v>
      </c>
      <c r="G272" t="s">
        <v>567</v>
      </c>
    </row>
    <row r="273" spans="1:7" x14ac:dyDescent="0.3">
      <c r="A273" t="s">
        <v>518</v>
      </c>
      <c r="B273" t="s">
        <v>187</v>
      </c>
      <c r="C273" t="s">
        <v>188</v>
      </c>
      <c r="D273">
        <v>2023</v>
      </c>
      <c r="E273">
        <v>115.1267085848</v>
      </c>
      <c r="F273" s="45" t="s">
        <v>372</v>
      </c>
      <c r="G273" t="s">
        <v>568</v>
      </c>
    </row>
    <row r="274" spans="1:7" x14ac:dyDescent="0.3">
      <c r="A274" t="s">
        <v>518</v>
      </c>
      <c r="B274" t="s">
        <v>187</v>
      </c>
      <c r="C274" t="s">
        <v>188</v>
      </c>
      <c r="D274">
        <v>2024</v>
      </c>
      <c r="E274">
        <v>176.70822894290001</v>
      </c>
      <c r="F274" s="45" t="s">
        <v>372</v>
      </c>
      <c r="G274" t="s">
        <v>569</v>
      </c>
    </row>
    <row r="275" spans="1:7" x14ac:dyDescent="0.3">
      <c r="A275" t="s">
        <v>518</v>
      </c>
      <c r="B275" t="s">
        <v>191</v>
      </c>
      <c r="C275" t="s">
        <v>192</v>
      </c>
      <c r="D275">
        <v>2019</v>
      </c>
      <c r="E275">
        <v>97.545218629900006</v>
      </c>
      <c r="F275" s="45" t="s">
        <v>372</v>
      </c>
      <c r="G275" t="s">
        <v>570</v>
      </c>
    </row>
    <row r="276" spans="1:7" x14ac:dyDescent="0.3">
      <c r="A276" t="s">
        <v>518</v>
      </c>
      <c r="B276" t="s">
        <v>191</v>
      </c>
      <c r="C276" t="s">
        <v>192</v>
      </c>
      <c r="D276">
        <v>2024</v>
      </c>
      <c r="E276">
        <v>24.078420489500001</v>
      </c>
      <c r="F276" s="45" t="s">
        <v>372</v>
      </c>
      <c r="G276" t="s">
        <v>571</v>
      </c>
    </row>
    <row r="277" spans="1:7" x14ac:dyDescent="0.3">
      <c r="A277" t="s">
        <v>518</v>
      </c>
      <c r="B277" t="s">
        <v>201</v>
      </c>
      <c r="C277" t="s">
        <v>202</v>
      </c>
      <c r="D277">
        <v>2016</v>
      </c>
      <c r="E277">
        <v>74.447203319500005</v>
      </c>
      <c r="F277" s="45" t="s">
        <v>372</v>
      </c>
      <c r="G277" t="s">
        <v>572</v>
      </c>
    </row>
    <row r="278" spans="1:7" x14ac:dyDescent="0.3">
      <c r="A278" t="s">
        <v>518</v>
      </c>
      <c r="B278" t="s">
        <v>201</v>
      </c>
      <c r="C278" t="s">
        <v>202</v>
      </c>
      <c r="D278">
        <v>2017</v>
      </c>
      <c r="E278">
        <v>105.4203200776</v>
      </c>
      <c r="F278" s="45" t="s">
        <v>372</v>
      </c>
      <c r="G278" t="s">
        <v>573</v>
      </c>
    </row>
    <row r="279" spans="1:7" x14ac:dyDescent="0.3">
      <c r="A279" t="s">
        <v>518</v>
      </c>
      <c r="B279" t="s">
        <v>201</v>
      </c>
      <c r="C279" t="s">
        <v>202</v>
      </c>
      <c r="D279">
        <v>2018</v>
      </c>
      <c r="E279">
        <v>110.4670817121</v>
      </c>
      <c r="F279" s="45" t="s">
        <v>372</v>
      </c>
      <c r="G279" t="s">
        <v>574</v>
      </c>
    </row>
    <row r="280" spans="1:7" x14ac:dyDescent="0.3">
      <c r="A280" t="s">
        <v>518</v>
      </c>
      <c r="B280" t="s">
        <v>201</v>
      </c>
      <c r="C280" t="s">
        <v>202</v>
      </c>
      <c r="D280">
        <v>2019</v>
      </c>
      <c r="E280">
        <v>112.2022868606</v>
      </c>
      <c r="F280" s="45" t="s">
        <v>372</v>
      </c>
      <c r="G280" t="s">
        <v>575</v>
      </c>
    </row>
    <row r="281" spans="1:7" x14ac:dyDescent="0.3">
      <c r="A281" t="s">
        <v>518</v>
      </c>
      <c r="B281" t="s">
        <v>201</v>
      </c>
      <c r="C281" t="s">
        <v>202</v>
      </c>
      <c r="D281">
        <v>2020</v>
      </c>
      <c r="E281">
        <v>100.88690844760001</v>
      </c>
      <c r="F281" s="45" t="s">
        <v>372</v>
      </c>
      <c r="G281" t="s">
        <v>576</v>
      </c>
    </row>
    <row r="282" spans="1:7" x14ac:dyDescent="0.3">
      <c r="A282" t="s">
        <v>518</v>
      </c>
      <c r="B282" t="s">
        <v>201</v>
      </c>
      <c r="C282" t="s">
        <v>202</v>
      </c>
      <c r="D282">
        <v>2021</v>
      </c>
      <c r="E282">
        <v>78.147820895500004</v>
      </c>
      <c r="F282" s="45" t="s">
        <v>372</v>
      </c>
      <c r="G282" t="s">
        <v>577</v>
      </c>
    </row>
    <row r="283" spans="1:7" x14ac:dyDescent="0.3">
      <c r="A283" t="s">
        <v>518</v>
      </c>
      <c r="B283" t="s">
        <v>201</v>
      </c>
      <c r="C283" t="s">
        <v>202</v>
      </c>
      <c r="D283">
        <v>2022</v>
      </c>
      <c r="E283">
        <v>508.27791469580001</v>
      </c>
      <c r="F283" s="45" t="s">
        <v>372</v>
      </c>
      <c r="G283" t="s">
        <v>578</v>
      </c>
    </row>
    <row r="284" spans="1:7" x14ac:dyDescent="0.3">
      <c r="A284" t="s">
        <v>518</v>
      </c>
      <c r="B284" t="s">
        <v>201</v>
      </c>
      <c r="C284" t="s">
        <v>202</v>
      </c>
      <c r="D284">
        <v>2023</v>
      </c>
      <c r="E284">
        <v>65.582072289199999</v>
      </c>
      <c r="F284" s="45" t="s">
        <v>372</v>
      </c>
      <c r="G284" t="s">
        <v>579</v>
      </c>
    </row>
    <row r="285" spans="1:7" x14ac:dyDescent="0.3">
      <c r="A285" t="s">
        <v>518</v>
      </c>
      <c r="B285" t="s">
        <v>214</v>
      </c>
      <c r="C285" t="s">
        <v>215</v>
      </c>
      <c r="D285">
        <v>2018</v>
      </c>
      <c r="E285">
        <v>35.3999257786</v>
      </c>
      <c r="F285" s="45" t="s">
        <v>372</v>
      </c>
      <c r="G285" t="s">
        <v>413</v>
      </c>
    </row>
    <row r="286" spans="1:7" x14ac:dyDescent="0.3">
      <c r="A286" t="s">
        <v>518</v>
      </c>
      <c r="B286" t="s">
        <v>214</v>
      </c>
      <c r="C286" t="s">
        <v>215</v>
      </c>
      <c r="D286">
        <v>2020</v>
      </c>
      <c r="E286">
        <v>140.33762251530001</v>
      </c>
      <c r="F286" s="45" t="s">
        <v>372</v>
      </c>
      <c r="G286" t="s">
        <v>580</v>
      </c>
    </row>
    <row r="287" spans="1:7" x14ac:dyDescent="0.3">
      <c r="A287" t="s">
        <v>518</v>
      </c>
      <c r="B287" t="s">
        <v>214</v>
      </c>
      <c r="C287" t="s">
        <v>215</v>
      </c>
      <c r="D287">
        <v>2021</v>
      </c>
      <c r="E287">
        <v>1068.2135989650999</v>
      </c>
      <c r="F287" s="45" t="s">
        <v>372</v>
      </c>
      <c r="G287" t="s">
        <v>581</v>
      </c>
    </row>
    <row r="288" spans="1:7" x14ac:dyDescent="0.3">
      <c r="A288" t="s">
        <v>518</v>
      </c>
      <c r="B288" t="s">
        <v>220</v>
      </c>
      <c r="C288" t="s">
        <v>221</v>
      </c>
      <c r="D288">
        <v>2020</v>
      </c>
      <c r="E288">
        <v>654.05960991819995</v>
      </c>
      <c r="F288" s="45" t="s">
        <v>372</v>
      </c>
      <c r="G288" t="s">
        <v>582</v>
      </c>
    </row>
    <row r="289" spans="1:7" x14ac:dyDescent="0.3">
      <c r="A289" t="s">
        <v>518</v>
      </c>
      <c r="B289" t="s">
        <v>226</v>
      </c>
      <c r="C289" t="s">
        <v>227</v>
      </c>
      <c r="D289">
        <v>2020</v>
      </c>
      <c r="E289">
        <v>66.322965379899998</v>
      </c>
      <c r="F289" s="45" t="s">
        <v>372</v>
      </c>
      <c r="G289" t="s">
        <v>583</v>
      </c>
    </row>
    <row r="290" spans="1:7" x14ac:dyDescent="0.3">
      <c r="A290" t="s">
        <v>518</v>
      </c>
      <c r="B290" t="s">
        <v>226</v>
      </c>
      <c r="C290" t="s">
        <v>227</v>
      </c>
      <c r="D290">
        <v>2021</v>
      </c>
      <c r="E290">
        <v>65.726558233099993</v>
      </c>
      <c r="F290" s="45" t="s">
        <v>372</v>
      </c>
      <c r="G290" t="s">
        <v>584</v>
      </c>
    </row>
    <row r="291" spans="1:7" x14ac:dyDescent="0.3">
      <c r="A291" t="s">
        <v>518</v>
      </c>
      <c r="B291" t="s">
        <v>234</v>
      </c>
      <c r="C291" t="s">
        <v>235</v>
      </c>
      <c r="D291">
        <v>2022</v>
      </c>
      <c r="E291">
        <v>231.4557142857</v>
      </c>
      <c r="F291" s="45" t="s">
        <v>372</v>
      </c>
      <c r="G291" t="s">
        <v>585</v>
      </c>
    </row>
    <row r="292" spans="1:7" x14ac:dyDescent="0.3">
      <c r="A292" t="s">
        <v>518</v>
      </c>
      <c r="B292" t="s">
        <v>240</v>
      </c>
      <c r="C292" t="s">
        <v>241</v>
      </c>
      <c r="D292">
        <v>2021</v>
      </c>
      <c r="E292">
        <v>107.3055635632</v>
      </c>
      <c r="F292" s="45" t="s">
        <v>372</v>
      </c>
      <c r="G292" t="s">
        <v>586</v>
      </c>
    </row>
    <row r="293" spans="1:7" x14ac:dyDescent="0.3">
      <c r="A293" t="s">
        <v>518</v>
      </c>
      <c r="B293" t="s">
        <v>254</v>
      </c>
      <c r="C293" t="s">
        <v>110</v>
      </c>
      <c r="D293">
        <v>2020</v>
      </c>
      <c r="E293">
        <v>348.19907172410001</v>
      </c>
      <c r="F293" s="45" t="s">
        <v>372</v>
      </c>
      <c r="G293" t="s">
        <v>587</v>
      </c>
    </row>
    <row r="294" spans="1:7" x14ac:dyDescent="0.3">
      <c r="A294" t="s">
        <v>518</v>
      </c>
      <c r="B294" t="s">
        <v>255</v>
      </c>
      <c r="C294" t="s">
        <v>256</v>
      </c>
      <c r="D294">
        <v>2020</v>
      </c>
      <c r="E294">
        <v>111.8944527182</v>
      </c>
      <c r="F294" s="45" t="s">
        <v>372</v>
      </c>
      <c r="G294" t="s">
        <v>588</v>
      </c>
    </row>
    <row r="295" spans="1:7" x14ac:dyDescent="0.3">
      <c r="A295" t="s">
        <v>518</v>
      </c>
      <c r="B295" t="s">
        <v>257</v>
      </c>
      <c r="C295" t="s">
        <v>258</v>
      </c>
      <c r="D295">
        <v>2019</v>
      </c>
      <c r="E295">
        <v>61.7824996975</v>
      </c>
      <c r="F295" s="45" t="s">
        <v>372</v>
      </c>
      <c r="G295" t="s">
        <v>589</v>
      </c>
    </row>
    <row r="296" spans="1:7" x14ac:dyDescent="0.3">
      <c r="A296" t="s">
        <v>518</v>
      </c>
      <c r="B296" t="s">
        <v>257</v>
      </c>
      <c r="C296" t="s">
        <v>258</v>
      </c>
      <c r="D296">
        <v>2020</v>
      </c>
      <c r="E296">
        <v>88.132340362999997</v>
      </c>
      <c r="F296" s="45" t="s">
        <v>372</v>
      </c>
      <c r="G296" t="s">
        <v>590</v>
      </c>
    </row>
    <row r="297" spans="1:7" x14ac:dyDescent="0.3">
      <c r="A297" t="s">
        <v>518</v>
      </c>
      <c r="B297" t="s">
        <v>257</v>
      </c>
      <c r="C297" t="s">
        <v>258</v>
      </c>
      <c r="D297">
        <v>2021</v>
      </c>
      <c r="E297">
        <v>88.554505810899997</v>
      </c>
      <c r="F297" s="45" t="s">
        <v>372</v>
      </c>
      <c r="G297" t="s">
        <v>591</v>
      </c>
    </row>
    <row r="298" spans="1:7" x14ac:dyDescent="0.3">
      <c r="A298" t="s">
        <v>518</v>
      </c>
      <c r="B298" t="s">
        <v>261</v>
      </c>
      <c r="C298" t="s">
        <v>262</v>
      </c>
      <c r="D298">
        <v>2022</v>
      </c>
      <c r="E298">
        <v>37.855386288699997</v>
      </c>
      <c r="F298" s="45" t="s">
        <v>372</v>
      </c>
      <c r="G298" t="s">
        <v>592</v>
      </c>
    </row>
    <row r="299" spans="1:7" x14ac:dyDescent="0.3">
      <c r="A299" t="s">
        <v>518</v>
      </c>
      <c r="B299" t="s">
        <v>261</v>
      </c>
      <c r="C299" t="s">
        <v>262</v>
      </c>
      <c r="D299">
        <v>2024</v>
      </c>
      <c r="E299">
        <v>69.386082461300006</v>
      </c>
      <c r="F299" s="45" t="s">
        <v>372</v>
      </c>
      <c r="G299" t="s">
        <v>593</v>
      </c>
    </row>
    <row r="300" spans="1:7" x14ac:dyDescent="0.3">
      <c r="A300" t="s">
        <v>518</v>
      </c>
      <c r="B300" t="s">
        <v>265</v>
      </c>
      <c r="C300" t="s">
        <v>266</v>
      </c>
      <c r="D300">
        <v>2021</v>
      </c>
      <c r="E300">
        <v>6.8984196856000004</v>
      </c>
      <c r="F300" s="45" t="s">
        <v>372</v>
      </c>
      <c r="G300" t="s">
        <v>594</v>
      </c>
    </row>
    <row r="301" spans="1:7" x14ac:dyDescent="0.3">
      <c r="A301" t="s">
        <v>518</v>
      </c>
      <c r="B301" t="s">
        <v>265</v>
      </c>
      <c r="C301" t="s">
        <v>266</v>
      </c>
      <c r="D301">
        <v>2023</v>
      </c>
      <c r="E301">
        <v>18.984168562400001</v>
      </c>
      <c r="F301" s="45" t="s">
        <v>372</v>
      </c>
      <c r="G301" t="s">
        <v>595</v>
      </c>
    </row>
    <row r="302" spans="1:7" x14ac:dyDescent="0.3">
      <c r="A302" t="s">
        <v>518</v>
      </c>
      <c r="B302" t="s">
        <v>265</v>
      </c>
      <c r="C302" t="s">
        <v>266</v>
      </c>
      <c r="D302">
        <v>2024</v>
      </c>
      <c r="E302">
        <v>110.1264872357</v>
      </c>
      <c r="F302" s="45" t="s">
        <v>372</v>
      </c>
      <c r="G302" t="s">
        <v>596</v>
      </c>
    </row>
    <row r="303" spans="1:7" x14ac:dyDescent="0.3">
      <c r="A303" t="s">
        <v>518</v>
      </c>
      <c r="B303" t="s">
        <v>267</v>
      </c>
      <c r="C303" t="s">
        <v>112</v>
      </c>
      <c r="D303">
        <v>2017</v>
      </c>
      <c r="E303">
        <v>60.525629287299999</v>
      </c>
      <c r="F303" s="45" t="s">
        <v>372</v>
      </c>
      <c r="G303" t="s">
        <v>597</v>
      </c>
    </row>
    <row r="304" spans="1:7" x14ac:dyDescent="0.3">
      <c r="A304" t="s">
        <v>518</v>
      </c>
      <c r="B304" t="s">
        <v>269</v>
      </c>
      <c r="C304" t="s">
        <v>270</v>
      </c>
      <c r="D304">
        <v>2021</v>
      </c>
      <c r="E304">
        <v>9.3611667792999995</v>
      </c>
      <c r="F304" s="45" t="s">
        <v>372</v>
      </c>
      <c r="G304" t="s">
        <v>598</v>
      </c>
    </row>
    <row r="305" spans="1:7" x14ac:dyDescent="0.3">
      <c r="A305" t="s">
        <v>518</v>
      </c>
      <c r="B305" t="s">
        <v>271</v>
      </c>
      <c r="C305" t="s">
        <v>272</v>
      </c>
      <c r="D305">
        <v>2021</v>
      </c>
      <c r="E305">
        <v>55.271625525799998</v>
      </c>
      <c r="F305" s="45" t="s">
        <v>372</v>
      </c>
      <c r="G305" t="s">
        <v>599</v>
      </c>
    </row>
    <row r="306" spans="1:7" x14ac:dyDescent="0.3">
      <c r="A306" t="s">
        <v>518</v>
      </c>
      <c r="B306" t="s">
        <v>271</v>
      </c>
      <c r="C306" t="s">
        <v>272</v>
      </c>
      <c r="D306">
        <v>2024</v>
      </c>
      <c r="E306">
        <v>70.174889354200005</v>
      </c>
      <c r="F306" s="45" t="s">
        <v>372</v>
      </c>
      <c r="G306" t="s">
        <v>600</v>
      </c>
    </row>
    <row r="307" spans="1:7" x14ac:dyDescent="0.3">
      <c r="A307" t="s">
        <v>518</v>
      </c>
      <c r="B307" t="s">
        <v>280</v>
      </c>
      <c r="C307" t="s">
        <v>281</v>
      </c>
      <c r="D307">
        <v>2021</v>
      </c>
      <c r="E307">
        <v>69.3097919163</v>
      </c>
      <c r="F307" s="45" t="s">
        <v>372</v>
      </c>
      <c r="G307" t="s">
        <v>601</v>
      </c>
    </row>
    <row r="308" spans="1:7" x14ac:dyDescent="0.3">
      <c r="A308" t="s">
        <v>518</v>
      </c>
      <c r="B308" t="s">
        <v>291</v>
      </c>
      <c r="C308" t="s">
        <v>292</v>
      </c>
      <c r="D308">
        <v>2019</v>
      </c>
      <c r="E308">
        <v>73.632024738799998</v>
      </c>
      <c r="F308" s="45" t="s">
        <v>372</v>
      </c>
      <c r="G308" t="s">
        <v>602</v>
      </c>
    </row>
    <row r="309" spans="1:7" x14ac:dyDescent="0.3">
      <c r="A309" t="s">
        <v>518</v>
      </c>
      <c r="B309" t="s">
        <v>291</v>
      </c>
      <c r="C309" t="s">
        <v>292</v>
      </c>
      <c r="D309">
        <v>2022</v>
      </c>
      <c r="E309">
        <v>94.167458457400002</v>
      </c>
      <c r="F309" s="45" t="s">
        <v>372</v>
      </c>
      <c r="G309" t="s">
        <v>603</v>
      </c>
    </row>
    <row r="310" spans="1:7" x14ac:dyDescent="0.3">
      <c r="A310" t="s">
        <v>518</v>
      </c>
      <c r="B310" t="s">
        <v>309</v>
      </c>
      <c r="C310" t="s">
        <v>310</v>
      </c>
      <c r="D310">
        <v>2022</v>
      </c>
      <c r="E310">
        <v>11.3608859863</v>
      </c>
      <c r="F310" s="45" t="s">
        <v>372</v>
      </c>
      <c r="G310" t="s">
        <v>604</v>
      </c>
    </row>
    <row r="311" spans="1:7" x14ac:dyDescent="0.3">
      <c r="A311" t="s">
        <v>518</v>
      </c>
      <c r="B311" t="s">
        <v>311</v>
      </c>
      <c r="C311" t="s">
        <v>312</v>
      </c>
      <c r="D311">
        <v>2023</v>
      </c>
      <c r="E311">
        <v>177.00019612809999</v>
      </c>
      <c r="F311" s="45" t="s">
        <v>372</v>
      </c>
      <c r="G311" t="s">
        <v>605</v>
      </c>
    </row>
    <row r="312" spans="1:7" x14ac:dyDescent="0.3">
      <c r="A312" t="s">
        <v>518</v>
      </c>
      <c r="B312" t="s">
        <v>313</v>
      </c>
      <c r="C312" t="s">
        <v>314</v>
      </c>
      <c r="D312">
        <v>2016</v>
      </c>
      <c r="E312">
        <v>79.703369789800007</v>
      </c>
      <c r="F312" s="45" t="s">
        <v>372</v>
      </c>
      <c r="G312" t="s">
        <v>606</v>
      </c>
    </row>
    <row r="313" spans="1:7" x14ac:dyDescent="0.3">
      <c r="A313" t="s">
        <v>518</v>
      </c>
      <c r="B313" t="s">
        <v>313</v>
      </c>
      <c r="C313" t="s">
        <v>314</v>
      </c>
      <c r="D313">
        <v>2017</v>
      </c>
      <c r="E313">
        <v>152.5147026763</v>
      </c>
      <c r="F313" s="45" t="s">
        <v>372</v>
      </c>
      <c r="G313" t="s">
        <v>607</v>
      </c>
    </row>
    <row r="314" spans="1:7" x14ac:dyDescent="0.3">
      <c r="A314" t="s">
        <v>518</v>
      </c>
      <c r="B314" t="s">
        <v>315</v>
      </c>
      <c r="C314" t="s">
        <v>316</v>
      </c>
      <c r="D314">
        <v>2022</v>
      </c>
      <c r="E314">
        <v>15.9911921114</v>
      </c>
      <c r="F314" s="45" t="s">
        <v>372</v>
      </c>
      <c r="G314" t="s">
        <v>608</v>
      </c>
    </row>
    <row r="315" spans="1:7" x14ac:dyDescent="0.3">
      <c r="A315" t="s">
        <v>518</v>
      </c>
      <c r="B315" t="s">
        <v>317</v>
      </c>
      <c r="C315" t="s">
        <v>318</v>
      </c>
      <c r="D315">
        <v>2020</v>
      </c>
      <c r="E315">
        <v>64.833333333300004</v>
      </c>
      <c r="F315" s="45" t="s">
        <v>372</v>
      </c>
      <c r="G315" t="s">
        <v>609</v>
      </c>
    </row>
    <row r="316" spans="1:7" x14ac:dyDescent="0.3">
      <c r="A316" t="s">
        <v>518</v>
      </c>
      <c r="B316" t="s">
        <v>319</v>
      </c>
      <c r="C316" t="s">
        <v>268</v>
      </c>
      <c r="D316">
        <v>2016</v>
      </c>
      <c r="E316">
        <v>11.8639385239</v>
      </c>
      <c r="F316" s="45" t="s">
        <v>372</v>
      </c>
      <c r="G316" t="s">
        <v>610</v>
      </c>
    </row>
    <row r="317" spans="1:7" x14ac:dyDescent="0.3">
      <c r="A317" t="s">
        <v>518</v>
      </c>
      <c r="B317" t="s">
        <v>319</v>
      </c>
      <c r="C317" t="s">
        <v>268</v>
      </c>
      <c r="D317">
        <v>2023</v>
      </c>
      <c r="E317">
        <v>26.109345831599999</v>
      </c>
      <c r="F317" s="45" t="s">
        <v>372</v>
      </c>
      <c r="G317" t="s">
        <v>611</v>
      </c>
    </row>
    <row r="318" spans="1:7" x14ac:dyDescent="0.3">
      <c r="A318" t="s">
        <v>518</v>
      </c>
      <c r="B318" t="s">
        <v>320</v>
      </c>
      <c r="C318" t="s">
        <v>321</v>
      </c>
      <c r="D318">
        <v>2020</v>
      </c>
      <c r="E318">
        <v>987.11261167429996</v>
      </c>
      <c r="F318" s="45" t="s">
        <v>372</v>
      </c>
      <c r="G318" t="s">
        <v>612</v>
      </c>
    </row>
    <row r="319" spans="1:7" x14ac:dyDescent="0.3">
      <c r="A319" t="s">
        <v>518</v>
      </c>
      <c r="B319" t="s">
        <v>324</v>
      </c>
      <c r="C319" t="s">
        <v>325</v>
      </c>
      <c r="D319">
        <v>2020</v>
      </c>
      <c r="E319">
        <v>64.828409029400007</v>
      </c>
      <c r="F319" s="45" t="s">
        <v>372</v>
      </c>
      <c r="G319" t="s">
        <v>613</v>
      </c>
    </row>
    <row r="320" spans="1:7" x14ac:dyDescent="0.3">
      <c r="A320" t="s">
        <v>518</v>
      </c>
      <c r="B320" t="s">
        <v>324</v>
      </c>
      <c r="C320" t="s">
        <v>325</v>
      </c>
      <c r="D320">
        <v>2022</v>
      </c>
      <c r="E320">
        <v>64.369549155499996</v>
      </c>
      <c r="F320" s="45" t="s">
        <v>372</v>
      </c>
      <c r="G320" t="s">
        <v>614</v>
      </c>
    </row>
    <row r="321" spans="1:7" x14ac:dyDescent="0.3">
      <c r="A321" t="s">
        <v>518</v>
      </c>
      <c r="B321" t="s">
        <v>324</v>
      </c>
      <c r="C321" t="s">
        <v>325</v>
      </c>
      <c r="D321">
        <v>2024</v>
      </c>
      <c r="E321">
        <v>9.7208814067000002</v>
      </c>
      <c r="F321" s="45" t="s">
        <v>372</v>
      </c>
      <c r="G321" t="s">
        <v>615</v>
      </c>
    </row>
    <row r="322" spans="1:7" x14ac:dyDescent="0.3">
      <c r="A322" t="s">
        <v>518</v>
      </c>
      <c r="B322" t="s">
        <v>328</v>
      </c>
      <c r="C322" t="s">
        <v>329</v>
      </c>
      <c r="D322">
        <v>2020</v>
      </c>
      <c r="E322">
        <v>32.631739922100003</v>
      </c>
      <c r="F322" s="45" t="s">
        <v>372</v>
      </c>
      <c r="G322" t="s">
        <v>616</v>
      </c>
    </row>
    <row r="323" spans="1:7" x14ac:dyDescent="0.3">
      <c r="A323" t="s">
        <v>518</v>
      </c>
      <c r="B323" t="s">
        <v>328</v>
      </c>
      <c r="C323" t="s">
        <v>329</v>
      </c>
      <c r="D323">
        <v>2022</v>
      </c>
      <c r="E323">
        <v>14.802538998899999</v>
      </c>
      <c r="F323" s="45" t="s">
        <v>372</v>
      </c>
      <c r="G323" t="s">
        <v>617</v>
      </c>
    </row>
    <row r="324" spans="1:7" x14ac:dyDescent="0.3">
      <c r="A324" t="s">
        <v>518</v>
      </c>
      <c r="B324" t="s">
        <v>330</v>
      </c>
      <c r="C324" t="s">
        <v>331</v>
      </c>
      <c r="D324">
        <v>2022</v>
      </c>
      <c r="E324">
        <v>9.8448683603999996</v>
      </c>
      <c r="F324" s="45" t="s">
        <v>372</v>
      </c>
      <c r="G324" t="s">
        <v>618</v>
      </c>
    </row>
    <row r="325" spans="1:7" x14ac:dyDescent="0.3">
      <c r="A325" t="s">
        <v>518</v>
      </c>
      <c r="B325" t="s">
        <v>332</v>
      </c>
      <c r="C325" t="s">
        <v>333</v>
      </c>
      <c r="D325">
        <v>2023</v>
      </c>
      <c r="E325">
        <v>664.67722075639995</v>
      </c>
      <c r="F325" s="45" t="s">
        <v>372</v>
      </c>
      <c r="G325" t="s">
        <v>619</v>
      </c>
    </row>
    <row r="326" spans="1:7" x14ac:dyDescent="0.3">
      <c r="A326" t="s">
        <v>518</v>
      </c>
      <c r="B326" t="s">
        <v>340</v>
      </c>
      <c r="C326" t="s">
        <v>341</v>
      </c>
      <c r="D326">
        <v>2020</v>
      </c>
      <c r="E326">
        <v>97.121112482699999</v>
      </c>
      <c r="F326" s="45" t="s">
        <v>372</v>
      </c>
      <c r="G326" t="s">
        <v>620</v>
      </c>
    </row>
    <row r="327" spans="1:7" x14ac:dyDescent="0.3">
      <c r="A327" t="s">
        <v>518</v>
      </c>
      <c r="B327" t="s">
        <v>342</v>
      </c>
      <c r="C327" t="s">
        <v>343</v>
      </c>
      <c r="D327">
        <v>2019</v>
      </c>
      <c r="E327">
        <v>147.29656645279999</v>
      </c>
      <c r="F327" s="45" t="s">
        <v>372</v>
      </c>
      <c r="G327" t="s">
        <v>621</v>
      </c>
    </row>
    <row r="328" spans="1:7" x14ac:dyDescent="0.3">
      <c r="A328" t="s">
        <v>518</v>
      </c>
      <c r="B328" t="s">
        <v>344</v>
      </c>
      <c r="C328" t="s">
        <v>345</v>
      </c>
      <c r="D328">
        <v>2018</v>
      </c>
      <c r="E328">
        <v>175.22881331630001</v>
      </c>
      <c r="F328" s="45" t="s">
        <v>372</v>
      </c>
      <c r="G328" t="s">
        <v>622</v>
      </c>
    </row>
    <row r="329" spans="1:7" x14ac:dyDescent="0.3">
      <c r="A329" t="s">
        <v>518</v>
      </c>
      <c r="B329" t="s">
        <v>344</v>
      </c>
      <c r="C329" t="s">
        <v>345</v>
      </c>
      <c r="D329">
        <v>2019</v>
      </c>
      <c r="E329">
        <v>87.604549082899993</v>
      </c>
      <c r="F329" s="45" t="s">
        <v>372</v>
      </c>
      <c r="G329" t="s">
        <v>623</v>
      </c>
    </row>
    <row r="330" spans="1:7" x14ac:dyDescent="0.3">
      <c r="A330" t="s">
        <v>624</v>
      </c>
      <c r="B330" t="s">
        <v>47</v>
      </c>
      <c r="C330" t="s">
        <v>48</v>
      </c>
      <c r="D330">
        <v>2020</v>
      </c>
      <c r="E330">
        <v>0</v>
      </c>
      <c r="F330" s="45" t="s">
        <v>372</v>
      </c>
      <c r="G330" t="s">
        <v>625</v>
      </c>
    </row>
    <row r="331" spans="1:7" x14ac:dyDescent="0.3">
      <c r="A331" t="s">
        <v>624</v>
      </c>
      <c r="B331" t="s">
        <v>51</v>
      </c>
      <c r="C331" t="s">
        <v>52</v>
      </c>
      <c r="D331">
        <v>2016</v>
      </c>
      <c r="E331">
        <v>1.5217000000000001</v>
      </c>
      <c r="F331" s="45" t="s">
        <v>372</v>
      </c>
      <c r="G331" t="s">
        <v>626</v>
      </c>
    </row>
    <row r="332" spans="1:7" x14ac:dyDescent="0.3">
      <c r="A332" t="s">
        <v>624</v>
      </c>
      <c r="B332" t="s">
        <v>53</v>
      </c>
      <c r="C332" t="s">
        <v>54</v>
      </c>
      <c r="D332">
        <v>2020</v>
      </c>
      <c r="E332">
        <v>0</v>
      </c>
      <c r="F332" s="45" t="s">
        <v>372</v>
      </c>
      <c r="G332" t="s">
        <v>625</v>
      </c>
    </row>
    <row r="333" spans="1:7" x14ac:dyDescent="0.3">
      <c r="A333" t="s">
        <v>624</v>
      </c>
      <c r="B333" t="s">
        <v>55</v>
      </c>
      <c r="C333" t="s">
        <v>56</v>
      </c>
      <c r="D333">
        <v>2020</v>
      </c>
      <c r="E333">
        <v>0</v>
      </c>
      <c r="F333" s="45" t="s">
        <v>372</v>
      </c>
      <c r="G333" t="s">
        <v>625</v>
      </c>
    </row>
    <row r="334" spans="1:7" x14ac:dyDescent="0.3">
      <c r="A334" t="s">
        <v>624</v>
      </c>
      <c r="B334" t="s">
        <v>57</v>
      </c>
      <c r="C334" t="s">
        <v>58</v>
      </c>
      <c r="D334">
        <v>2015</v>
      </c>
      <c r="E334">
        <v>0</v>
      </c>
      <c r="F334" s="46" t="s">
        <v>511</v>
      </c>
      <c r="G334" t="s">
        <v>627</v>
      </c>
    </row>
    <row r="335" spans="1:7" x14ac:dyDescent="0.3">
      <c r="A335" t="s">
        <v>624</v>
      </c>
      <c r="B335" t="s">
        <v>57</v>
      </c>
      <c r="C335" t="s">
        <v>58</v>
      </c>
      <c r="D335">
        <v>2017</v>
      </c>
      <c r="E335">
        <v>0</v>
      </c>
      <c r="F335" s="45" t="s">
        <v>372</v>
      </c>
      <c r="G335" t="s">
        <v>625</v>
      </c>
    </row>
    <row r="336" spans="1:7" x14ac:dyDescent="0.3">
      <c r="A336" t="s">
        <v>624</v>
      </c>
      <c r="B336" t="s">
        <v>57</v>
      </c>
      <c r="C336" t="s">
        <v>58</v>
      </c>
      <c r="D336">
        <v>2018</v>
      </c>
      <c r="E336">
        <v>0</v>
      </c>
      <c r="F336" s="46" t="s">
        <v>511</v>
      </c>
      <c r="G336" t="s">
        <v>627</v>
      </c>
    </row>
    <row r="337" spans="1:7" x14ac:dyDescent="0.3">
      <c r="A337" t="s">
        <v>624</v>
      </c>
      <c r="B337" t="s">
        <v>57</v>
      </c>
      <c r="C337" t="s">
        <v>58</v>
      </c>
      <c r="D337">
        <v>2019</v>
      </c>
      <c r="E337">
        <v>0</v>
      </c>
      <c r="F337" s="46" t="s">
        <v>511</v>
      </c>
      <c r="G337" t="s">
        <v>627</v>
      </c>
    </row>
    <row r="338" spans="1:7" x14ac:dyDescent="0.3">
      <c r="A338" t="s">
        <v>624</v>
      </c>
      <c r="B338" t="s">
        <v>57</v>
      </c>
      <c r="C338" t="s">
        <v>58</v>
      </c>
      <c r="D338">
        <v>2020</v>
      </c>
      <c r="E338">
        <v>0</v>
      </c>
      <c r="F338" s="46" t="s">
        <v>511</v>
      </c>
      <c r="G338" t="s">
        <v>627</v>
      </c>
    </row>
    <row r="339" spans="1:7" x14ac:dyDescent="0.3">
      <c r="A339" t="s">
        <v>624</v>
      </c>
      <c r="B339" t="s">
        <v>57</v>
      </c>
      <c r="C339" t="s">
        <v>58</v>
      </c>
      <c r="D339">
        <v>2022</v>
      </c>
      <c r="E339">
        <v>0.19</v>
      </c>
      <c r="F339" s="45" t="s">
        <v>372</v>
      </c>
      <c r="G339" t="s">
        <v>628</v>
      </c>
    </row>
    <row r="340" spans="1:7" x14ac:dyDescent="0.3">
      <c r="A340" t="s">
        <v>624</v>
      </c>
      <c r="B340" t="s">
        <v>57</v>
      </c>
      <c r="C340" t="s">
        <v>58</v>
      </c>
      <c r="D340">
        <v>2024</v>
      </c>
      <c r="E340">
        <v>0.96</v>
      </c>
      <c r="F340" s="45" t="s">
        <v>372</v>
      </c>
      <c r="G340" t="s">
        <v>629</v>
      </c>
    </row>
    <row r="341" spans="1:7" x14ac:dyDescent="0.3">
      <c r="A341" t="s">
        <v>624</v>
      </c>
      <c r="B341" t="s">
        <v>59</v>
      </c>
      <c r="C341" t="s">
        <v>60</v>
      </c>
      <c r="D341">
        <v>2016</v>
      </c>
      <c r="E341">
        <v>0.1</v>
      </c>
      <c r="F341" s="45" t="s">
        <v>372</v>
      </c>
      <c r="G341" t="s">
        <v>630</v>
      </c>
    </row>
    <row r="342" spans="1:7" x14ac:dyDescent="0.3">
      <c r="A342" t="s">
        <v>624</v>
      </c>
      <c r="B342" t="s">
        <v>59</v>
      </c>
      <c r="C342" t="s">
        <v>60</v>
      </c>
      <c r="D342">
        <v>2020</v>
      </c>
      <c r="E342">
        <v>0</v>
      </c>
      <c r="F342" s="45" t="s">
        <v>372</v>
      </c>
      <c r="G342" t="s">
        <v>625</v>
      </c>
    </row>
    <row r="343" spans="1:7" x14ac:dyDescent="0.3">
      <c r="A343" t="s">
        <v>624</v>
      </c>
      <c r="B343" t="s">
        <v>61</v>
      </c>
      <c r="C343" t="s">
        <v>62</v>
      </c>
      <c r="D343">
        <v>2021</v>
      </c>
      <c r="E343">
        <v>1</v>
      </c>
      <c r="F343" s="45" t="s">
        <v>372</v>
      </c>
      <c r="G343" t="s">
        <v>631</v>
      </c>
    </row>
    <row r="344" spans="1:7" x14ac:dyDescent="0.3">
      <c r="A344" t="s">
        <v>624</v>
      </c>
      <c r="B344" t="s">
        <v>65</v>
      </c>
      <c r="C344" t="s">
        <v>66</v>
      </c>
      <c r="D344">
        <v>2024</v>
      </c>
      <c r="E344">
        <v>0</v>
      </c>
      <c r="F344" s="45" t="s">
        <v>372</v>
      </c>
      <c r="G344" t="s">
        <v>625</v>
      </c>
    </row>
    <row r="345" spans="1:7" x14ac:dyDescent="0.3">
      <c r="A345" t="s">
        <v>624</v>
      </c>
      <c r="B345" t="s">
        <v>67</v>
      </c>
      <c r="C345" t="s">
        <v>68</v>
      </c>
      <c r="D345">
        <v>2018</v>
      </c>
      <c r="E345">
        <v>2.65</v>
      </c>
      <c r="F345" s="45" t="s">
        <v>372</v>
      </c>
      <c r="G345" t="s">
        <v>632</v>
      </c>
    </row>
    <row r="346" spans="1:7" x14ac:dyDescent="0.3">
      <c r="A346" t="s">
        <v>624</v>
      </c>
      <c r="B346" t="s">
        <v>73</v>
      </c>
      <c r="C346" t="s">
        <v>74</v>
      </c>
      <c r="D346">
        <v>2023</v>
      </c>
      <c r="E346">
        <v>0</v>
      </c>
      <c r="F346" s="45" t="s">
        <v>372</v>
      </c>
      <c r="G346" t="s">
        <v>625</v>
      </c>
    </row>
    <row r="347" spans="1:7" x14ac:dyDescent="0.3">
      <c r="A347" t="s">
        <v>624</v>
      </c>
      <c r="B347" t="s">
        <v>73</v>
      </c>
      <c r="C347" t="s">
        <v>74</v>
      </c>
      <c r="D347">
        <v>2024</v>
      </c>
      <c r="E347">
        <v>0</v>
      </c>
      <c r="F347" s="46" t="s">
        <v>511</v>
      </c>
      <c r="G347" t="s">
        <v>627</v>
      </c>
    </row>
    <row r="348" spans="1:7" x14ac:dyDescent="0.3">
      <c r="A348" t="s">
        <v>624</v>
      </c>
      <c r="B348" t="s">
        <v>75</v>
      </c>
      <c r="C348" t="s">
        <v>76</v>
      </c>
      <c r="D348">
        <v>2015</v>
      </c>
      <c r="E348">
        <v>0</v>
      </c>
      <c r="F348" s="46" t="s">
        <v>511</v>
      </c>
      <c r="G348" t="s">
        <v>627</v>
      </c>
    </row>
    <row r="349" spans="1:7" x14ac:dyDescent="0.3">
      <c r="A349" t="s">
        <v>624</v>
      </c>
      <c r="B349" t="s">
        <v>77</v>
      </c>
      <c r="C349" t="s">
        <v>78</v>
      </c>
      <c r="D349">
        <v>2020</v>
      </c>
      <c r="E349">
        <v>0</v>
      </c>
      <c r="F349" s="45" t="s">
        <v>372</v>
      </c>
      <c r="G349" t="s">
        <v>625</v>
      </c>
    </row>
    <row r="350" spans="1:7" x14ac:dyDescent="0.3">
      <c r="A350" t="s">
        <v>624</v>
      </c>
      <c r="B350" t="s">
        <v>81</v>
      </c>
      <c r="C350" t="s">
        <v>82</v>
      </c>
      <c r="D350">
        <v>2015</v>
      </c>
      <c r="E350">
        <v>0</v>
      </c>
      <c r="F350" s="46" t="s">
        <v>511</v>
      </c>
      <c r="G350" t="s">
        <v>627</v>
      </c>
    </row>
    <row r="351" spans="1:7" x14ac:dyDescent="0.3">
      <c r="A351" t="s">
        <v>624</v>
      </c>
      <c r="B351" t="s">
        <v>81</v>
      </c>
      <c r="C351" t="s">
        <v>82</v>
      </c>
      <c r="D351">
        <v>2020</v>
      </c>
      <c r="E351">
        <v>0.72560000000000002</v>
      </c>
      <c r="F351" s="45" t="s">
        <v>372</v>
      </c>
      <c r="G351" t="s">
        <v>633</v>
      </c>
    </row>
    <row r="352" spans="1:7" x14ac:dyDescent="0.3">
      <c r="A352" t="s">
        <v>624</v>
      </c>
      <c r="B352" t="s">
        <v>85</v>
      </c>
      <c r="C352" t="s">
        <v>86</v>
      </c>
      <c r="D352">
        <v>2020</v>
      </c>
      <c r="E352">
        <v>0</v>
      </c>
      <c r="F352" s="45" t="s">
        <v>372</v>
      </c>
      <c r="G352" t="s">
        <v>625</v>
      </c>
    </row>
    <row r="353" spans="1:7" x14ac:dyDescent="0.3">
      <c r="A353" t="s">
        <v>624</v>
      </c>
      <c r="B353" t="s">
        <v>87</v>
      </c>
      <c r="C353" t="s">
        <v>88</v>
      </c>
      <c r="D353">
        <v>2015</v>
      </c>
      <c r="E353">
        <v>0</v>
      </c>
      <c r="F353" s="46" t="s">
        <v>511</v>
      </c>
      <c r="G353" t="s">
        <v>627</v>
      </c>
    </row>
    <row r="354" spans="1:7" x14ac:dyDescent="0.3">
      <c r="A354" t="s">
        <v>624</v>
      </c>
      <c r="B354" t="s">
        <v>87</v>
      </c>
      <c r="C354" t="s">
        <v>88</v>
      </c>
      <c r="D354">
        <v>2016</v>
      </c>
      <c r="E354">
        <v>0</v>
      </c>
      <c r="F354" s="46" t="s">
        <v>511</v>
      </c>
      <c r="G354" t="s">
        <v>627</v>
      </c>
    </row>
    <row r="355" spans="1:7" x14ac:dyDescent="0.3">
      <c r="A355" t="s">
        <v>624</v>
      </c>
      <c r="B355" t="s">
        <v>89</v>
      </c>
      <c r="C355" t="s">
        <v>90</v>
      </c>
      <c r="D355">
        <v>2015</v>
      </c>
      <c r="E355">
        <v>0</v>
      </c>
      <c r="F355" s="46" t="s">
        <v>511</v>
      </c>
      <c r="G355" t="s">
        <v>627</v>
      </c>
    </row>
    <row r="356" spans="1:7" x14ac:dyDescent="0.3">
      <c r="A356" t="s">
        <v>624</v>
      </c>
      <c r="B356" t="s">
        <v>89</v>
      </c>
      <c r="C356" t="s">
        <v>90</v>
      </c>
      <c r="D356">
        <v>2016</v>
      </c>
      <c r="E356">
        <v>0</v>
      </c>
      <c r="F356" s="46" t="s">
        <v>511</v>
      </c>
      <c r="G356" t="s">
        <v>627</v>
      </c>
    </row>
    <row r="357" spans="1:7" x14ac:dyDescent="0.3">
      <c r="A357" t="s">
        <v>624</v>
      </c>
      <c r="B357" t="s">
        <v>89</v>
      </c>
      <c r="C357" t="s">
        <v>90</v>
      </c>
      <c r="D357">
        <v>2017</v>
      </c>
      <c r="E357">
        <v>0</v>
      </c>
      <c r="F357" s="46" t="s">
        <v>511</v>
      </c>
      <c r="G357" t="s">
        <v>627</v>
      </c>
    </row>
    <row r="358" spans="1:7" x14ac:dyDescent="0.3">
      <c r="A358" t="s">
        <v>624</v>
      </c>
      <c r="B358" t="s">
        <v>89</v>
      </c>
      <c r="C358" t="s">
        <v>90</v>
      </c>
      <c r="D358">
        <v>2018</v>
      </c>
      <c r="E358">
        <v>0</v>
      </c>
      <c r="F358" s="46" t="s">
        <v>511</v>
      </c>
      <c r="G358" t="s">
        <v>627</v>
      </c>
    </row>
    <row r="359" spans="1:7" x14ac:dyDescent="0.3">
      <c r="A359" t="s">
        <v>624</v>
      </c>
      <c r="B359" t="s">
        <v>89</v>
      </c>
      <c r="C359" t="s">
        <v>90</v>
      </c>
      <c r="D359">
        <v>2019</v>
      </c>
      <c r="E359">
        <v>0</v>
      </c>
      <c r="F359" s="46" t="s">
        <v>511</v>
      </c>
      <c r="G359" t="s">
        <v>627</v>
      </c>
    </row>
    <row r="360" spans="1:7" x14ac:dyDescent="0.3">
      <c r="A360" t="s">
        <v>624</v>
      </c>
      <c r="B360" t="s">
        <v>89</v>
      </c>
      <c r="C360" t="s">
        <v>90</v>
      </c>
      <c r="D360">
        <v>2020</v>
      </c>
      <c r="E360">
        <v>0</v>
      </c>
      <c r="F360" s="46" t="s">
        <v>511</v>
      </c>
      <c r="G360" t="s">
        <v>627</v>
      </c>
    </row>
    <row r="361" spans="1:7" x14ac:dyDescent="0.3">
      <c r="A361" t="s">
        <v>624</v>
      </c>
      <c r="B361" t="s">
        <v>89</v>
      </c>
      <c r="C361" t="s">
        <v>90</v>
      </c>
      <c r="D361">
        <v>2021</v>
      </c>
      <c r="E361">
        <v>0</v>
      </c>
      <c r="F361" s="46" t="s">
        <v>511</v>
      </c>
      <c r="G361" t="s">
        <v>627</v>
      </c>
    </row>
    <row r="362" spans="1:7" x14ac:dyDescent="0.3">
      <c r="A362" t="s">
        <v>624</v>
      </c>
      <c r="B362" t="s">
        <v>89</v>
      </c>
      <c r="C362" t="s">
        <v>90</v>
      </c>
      <c r="D362">
        <v>2022</v>
      </c>
      <c r="E362">
        <v>0</v>
      </c>
      <c r="F362" s="46" t="s">
        <v>511</v>
      </c>
      <c r="G362" t="s">
        <v>627</v>
      </c>
    </row>
    <row r="363" spans="1:7" x14ac:dyDescent="0.3">
      <c r="A363" t="s">
        <v>624</v>
      </c>
      <c r="B363" t="s">
        <v>89</v>
      </c>
      <c r="C363" t="s">
        <v>90</v>
      </c>
      <c r="D363">
        <v>2023</v>
      </c>
      <c r="E363">
        <v>0</v>
      </c>
      <c r="F363" s="46" t="s">
        <v>511</v>
      </c>
      <c r="G363" t="s">
        <v>627</v>
      </c>
    </row>
    <row r="364" spans="1:7" x14ac:dyDescent="0.3">
      <c r="A364" t="s">
        <v>624</v>
      </c>
      <c r="B364" t="s">
        <v>91</v>
      </c>
      <c r="C364" t="s">
        <v>92</v>
      </c>
      <c r="D364">
        <v>2015</v>
      </c>
      <c r="E364">
        <v>0</v>
      </c>
      <c r="F364" s="46" t="s">
        <v>511</v>
      </c>
      <c r="G364" t="s">
        <v>627</v>
      </c>
    </row>
    <row r="365" spans="1:7" x14ac:dyDescent="0.3">
      <c r="A365" t="s">
        <v>624</v>
      </c>
      <c r="B365" t="s">
        <v>91</v>
      </c>
      <c r="C365" t="s">
        <v>92</v>
      </c>
      <c r="D365">
        <v>2016</v>
      </c>
      <c r="E365">
        <v>0</v>
      </c>
      <c r="F365" s="46" t="s">
        <v>511</v>
      </c>
      <c r="G365" t="s">
        <v>627</v>
      </c>
    </row>
    <row r="366" spans="1:7" x14ac:dyDescent="0.3">
      <c r="A366" t="s">
        <v>624</v>
      </c>
      <c r="B366" t="s">
        <v>91</v>
      </c>
      <c r="C366" t="s">
        <v>92</v>
      </c>
      <c r="D366">
        <v>2021</v>
      </c>
      <c r="E366">
        <v>0</v>
      </c>
      <c r="F366" s="45" t="s">
        <v>372</v>
      </c>
      <c r="G366" t="s">
        <v>625</v>
      </c>
    </row>
    <row r="367" spans="1:7" x14ac:dyDescent="0.3">
      <c r="A367" t="s">
        <v>624</v>
      </c>
      <c r="B367" t="s">
        <v>93</v>
      </c>
      <c r="C367" t="s">
        <v>94</v>
      </c>
      <c r="D367">
        <v>2020</v>
      </c>
      <c r="E367">
        <v>0</v>
      </c>
      <c r="F367" s="45" t="s">
        <v>372</v>
      </c>
      <c r="G367" t="s">
        <v>625</v>
      </c>
    </row>
    <row r="368" spans="1:7" x14ac:dyDescent="0.3">
      <c r="A368" t="s">
        <v>624</v>
      </c>
      <c r="B368" t="s">
        <v>95</v>
      </c>
      <c r="C368" t="s">
        <v>96</v>
      </c>
      <c r="D368">
        <v>2020</v>
      </c>
      <c r="E368">
        <v>0</v>
      </c>
      <c r="F368" s="45" t="s">
        <v>372</v>
      </c>
      <c r="G368" t="s">
        <v>625</v>
      </c>
    </row>
    <row r="369" spans="1:7" x14ac:dyDescent="0.3">
      <c r="A369" t="s">
        <v>624</v>
      </c>
      <c r="B369" t="s">
        <v>97</v>
      </c>
      <c r="C369" t="s">
        <v>98</v>
      </c>
      <c r="D369">
        <v>2015</v>
      </c>
      <c r="E369">
        <v>0</v>
      </c>
      <c r="F369" s="46" t="s">
        <v>511</v>
      </c>
      <c r="G369" t="s">
        <v>627</v>
      </c>
    </row>
    <row r="370" spans="1:7" x14ac:dyDescent="0.3">
      <c r="A370" t="s">
        <v>624</v>
      </c>
      <c r="B370" t="s">
        <v>97</v>
      </c>
      <c r="C370" t="s">
        <v>98</v>
      </c>
      <c r="D370">
        <v>2016</v>
      </c>
      <c r="E370">
        <v>0</v>
      </c>
      <c r="F370" s="46" t="s">
        <v>511</v>
      </c>
      <c r="G370" t="s">
        <v>627</v>
      </c>
    </row>
    <row r="371" spans="1:7" x14ac:dyDescent="0.3">
      <c r="A371" t="s">
        <v>624</v>
      </c>
      <c r="B371" t="s">
        <v>97</v>
      </c>
      <c r="C371" t="s">
        <v>98</v>
      </c>
      <c r="D371">
        <v>2017</v>
      </c>
      <c r="E371">
        <v>0</v>
      </c>
      <c r="F371" s="46" t="s">
        <v>511</v>
      </c>
      <c r="G371" t="s">
        <v>627</v>
      </c>
    </row>
    <row r="372" spans="1:7" x14ac:dyDescent="0.3">
      <c r="A372" t="s">
        <v>624</v>
      </c>
      <c r="B372" t="s">
        <v>97</v>
      </c>
      <c r="C372" t="s">
        <v>98</v>
      </c>
      <c r="D372">
        <v>2018</v>
      </c>
      <c r="E372">
        <v>0</v>
      </c>
      <c r="F372" s="46" t="s">
        <v>511</v>
      </c>
      <c r="G372" t="s">
        <v>627</v>
      </c>
    </row>
    <row r="373" spans="1:7" x14ac:dyDescent="0.3">
      <c r="A373" t="s">
        <v>624</v>
      </c>
      <c r="B373" t="s">
        <v>97</v>
      </c>
      <c r="C373" t="s">
        <v>98</v>
      </c>
      <c r="D373">
        <v>2019</v>
      </c>
      <c r="E373">
        <v>0</v>
      </c>
      <c r="F373" s="46" t="s">
        <v>511</v>
      </c>
      <c r="G373" t="s">
        <v>627</v>
      </c>
    </row>
    <row r="374" spans="1:7" x14ac:dyDescent="0.3">
      <c r="A374" t="s">
        <v>624</v>
      </c>
      <c r="B374" t="s">
        <v>97</v>
      </c>
      <c r="C374" t="s">
        <v>98</v>
      </c>
      <c r="D374">
        <v>2020</v>
      </c>
      <c r="E374">
        <v>0</v>
      </c>
      <c r="F374" s="46" t="s">
        <v>511</v>
      </c>
      <c r="G374" t="s">
        <v>627</v>
      </c>
    </row>
    <row r="375" spans="1:7" x14ac:dyDescent="0.3">
      <c r="A375" t="s">
        <v>624</v>
      </c>
      <c r="B375" t="s">
        <v>97</v>
      </c>
      <c r="C375" t="s">
        <v>98</v>
      </c>
      <c r="D375">
        <v>2021</v>
      </c>
      <c r="E375">
        <v>0</v>
      </c>
      <c r="F375" s="46" t="s">
        <v>511</v>
      </c>
      <c r="G375" t="s">
        <v>627</v>
      </c>
    </row>
    <row r="376" spans="1:7" x14ac:dyDescent="0.3">
      <c r="A376" t="s">
        <v>624</v>
      </c>
      <c r="B376" t="s">
        <v>97</v>
      </c>
      <c r="C376" t="s">
        <v>98</v>
      </c>
      <c r="D376">
        <v>2022</v>
      </c>
      <c r="E376">
        <v>0</v>
      </c>
      <c r="F376" s="46" t="s">
        <v>511</v>
      </c>
      <c r="G376" t="s">
        <v>627</v>
      </c>
    </row>
    <row r="377" spans="1:7" x14ac:dyDescent="0.3">
      <c r="A377" t="s">
        <v>624</v>
      </c>
      <c r="B377" t="s">
        <v>97</v>
      </c>
      <c r="C377" t="s">
        <v>98</v>
      </c>
      <c r="D377">
        <v>2023</v>
      </c>
      <c r="E377">
        <v>0</v>
      </c>
      <c r="F377" s="46" t="s">
        <v>511</v>
      </c>
      <c r="G377" t="s">
        <v>627</v>
      </c>
    </row>
    <row r="378" spans="1:7" x14ac:dyDescent="0.3">
      <c r="A378" t="s">
        <v>624</v>
      </c>
      <c r="B378" t="s">
        <v>97</v>
      </c>
      <c r="C378" t="s">
        <v>98</v>
      </c>
      <c r="D378">
        <v>2024</v>
      </c>
      <c r="E378">
        <v>0</v>
      </c>
      <c r="F378" s="46" t="s">
        <v>511</v>
      </c>
      <c r="G378" t="s">
        <v>627</v>
      </c>
    </row>
    <row r="379" spans="1:7" x14ac:dyDescent="0.3">
      <c r="A379" t="s">
        <v>624</v>
      </c>
      <c r="B379" t="s">
        <v>99</v>
      </c>
      <c r="C379" t="s">
        <v>100</v>
      </c>
      <c r="D379">
        <v>2015</v>
      </c>
      <c r="E379">
        <v>0</v>
      </c>
      <c r="F379" s="46" t="s">
        <v>511</v>
      </c>
      <c r="G379" t="s">
        <v>627</v>
      </c>
    </row>
    <row r="380" spans="1:7" x14ac:dyDescent="0.3">
      <c r="A380" t="s">
        <v>624</v>
      </c>
      <c r="B380" t="s">
        <v>99</v>
      </c>
      <c r="C380" t="s">
        <v>100</v>
      </c>
      <c r="D380">
        <v>2016</v>
      </c>
      <c r="E380">
        <v>0</v>
      </c>
      <c r="F380" s="46" t="s">
        <v>511</v>
      </c>
      <c r="G380" t="s">
        <v>627</v>
      </c>
    </row>
    <row r="381" spans="1:7" x14ac:dyDescent="0.3">
      <c r="A381" t="s">
        <v>624</v>
      </c>
      <c r="B381" t="s">
        <v>99</v>
      </c>
      <c r="C381" t="s">
        <v>100</v>
      </c>
      <c r="D381">
        <v>2017</v>
      </c>
      <c r="E381">
        <v>0</v>
      </c>
      <c r="F381" s="46" t="s">
        <v>511</v>
      </c>
      <c r="G381" t="s">
        <v>627</v>
      </c>
    </row>
    <row r="382" spans="1:7" x14ac:dyDescent="0.3">
      <c r="A382" t="s">
        <v>624</v>
      </c>
      <c r="B382" t="s">
        <v>99</v>
      </c>
      <c r="C382" t="s">
        <v>100</v>
      </c>
      <c r="D382">
        <v>2018</v>
      </c>
      <c r="E382">
        <v>0</v>
      </c>
      <c r="F382" s="46" t="s">
        <v>511</v>
      </c>
      <c r="G382" t="s">
        <v>627</v>
      </c>
    </row>
    <row r="383" spans="1:7" x14ac:dyDescent="0.3">
      <c r="A383" t="s">
        <v>624</v>
      </c>
      <c r="B383" t="s">
        <v>99</v>
      </c>
      <c r="C383" t="s">
        <v>100</v>
      </c>
      <c r="D383">
        <v>2020</v>
      </c>
      <c r="E383">
        <v>0</v>
      </c>
      <c r="F383" s="45" t="s">
        <v>372</v>
      </c>
      <c r="G383" t="s">
        <v>625</v>
      </c>
    </row>
    <row r="384" spans="1:7" x14ac:dyDescent="0.3">
      <c r="A384" t="s">
        <v>624</v>
      </c>
      <c r="B384" t="s">
        <v>101</v>
      </c>
      <c r="C384" t="s">
        <v>102</v>
      </c>
      <c r="D384">
        <v>2015</v>
      </c>
      <c r="E384">
        <v>0</v>
      </c>
      <c r="F384" s="46" t="s">
        <v>511</v>
      </c>
      <c r="G384" t="s">
        <v>627</v>
      </c>
    </row>
    <row r="385" spans="1:7" x14ac:dyDescent="0.3">
      <c r="A385" t="s">
        <v>624</v>
      </c>
      <c r="B385" t="s">
        <v>105</v>
      </c>
      <c r="C385" t="s">
        <v>106</v>
      </c>
      <c r="D385">
        <v>2015</v>
      </c>
      <c r="E385">
        <v>0</v>
      </c>
      <c r="F385" s="46" t="s">
        <v>511</v>
      </c>
      <c r="G385" t="s">
        <v>627</v>
      </c>
    </row>
    <row r="386" spans="1:7" x14ac:dyDescent="0.3">
      <c r="A386" t="s">
        <v>624</v>
      </c>
      <c r="B386" t="s">
        <v>105</v>
      </c>
      <c r="C386" t="s">
        <v>106</v>
      </c>
      <c r="D386">
        <v>2016</v>
      </c>
      <c r="E386">
        <v>0</v>
      </c>
      <c r="F386" s="46" t="s">
        <v>511</v>
      </c>
      <c r="G386" t="s">
        <v>627</v>
      </c>
    </row>
    <row r="387" spans="1:7" x14ac:dyDescent="0.3">
      <c r="A387" t="s">
        <v>624</v>
      </c>
      <c r="B387" t="s">
        <v>105</v>
      </c>
      <c r="C387" t="s">
        <v>106</v>
      </c>
      <c r="D387">
        <v>2017</v>
      </c>
      <c r="E387">
        <v>0</v>
      </c>
      <c r="F387" s="46" t="s">
        <v>511</v>
      </c>
      <c r="G387" t="s">
        <v>627</v>
      </c>
    </row>
    <row r="388" spans="1:7" x14ac:dyDescent="0.3">
      <c r="A388" t="s">
        <v>624</v>
      </c>
      <c r="B388" t="s">
        <v>105</v>
      </c>
      <c r="C388" t="s">
        <v>106</v>
      </c>
      <c r="D388">
        <v>2018</v>
      </c>
      <c r="E388">
        <v>0</v>
      </c>
      <c r="F388" s="46" t="s">
        <v>511</v>
      </c>
      <c r="G388" t="s">
        <v>627</v>
      </c>
    </row>
    <row r="389" spans="1:7" x14ac:dyDescent="0.3">
      <c r="A389" t="s">
        <v>624</v>
      </c>
      <c r="B389" t="s">
        <v>105</v>
      </c>
      <c r="C389" t="s">
        <v>106</v>
      </c>
      <c r="D389">
        <v>2019</v>
      </c>
      <c r="E389">
        <v>0</v>
      </c>
      <c r="F389" s="46" t="s">
        <v>511</v>
      </c>
      <c r="G389" t="s">
        <v>627</v>
      </c>
    </row>
    <row r="390" spans="1:7" x14ac:dyDescent="0.3">
      <c r="A390" t="s">
        <v>624</v>
      </c>
      <c r="B390" t="s">
        <v>105</v>
      </c>
      <c r="C390" t="s">
        <v>106</v>
      </c>
      <c r="D390">
        <v>2021</v>
      </c>
      <c r="E390">
        <v>0</v>
      </c>
      <c r="F390" s="45" t="s">
        <v>372</v>
      </c>
      <c r="G390" t="s">
        <v>625</v>
      </c>
    </row>
    <row r="391" spans="1:7" x14ac:dyDescent="0.3">
      <c r="A391" t="s">
        <v>624</v>
      </c>
      <c r="B391" t="s">
        <v>105</v>
      </c>
      <c r="C391" t="s">
        <v>106</v>
      </c>
      <c r="D391">
        <v>2022</v>
      </c>
      <c r="E391">
        <v>0</v>
      </c>
      <c r="F391" s="46" t="s">
        <v>511</v>
      </c>
      <c r="G391" t="s">
        <v>627</v>
      </c>
    </row>
    <row r="392" spans="1:7" x14ac:dyDescent="0.3">
      <c r="A392" t="s">
        <v>624</v>
      </c>
      <c r="B392" t="s">
        <v>105</v>
      </c>
      <c r="C392" t="s">
        <v>106</v>
      </c>
      <c r="D392">
        <v>2023</v>
      </c>
      <c r="E392">
        <v>0</v>
      </c>
      <c r="F392" s="46" t="s">
        <v>511</v>
      </c>
      <c r="G392" t="s">
        <v>627</v>
      </c>
    </row>
    <row r="393" spans="1:7" x14ac:dyDescent="0.3">
      <c r="A393" t="s">
        <v>624</v>
      </c>
      <c r="B393" t="s">
        <v>105</v>
      </c>
      <c r="C393" t="s">
        <v>106</v>
      </c>
      <c r="D393">
        <v>2024</v>
      </c>
      <c r="E393">
        <v>0</v>
      </c>
      <c r="F393" s="46" t="s">
        <v>511</v>
      </c>
      <c r="G393" t="s">
        <v>627</v>
      </c>
    </row>
    <row r="394" spans="1:7" x14ac:dyDescent="0.3">
      <c r="A394" t="s">
        <v>624</v>
      </c>
      <c r="B394" t="s">
        <v>109</v>
      </c>
      <c r="C394" t="s">
        <v>110</v>
      </c>
      <c r="D394">
        <v>2015</v>
      </c>
      <c r="E394">
        <v>0</v>
      </c>
      <c r="F394" s="46" t="s">
        <v>511</v>
      </c>
      <c r="G394" t="s">
        <v>627</v>
      </c>
    </row>
    <row r="395" spans="1:7" x14ac:dyDescent="0.3">
      <c r="A395" t="s">
        <v>624</v>
      </c>
      <c r="B395" t="s">
        <v>109</v>
      </c>
      <c r="C395" t="s">
        <v>110</v>
      </c>
      <c r="D395">
        <v>2017</v>
      </c>
      <c r="E395">
        <v>0</v>
      </c>
      <c r="F395" s="45" t="s">
        <v>372</v>
      </c>
      <c r="G395" t="s">
        <v>625</v>
      </c>
    </row>
    <row r="396" spans="1:7" x14ac:dyDescent="0.3">
      <c r="A396" t="s">
        <v>624</v>
      </c>
      <c r="B396" t="s">
        <v>109</v>
      </c>
      <c r="C396" t="s">
        <v>110</v>
      </c>
      <c r="D396">
        <v>2018</v>
      </c>
      <c r="E396">
        <v>0</v>
      </c>
      <c r="F396" s="46" t="s">
        <v>511</v>
      </c>
      <c r="G396" t="s">
        <v>627</v>
      </c>
    </row>
    <row r="397" spans="1:7" x14ac:dyDescent="0.3">
      <c r="A397" t="s">
        <v>624</v>
      </c>
      <c r="B397" t="s">
        <v>109</v>
      </c>
      <c r="C397" t="s">
        <v>110</v>
      </c>
      <c r="D397">
        <v>2020</v>
      </c>
      <c r="E397">
        <v>0</v>
      </c>
      <c r="F397" s="45" t="s">
        <v>372</v>
      </c>
      <c r="G397" t="s">
        <v>625</v>
      </c>
    </row>
    <row r="398" spans="1:7" x14ac:dyDescent="0.3">
      <c r="A398" t="s">
        <v>624</v>
      </c>
      <c r="B398" t="s">
        <v>113</v>
      </c>
      <c r="C398" t="s">
        <v>114</v>
      </c>
      <c r="D398">
        <v>2020</v>
      </c>
      <c r="E398">
        <v>7.0000000000000007E-2</v>
      </c>
      <c r="F398" s="45" t="s">
        <v>372</v>
      </c>
      <c r="G398" t="s">
        <v>634</v>
      </c>
    </row>
    <row r="399" spans="1:7" x14ac:dyDescent="0.3">
      <c r="A399" t="s">
        <v>624</v>
      </c>
      <c r="B399" t="s">
        <v>113</v>
      </c>
      <c r="C399" t="s">
        <v>114</v>
      </c>
      <c r="D399">
        <v>2021</v>
      </c>
      <c r="E399">
        <v>0.27</v>
      </c>
      <c r="F399" s="45" t="s">
        <v>372</v>
      </c>
      <c r="G399" t="s">
        <v>635</v>
      </c>
    </row>
    <row r="400" spans="1:7" x14ac:dyDescent="0.3">
      <c r="A400" t="s">
        <v>624</v>
      </c>
      <c r="B400" t="s">
        <v>117</v>
      </c>
      <c r="C400" t="s">
        <v>118</v>
      </c>
      <c r="D400">
        <v>2017</v>
      </c>
      <c r="E400">
        <v>0</v>
      </c>
      <c r="F400" s="45" t="s">
        <v>372</v>
      </c>
      <c r="G400" t="s">
        <v>625</v>
      </c>
    </row>
    <row r="401" spans="1:7" x14ac:dyDescent="0.3">
      <c r="A401" t="s">
        <v>624</v>
      </c>
      <c r="B401" t="s">
        <v>117</v>
      </c>
      <c r="C401" t="s">
        <v>118</v>
      </c>
      <c r="D401">
        <v>2020</v>
      </c>
      <c r="E401">
        <v>0</v>
      </c>
      <c r="F401" s="45" t="s">
        <v>372</v>
      </c>
      <c r="G401" t="s">
        <v>625</v>
      </c>
    </row>
    <row r="402" spans="1:7" x14ac:dyDescent="0.3">
      <c r="A402" t="s">
        <v>624</v>
      </c>
      <c r="B402" t="s">
        <v>117</v>
      </c>
      <c r="C402" t="s">
        <v>118</v>
      </c>
      <c r="D402">
        <v>2022</v>
      </c>
      <c r="E402">
        <v>0.53800000000000003</v>
      </c>
      <c r="F402" s="45" t="s">
        <v>372</v>
      </c>
      <c r="G402" t="s">
        <v>636</v>
      </c>
    </row>
    <row r="403" spans="1:7" x14ac:dyDescent="0.3">
      <c r="A403" t="s">
        <v>624</v>
      </c>
      <c r="B403" t="s">
        <v>119</v>
      </c>
      <c r="C403" t="s">
        <v>120</v>
      </c>
      <c r="D403">
        <v>2020</v>
      </c>
      <c r="E403">
        <v>0</v>
      </c>
      <c r="F403" s="45" t="s">
        <v>372</v>
      </c>
      <c r="G403" t="s">
        <v>625</v>
      </c>
    </row>
    <row r="404" spans="1:7" x14ac:dyDescent="0.3">
      <c r="A404" t="s">
        <v>624</v>
      </c>
      <c r="B404" t="s">
        <v>122</v>
      </c>
      <c r="C404" t="s">
        <v>123</v>
      </c>
      <c r="D404">
        <v>2020</v>
      </c>
      <c r="E404">
        <v>0</v>
      </c>
      <c r="F404" s="45" t="s">
        <v>372</v>
      </c>
      <c r="G404" t="s">
        <v>625</v>
      </c>
    </row>
    <row r="405" spans="1:7" x14ac:dyDescent="0.3">
      <c r="A405" t="s">
        <v>624</v>
      </c>
      <c r="B405" t="s">
        <v>125</v>
      </c>
      <c r="C405" t="s">
        <v>126</v>
      </c>
      <c r="D405">
        <v>2016</v>
      </c>
      <c r="E405">
        <v>0</v>
      </c>
      <c r="F405" s="45" t="s">
        <v>372</v>
      </c>
      <c r="G405" t="s">
        <v>625</v>
      </c>
    </row>
    <row r="406" spans="1:7" x14ac:dyDescent="0.3">
      <c r="A406" t="s">
        <v>624</v>
      </c>
      <c r="B406" t="s">
        <v>125</v>
      </c>
      <c r="C406" t="s">
        <v>126</v>
      </c>
      <c r="D406">
        <v>2020</v>
      </c>
      <c r="E406">
        <v>0</v>
      </c>
      <c r="F406" s="45" t="s">
        <v>372</v>
      </c>
      <c r="G406" t="s">
        <v>625</v>
      </c>
    </row>
    <row r="407" spans="1:7" x14ac:dyDescent="0.3">
      <c r="A407" t="s">
        <v>624</v>
      </c>
      <c r="B407" t="s">
        <v>125</v>
      </c>
      <c r="C407" t="s">
        <v>126</v>
      </c>
      <c r="D407">
        <v>2021</v>
      </c>
      <c r="E407">
        <v>0</v>
      </c>
      <c r="F407" s="46" t="s">
        <v>511</v>
      </c>
      <c r="G407" t="s">
        <v>627</v>
      </c>
    </row>
    <row r="408" spans="1:7" x14ac:dyDescent="0.3">
      <c r="A408" t="s">
        <v>624</v>
      </c>
      <c r="B408" t="s">
        <v>131</v>
      </c>
      <c r="C408" t="s">
        <v>132</v>
      </c>
      <c r="D408">
        <v>2022</v>
      </c>
      <c r="E408">
        <v>5.8</v>
      </c>
      <c r="F408" s="45" t="s">
        <v>372</v>
      </c>
      <c r="G408" t="s">
        <v>637</v>
      </c>
    </row>
    <row r="409" spans="1:7" x14ac:dyDescent="0.3">
      <c r="A409" t="s">
        <v>624</v>
      </c>
      <c r="B409" t="s">
        <v>133</v>
      </c>
      <c r="C409" t="s">
        <v>134</v>
      </c>
      <c r="D409">
        <v>2024</v>
      </c>
      <c r="E409">
        <v>0.11</v>
      </c>
      <c r="F409" s="45" t="s">
        <v>372</v>
      </c>
      <c r="G409" t="s">
        <v>638</v>
      </c>
    </row>
    <row r="410" spans="1:7" x14ac:dyDescent="0.3">
      <c r="A410" t="s">
        <v>624</v>
      </c>
      <c r="B410" t="s">
        <v>139</v>
      </c>
      <c r="C410" t="s">
        <v>140</v>
      </c>
      <c r="D410">
        <v>2015</v>
      </c>
      <c r="E410">
        <v>0</v>
      </c>
      <c r="F410" s="46" t="s">
        <v>511</v>
      </c>
      <c r="G410" t="s">
        <v>627</v>
      </c>
    </row>
    <row r="411" spans="1:7" x14ac:dyDescent="0.3">
      <c r="A411" t="s">
        <v>624</v>
      </c>
      <c r="B411" t="s">
        <v>139</v>
      </c>
      <c r="C411" t="s">
        <v>140</v>
      </c>
      <c r="D411">
        <v>2017</v>
      </c>
      <c r="E411">
        <v>0</v>
      </c>
      <c r="F411" s="45" t="s">
        <v>372</v>
      </c>
      <c r="G411" t="s">
        <v>625</v>
      </c>
    </row>
    <row r="412" spans="1:7" x14ac:dyDescent="0.3">
      <c r="A412" t="s">
        <v>624</v>
      </c>
      <c r="B412" t="s">
        <v>139</v>
      </c>
      <c r="C412" t="s">
        <v>140</v>
      </c>
      <c r="D412">
        <v>2018</v>
      </c>
      <c r="E412">
        <v>0</v>
      </c>
      <c r="F412" s="46" t="s">
        <v>511</v>
      </c>
      <c r="G412" t="s">
        <v>627</v>
      </c>
    </row>
    <row r="413" spans="1:7" x14ac:dyDescent="0.3">
      <c r="A413" t="s">
        <v>624</v>
      </c>
      <c r="B413" t="s">
        <v>139</v>
      </c>
      <c r="C413" t="s">
        <v>140</v>
      </c>
      <c r="D413">
        <v>2020</v>
      </c>
      <c r="E413">
        <v>0</v>
      </c>
      <c r="F413" s="45" t="s">
        <v>372</v>
      </c>
      <c r="G413" t="s">
        <v>625</v>
      </c>
    </row>
    <row r="414" spans="1:7" x14ac:dyDescent="0.3">
      <c r="A414" t="s">
        <v>624</v>
      </c>
      <c r="B414" t="s">
        <v>139</v>
      </c>
      <c r="C414" t="s">
        <v>140</v>
      </c>
      <c r="D414">
        <v>2021</v>
      </c>
      <c r="E414">
        <v>0</v>
      </c>
      <c r="F414" s="46" t="s">
        <v>511</v>
      </c>
      <c r="G414" t="s">
        <v>627</v>
      </c>
    </row>
    <row r="415" spans="1:7" x14ac:dyDescent="0.3">
      <c r="A415" t="s">
        <v>624</v>
      </c>
      <c r="B415" t="s">
        <v>139</v>
      </c>
      <c r="C415" t="s">
        <v>140</v>
      </c>
      <c r="D415">
        <v>2022</v>
      </c>
      <c r="E415">
        <v>0</v>
      </c>
      <c r="F415" s="46" t="s">
        <v>511</v>
      </c>
      <c r="G415" t="s">
        <v>627</v>
      </c>
    </row>
    <row r="416" spans="1:7" x14ac:dyDescent="0.3">
      <c r="A416" t="s">
        <v>624</v>
      </c>
      <c r="B416" t="s">
        <v>141</v>
      </c>
      <c r="C416" t="s">
        <v>142</v>
      </c>
      <c r="D416">
        <v>2021</v>
      </c>
      <c r="E416">
        <v>0</v>
      </c>
      <c r="F416" s="45" t="s">
        <v>372</v>
      </c>
      <c r="G416" t="s">
        <v>625</v>
      </c>
    </row>
    <row r="417" spans="1:7" x14ac:dyDescent="0.3">
      <c r="A417" t="s">
        <v>624</v>
      </c>
      <c r="B417" t="s">
        <v>143</v>
      </c>
      <c r="C417" t="s">
        <v>144</v>
      </c>
      <c r="D417">
        <v>2015</v>
      </c>
      <c r="E417">
        <v>0</v>
      </c>
      <c r="F417" s="46" t="s">
        <v>511</v>
      </c>
      <c r="G417" t="s">
        <v>627</v>
      </c>
    </row>
    <row r="418" spans="1:7" x14ac:dyDescent="0.3">
      <c r="A418" t="s">
        <v>624</v>
      </c>
      <c r="B418" t="s">
        <v>143</v>
      </c>
      <c r="C418" t="s">
        <v>144</v>
      </c>
      <c r="D418">
        <v>2023</v>
      </c>
      <c r="E418">
        <v>0</v>
      </c>
      <c r="F418" s="45" t="s">
        <v>372</v>
      </c>
      <c r="G418" t="s">
        <v>625</v>
      </c>
    </row>
    <row r="419" spans="1:7" x14ac:dyDescent="0.3">
      <c r="A419" t="s">
        <v>624</v>
      </c>
      <c r="B419" t="s">
        <v>143</v>
      </c>
      <c r="C419" t="s">
        <v>144</v>
      </c>
      <c r="D419">
        <v>2024</v>
      </c>
      <c r="E419">
        <v>0</v>
      </c>
      <c r="F419" s="46" t="s">
        <v>511</v>
      </c>
      <c r="G419" t="s">
        <v>627</v>
      </c>
    </row>
    <row r="420" spans="1:7" x14ac:dyDescent="0.3">
      <c r="A420" t="s">
        <v>624</v>
      </c>
      <c r="B420" t="s">
        <v>145</v>
      </c>
      <c r="C420" t="s">
        <v>146</v>
      </c>
      <c r="D420">
        <v>2015</v>
      </c>
      <c r="E420">
        <v>0</v>
      </c>
      <c r="F420" s="46" t="s">
        <v>511</v>
      </c>
      <c r="G420" t="s">
        <v>627</v>
      </c>
    </row>
    <row r="421" spans="1:7" x14ac:dyDescent="0.3">
      <c r="A421" t="s">
        <v>624</v>
      </c>
      <c r="B421" t="s">
        <v>145</v>
      </c>
      <c r="C421" t="s">
        <v>146</v>
      </c>
      <c r="D421">
        <v>2016</v>
      </c>
      <c r="E421">
        <v>0</v>
      </c>
      <c r="F421" s="46" t="s">
        <v>511</v>
      </c>
      <c r="G421" t="s">
        <v>627</v>
      </c>
    </row>
    <row r="422" spans="1:7" x14ac:dyDescent="0.3">
      <c r="A422" t="s">
        <v>624</v>
      </c>
      <c r="B422" t="s">
        <v>145</v>
      </c>
      <c r="C422" t="s">
        <v>146</v>
      </c>
      <c r="D422">
        <v>2017</v>
      </c>
      <c r="E422">
        <v>0</v>
      </c>
      <c r="F422" s="46" t="s">
        <v>511</v>
      </c>
      <c r="G422" t="s">
        <v>627</v>
      </c>
    </row>
    <row r="423" spans="1:7" x14ac:dyDescent="0.3">
      <c r="A423" t="s">
        <v>624</v>
      </c>
      <c r="B423" t="s">
        <v>145</v>
      </c>
      <c r="C423" t="s">
        <v>146</v>
      </c>
      <c r="D423">
        <v>2018</v>
      </c>
      <c r="E423">
        <v>0</v>
      </c>
      <c r="F423" s="46" t="s">
        <v>511</v>
      </c>
      <c r="G423" t="s">
        <v>627</v>
      </c>
    </row>
    <row r="424" spans="1:7" x14ac:dyDescent="0.3">
      <c r="A424" t="s">
        <v>624</v>
      </c>
      <c r="B424" t="s">
        <v>145</v>
      </c>
      <c r="C424" t="s">
        <v>146</v>
      </c>
      <c r="D424">
        <v>2019</v>
      </c>
      <c r="E424">
        <v>0</v>
      </c>
      <c r="F424" s="46" t="s">
        <v>511</v>
      </c>
      <c r="G424" t="s">
        <v>627</v>
      </c>
    </row>
    <row r="425" spans="1:7" x14ac:dyDescent="0.3">
      <c r="A425" t="s">
        <v>624</v>
      </c>
      <c r="B425" t="s">
        <v>145</v>
      </c>
      <c r="C425" t="s">
        <v>146</v>
      </c>
      <c r="D425">
        <v>2020</v>
      </c>
      <c r="E425">
        <v>0</v>
      </c>
      <c r="F425" s="46" t="s">
        <v>511</v>
      </c>
      <c r="G425" t="s">
        <v>627</v>
      </c>
    </row>
    <row r="426" spans="1:7" x14ac:dyDescent="0.3">
      <c r="A426" t="s">
        <v>624</v>
      </c>
      <c r="B426" t="s">
        <v>145</v>
      </c>
      <c r="C426" t="s">
        <v>146</v>
      </c>
      <c r="D426">
        <v>2021</v>
      </c>
      <c r="E426">
        <v>0</v>
      </c>
      <c r="F426" s="46" t="s">
        <v>511</v>
      </c>
      <c r="G426" t="s">
        <v>627</v>
      </c>
    </row>
    <row r="427" spans="1:7" x14ac:dyDescent="0.3">
      <c r="A427" t="s">
        <v>624</v>
      </c>
      <c r="B427" t="s">
        <v>145</v>
      </c>
      <c r="C427" t="s">
        <v>146</v>
      </c>
      <c r="D427">
        <v>2022</v>
      </c>
      <c r="E427">
        <v>0</v>
      </c>
      <c r="F427" s="46" t="s">
        <v>511</v>
      </c>
      <c r="G427" t="s">
        <v>627</v>
      </c>
    </row>
    <row r="428" spans="1:7" x14ac:dyDescent="0.3">
      <c r="A428" t="s">
        <v>624</v>
      </c>
      <c r="B428" t="s">
        <v>147</v>
      </c>
      <c r="C428" t="s">
        <v>148</v>
      </c>
      <c r="D428">
        <v>2016</v>
      </c>
      <c r="E428">
        <v>0</v>
      </c>
      <c r="F428" s="45" t="s">
        <v>372</v>
      </c>
      <c r="G428" t="s">
        <v>625</v>
      </c>
    </row>
    <row r="429" spans="1:7" x14ac:dyDescent="0.3">
      <c r="A429" t="s">
        <v>624</v>
      </c>
      <c r="B429" t="s">
        <v>147</v>
      </c>
      <c r="C429" t="s">
        <v>148</v>
      </c>
      <c r="D429">
        <v>2020</v>
      </c>
      <c r="E429">
        <v>0</v>
      </c>
      <c r="F429" s="45" t="s">
        <v>372</v>
      </c>
      <c r="G429" t="s">
        <v>625</v>
      </c>
    </row>
    <row r="430" spans="1:7" x14ac:dyDescent="0.3">
      <c r="A430" t="s">
        <v>624</v>
      </c>
      <c r="B430" t="s">
        <v>147</v>
      </c>
      <c r="C430" t="s">
        <v>148</v>
      </c>
      <c r="D430">
        <v>2021</v>
      </c>
      <c r="E430">
        <v>0</v>
      </c>
      <c r="F430" s="46" t="s">
        <v>511</v>
      </c>
      <c r="G430" t="s">
        <v>627</v>
      </c>
    </row>
    <row r="431" spans="1:7" x14ac:dyDescent="0.3">
      <c r="A431" t="s">
        <v>624</v>
      </c>
      <c r="B431" t="s">
        <v>151</v>
      </c>
      <c r="C431" t="s">
        <v>152</v>
      </c>
      <c r="D431">
        <v>2015</v>
      </c>
      <c r="E431">
        <v>0</v>
      </c>
      <c r="F431" s="46" t="s">
        <v>511</v>
      </c>
      <c r="G431" t="s">
        <v>627</v>
      </c>
    </row>
    <row r="432" spans="1:7" x14ac:dyDescent="0.3">
      <c r="A432" t="s">
        <v>624</v>
      </c>
      <c r="B432" t="s">
        <v>151</v>
      </c>
      <c r="C432" t="s">
        <v>152</v>
      </c>
      <c r="D432">
        <v>2016</v>
      </c>
      <c r="E432">
        <v>0</v>
      </c>
      <c r="F432" s="46" t="s">
        <v>511</v>
      </c>
      <c r="G432" t="s">
        <v>627</v>
      </c>
    </row>
    <row r="433" spans="1:7" x14ac:dyDescent="0.3">
      <c r="A433" t="s">
        <v>624</v>
      </c>
      <c r="B433" t="s">
        <v>153</v>
      </c>
      <c r="C433" t="s">
        <v>154</v>
      </c>
      <c r="D433">
        <v>2015</v>
      </c>
      <c r="E433">
        <v>0</v>
      </c>
      <c r="F433" s="46" t="s">
        <v>511</v>
      </c>
      <c r="G433" t="s">
        <v>627</v>
      </c>
    </row>
    <row r="434" spans="1:7" x14ac:dyDescent="0.3">
      <c r="A434" t="s">
        <v>624</v>
      </c>
      <c r="B434" t="s">
        <v>153</v>
      </c>
      <c r="C434" t="s">
        <v>154</v>
      </c>
      <c r="D434">
        <v>2016</v>
      </c>
      <c r="E434">
        <v>0</v>
      </c>
      <c r="F434" s="46" t="s">
        <v>511</v>
      </c>
      <c r="G434" t="s">
        <v>627</v>
      </c>
    </row>
    <row r="435" spans="1:7" x14ac:dyDescent="0.3">
      <c r="A435" t="s">
        <v>624</v>
      </c>
      <c r="B435" t="s">
        <v>153</v>
      </c>
      <c r="C435" t="s">
        <v>154</v>
      </c>
      <c r="D435">
        <v>2017</v>
      </c>
      <c r="E435">
        <v>0</v>
      </c>
      <c r="F435" s="46" t="s">
        <v>511</v>
      </c>
      <c r="G435" t="s">
        <v>627</v>
      </c>
    </row>
    <row r="436" spans="1:7" x14ac:dyDescent="0.3">
      <c r="A436" t="s">
        <v>624</v>
      </c>
      <c r="B436" t="s">
        <v>153</v>
      </c>
      <c r="C436" t="s">
        <v>154</v>
      </c>
      <c r="D436">
        <v>2018</v>
      </c>
      <c r="E436">
        <v>0</v>
      </c>
      <c r="F436" s="46" t="s">
        <v>511</v>
      </c>
      <c r="G436" t="s">
        <v>627</v>
      </c>
    </row>
    <row r="437" spans="1:7" x14ac:dyDescent="0.3">
      <c r="A437" t="s">
        <v>624</v>
      </c>
      <c r="B437" t="s">
        <v>153</v>
      </c>
      <c r="C437" t="s">
        <v>154</v>
      </c>
      <c r="D437">
        <v>2019</v>
      </c>
      <c r="E437">
        <v>0</v>
      </c>
      <c r="F437" s="46" t="s">
        <v>511</v>
      </c>
      <c r="G437" t="s">
        <v>627</v>
      </c>
    </row>
    <row r="438" spans="1:7" x14ac:dyDescent="0.3">
      <c r="A438" t="s">
        <v>624</v>
      </c>
      <c r="B438" t="s">
        <v>153</v>
      </c>
      <c r="C438" t="s">
        <v>154</v>
      </c>
      <c r="D438">
        <v>2020</v>
      </c>
      <c r="E438">
        <v>0</v>
      </c>
      <c r="F438" s="46" t="s">
        <v>511</v>
      </c>
      <c r="G438" t="s">
        <v>627</v>
      </c>
    </row>
    <row r="439" spans="1:7" x14ac:dyDescent="0.3">
      <c r="A439" t="s">
        <v>624</v>
      </c>
      <c r="B439" t="s">
        <v>153</v>
      </c>
      <c r="C439" t="s">
        <v>154</v>
      </c>
      <c r="D439">
        <v>2021</v>
      </c>
      <c r="E439">
        <v>0</v>
      </c>
      <c r="F439" s="46" t="s">
        <v>511</v>
      </c>
      <c r="G439" t="s">
        <v>627</v>
      </c>
    </row>
    <row r="440" spans="1:7" x14ac:dyDescent="0.3">
      <c r="A440" t="s">
        <v>624</v>
      </c>
      <c r="B440" t="s">
        <v>153</v>
      </c>
      <c r="C440" t="s">
        <v>154</v>
      </c>
      <c r="D440">
        <v>2022</v>
      </c>
      <c r="E440">
        <v>0</v>
      </c>
      <c r="F440" s="46" t="s">
        <v>511</v>
      </c>
      <c r="G440" t="s">
        <v>627</v>
      </c>
    </row>
    <row r="441" spans="1:7" x14ac:dyDescent="0.3">
      <c r="A441" t="s">
        <v>624</v>
      </c>
      <c r="B441" t="s">
        <v>159</v>
      </c>
      <c r="C441" t="s">
        <v>160</v>
      </c>
      <c r="D441">
        <v>2024</v>
      </c>
      <c r="E441">
        <v>0</v>
      </c>
      <c r="F441" s="45" t="s">
        <v>372</v>
      </c>
      <c r="G441" t="s">
        <v>625</v>
      </c>
    </row>
    <row r="442" spans="1:7" x14ac:dyDescent="0.3">
      <c r="A442" t="s">
        <v>624</v>
      </c>
      <c r="B442" t="s">
        <v>161</v>
      </c>
      <c r="C442" t="s">
        <v>162</v>
      </c>
      <c r="D442">
        <v>2017</v>
      </c>
      <c r="E442">
        <v>5</v>
      </c>
      <c r="F442" s="45" t="s">
        <v>372</v>
      </c>
      <c r="G442" t="s">
        <v>639</v>
      </c>
    </row>
    <row r="443" spans="1:7" x14ac:dyDescent="0.3">
      <c r="A443" t="s">
        <v>624</v>
      </c>
      <c r="B443" t="s">
        <v>163</v>
      </c>
      <c r="C443" t="s">
        <v>164</v>
      </c>
      <c r="D443">
        <v>2021</v>
      </c>
      <c r="E443">
        <v>2.2000000000000002</v>
      </c>
      <c r="F443" s="45" t="s">
        <v>372</v>
      </c>
      <c r="G443" t="s">
        <v>640</v>
      </c>
    </row>
    <row r="444" spans="1:7" x14ac:dyDescent="0.3">
      <c r="A444" t="s">
        <v>624</v>
      </c>
      <c r="B444" t="s">
        <v>169</v>
      </c>
      <c r="C444" t="s">
        <v>170</v>
      </c>
      <c r="D444">
        <v>2022</v>
      </c>
      <c r="E444">
        <v>5</v>
      </c>
      <c r="F444" s="45" t="s">
        <v>372</v>
      </c>
      <c r="G444" t="s">
        <v>641</v>
      </c>
    </row>
    <row r="445" spans="1:7" x14ac:dyDescent="0.3">
      <c r="A445" t="s">
        <v>624</v>
      </c>
      <c r="B445" t="s">
        <v>173</v>
      </c>
      <c r="C445" t="s">
        <v>174</v>
      </c>
      <c r="D445">
        <v>2020</v>
      </c>
      <c r="E445">
        <v>0.04</v>
      </c>
      <c r="F445" s="45" t="s">
        <v>372</v>
      </c>
      <c r="G445" t="s">
        <v>642</v>
      </c>
    </row>
    <row r="446" spans="1:7" x14ac:dyDescent="0.3">
      <c r="A446" t="s">
        <v>624</v>
      </c>
      <c r="B446" t="s">
        <v>173</v>
      </c>
      <c r="C446" t="s">
        <v>174</v>
      </c>
      <c r="D446">
        <v>2021</v>
      </c>
      <c r="E446">
        <v>1.25</v>
      </c>
      <c r="F446" s="45" t="s">
        <v>372</v>
      </c>
      <c r="G446" t="s">
        <v>643</v>
      </c>
    </row>
    <row r="447" spans="1:7" x14ac:dyDescent="0.3">
      <c r="A447" t="s">
        <v>624</v>
      </c>
      <c r="B447" t="s">
        <v>179</v>
      </c>
      <c r="C447" t="s">
        <v>180</v>
      </c>
      <c r="D447">
        <v>2015</v>
      </c>
      <c r="E447">
        <v>0</v>
      </c>
      <c r="F447" s="46" t="s">
        <v>511</v>
      </c>
      <c r="G447" t="s">
        <v>627</v>
      </c>
    </row>
    <row r="448" spans="1:7" x14ac:dyDescent="0.3">
      <c r="A448" t="s">
        <v>624</v>
      </c>
      <c r="B448" t="s">
        <v>179</v>
      </c>
      <c r="C448" t="s">
        <v>180</v>
      </c>
      <c r="D448">
        <v>2016</v>
      </c>
      <c r="E448">
        <v>0</v>
      </c>
      <c r="F448" s="46" t="s">
        <v>511</v>
      </c>
      <c r="G448" t="s">
        <v>627</v>
      </c>
    </row>
    <row r="449" spans="1:7" x14ac:dyDescent="0.3">
      <c r="A449" t="s">
        <v>624</v>
      </c>
      <c r="B449" t="s">
        <v>179</v>
      </c>
      <c r="C449" t="s">
        <v>180</v>
      </c>
      <c r="D449">
        <v>2018</v>
      </c>
      <c r="E449">
        <v>0</v>
      </c>
      <c r="F449" s="45" t="s">
        <v>372</v>
      </c>
      <c r="G449" t="s">
        <v>625</v>
      </c>
    </row>
    <row r="450" spans="1:7" x14ac:dyDescent="0.3">
      <c r="A450" t="s">
        <v>624</v>
      </c>
      <c r="B450" t="s">
        <v>179</v>
      </c>
      <c r="C450" t="s">
        <v>180</v>
      </c>
      <c r="D450">
        <v>2019</v>
      </c>
      <c r="E450">
        <v>0</v>
      </c>
      <c r="F450" s="46" t="s">
        <v>511</v>
      </c>
      <c r="G450" t="s">
        <v>627</v>
      </c>
    </row>
    <row r="451" spans="1:7" x14ac:dyDescent="0.3">
      <c r="A451" t="s">
        <v>624</v>
      </c>
      <c r="B451" t="s">
        <v>179</v>
      </c>
      <c r="C451" t="s">
        <v>180</v>
      </c>
      <c r="D451">
        <v>2020</v>
      </c>
      <c r="E451">
        <v>0</v>
      </c>
      <c r="F451" s="46" t="s">
        <v>511</v>
      </c>
      <c r="G451" t="s">
        <v>627</v>
      </c>
    </row>
    <row r="452" spans="1:7" x14ac:dyDescent="0.3">
      <c r="A452" t="s">
        <v>624</v>
      </c>
      <c r="B452" t="s">
        <v>179</v>
      </c>
      <c r="C452" t="s">
        <v>180</v>
      </c>
      <c r="D452">
        <v>2021</v>
      </c>
      <c r="E452">
        <v>0</v>
      </c>
      <c r="F452" s="46" t="s">
        <v>511</v>
      </c>
      <c r="G452" t="s">
        <v>627</v>
      </c>
    </row>
    <row r="453" spans="1:7" x14ac:dyDescent="0.3">
      <c r="A453" t="s">
        <v>624</v>
      </c>
      <c r="B453" t="s">
        <v>179</v>
      </c>
      <c r="C453" t="s">
        <v>180</v>
      </c>
      <c r="D453">
        <v>2022</v>
      </c>
      <c r="E453">
        <v>0</v>
      </c>
      <c r="F453" s="46" t="s">
        <v>511</v>
      </c>
      <c r="G453" t="s">
        <v>627</v>
      </c>
    </row>
    <row r="454" spans="1:7" x14ac:dyDescent="0.3">
      <c r="A454" t="s">
        <v>624</v>
      </c>
      <c r="B454" t="s">
        <v>179</v>
      </c>
      <c r="C454" t="s">
        <v>180</v>
      </c>
      <c r="D454">
        <v>2023</v>
      </c>
      <c r="E454">
        <v>0</v>
      </c>
      <c r="F454" s="46" t="s">
        <v>511</v>
      </c>
      <c r="G454" t="s">
        <v>627</v>
      </c>
    </row>
    <row r="455" spans="1:7" x14ac:dyDescent="0.3">
      <c r="A455" t="s">
        <v>624</v>
      </c>
      <c r="B455" t="s">
        <v>181</v>
      </c>
      <c r="C455" t="s">
        <v>182</v>
      </c>
      <c r="D455">
        <v>2016</v>
      </c>
      <c r="E455">
        <v>1.1000000000000001</v>
      </c>
      <c r="F455" s="45" t="s">
        <v>372</v>
      </c>
      <c r="G455" t="s">
        <v>640</v>
      </c>
    </row>
    <row r="456" spans="1:7" x14ac:dyDescent="0.3">
      <c r="A456" t="s">
        <v>624</v>
      </c>
      <c r="B456" t="s">
        <v>183</v>
      </c>
      <c r="C456" t="s">
        <v>184</v>
      </c>
      <c r="D456">
        <v>2016</v>
      </c>
      <c r="E456">
        <v>0.13</v>
      </c>
      <c r="F456" s="45" t="s">
        <v>372</v>
      </c>
      <c r="G456" t="s">
        <v>644</v>
      </c>
    </row>
    <row r="457" spans="1:7" x14ac:dyDescent="0.3">
      <c r="A457" t="s">
        <v>624</v>
      </c>
      <c r="B457" t="s">
        <v>183</v>
      </c>
      <c r="C457" t="s">
        <v>184</v>
      </c>
      <c r="D457">
        <v>2017</v>
      </c>
      <c r="E457">
        <v>0</v>
      </c>
      <c r="F457" s="45" t="s">
        <v>372</v>
      </c>
      <c r="G457" t="s">
        <v>625</v>
      </c>
    </row>
    <row r="458" spans="1:7" x14ac:dyDescent="0.3">
      <c r="A458" t="s">
        <v>624</v>
      </c>
      <c r="B458" t="s">
        <v>191</v>
      </c>
      <c r="C458" t="s">
        <v>192</v>
      </c>
      <c r="D458">
        <v>2015</v>
      </c>
      <c r="E458">
        <v>0</v>
      </c>
      <c r="F458" s="46" t="s">
        <v>511</v>
      </c>
      <c r="G458" t="s">
        <v>627</v>
      </c>
    </row>
    <row r="459" spans="1:7" x14ac:dyDescent="0.3">
      <c r="A459" t="s">
        <v>624</v>
      </c>
      <c r="B459" t="s">
        <v>191</v>
      </c>
      <c r="C459" t="s">
        <v>192</v>
      </c>
      <c r="D459">
        <v>2016</v>
      </c>
      <c r="E459">
        <v>0</v>
      </c>
      <c r="F459" s="46" t="s">
        <v>511</v>
      </c>
      <c r="G459" t="s">
        <v>627</v>
      </c>
    </row>
    <row r="460" spans="1:7" x14ac:dyDescent="0.3">
      <c r="A460" t="s">
        <v>624</v>
      </c>
      <c r="B460" t="s">
        <v>191</v>
      </c>
      <c r="C460" t="s">
        <v>192</v>
      </c>
      <c r="D460">
        <v>2017</v>
      </c>
      <c r="E460">
        <v>0</v>
      </c>
      <c r="F460" s="46" t="s">
        <v>511</v>
      </c>
      <c r="G460" t="s">
        <v>627</v>
      </c>
    </row>
    <row r="461" spans="1:7" x14ac:dyDescent="0.3">
      <c r="A461" t="s">
        <v>624</v>
      </c>
      <c r="B461" t="s">
        <v>191</v>
      </c>
      <c r="C461" t="s">
        <v>192</v>
      </c>
      <c r="D461">
        <v>2018</v>
      </c>
      <c r="E461">
        <v>0</v>
      </c>
      <c r="F461" s="46" t="s">
        <v>511</v>
      </c>
      <c r="G461" t="s">
        <v>627</v>
      </c>
    </row>
    <row r="462" spans="1:7" x14ac:dyDescent="0.3">
      <c r="A462" t="s">
        <v>624</v>
      </c>
      <c r="B462" t="s">
        <v>191</v>
      </c>
      <c r="C462" t="s">
        <v>192</v>
      </c>
      <c r="D462">
        <v>2019</v>
      </c>
      <c r="E462">
        <v>0</v>
      </c>
      <c r="F462" s="46" t="s">
        <v>511</v>
      </c>
      <c r="G462" t="s">
        <v>627</v>
      </c>
    </row>
    <row r="463" spans="1:7" x14ac:dyDescent="0.3">
      <c r="A463" t="s">
        <v>624</v>
      </c>
      <c r="B463" t="s">
        <v>191</v>
      </c>
      <c r="C463" t="s">
        <v>192</v>
      </c>
      <c r="D463">
        <v>2020</v>
      </c>
      <c r="E463">
        <v>0</v>
      </c>
      <c r="F463" s="46" t="s">
        <v>511</v>
      </c>
      <c r="G463" t="s">
        <v>627</v>
      </c>
    </row>
    <row r="464" spans="1:7" x14ac:dyDescent="0.3">
      <c r="A464" t="s">
        <v>624</v>
      </c>
      <c r="B464" t="s">
        <v>191</v>
      </c>
      <c r="C464" t="s">
        <v>192</v>
      </c>
      <c r="D464">
        <v>2021</v>
      </c>
      <c r="E464">
        <v>0</v>
      </c>
      <c r="F464" s="46" t="s">
        <v>511</v>
      </c>
      <c r="G464" t="s">
        <v>627</v>
      </c>
    </row>
    <row r="465" spans="1:7" x14ac:dyDescent="0.3">
      <c r="A465" t="s">
        <v>624</v>
      </c>
      <c r="B465" t="s">
        <v>191</v>
      </c>
      <c r="C465" t="s">
        <v>192</v>
      </c>
      <c r="D465">
        <v>2023</v>
      </c>
      <c r="E465">
        <v>0</v>
      </c>
      <c r="F465" s="45" t="s">
        <v>372</v>
      </c>
      <c r="G465" t="s">
        <v>625</v>
      </c>
    </row>
    <row r="466" spans="1:7" x14ac:dyDescent="0.3">
      <c r="A466" t="s">
        <v>624</v>
      </c>
      <c r="B466" t="s">
        <v>191</v>
      </c>
      <c r="C466" t="s">
        <v>192</v>
      </c>
      <c r="D466">
        <v>2024</v>
      </c>
      <c r="E466">
        <v>0</v>
      </c>
      <c r="F466" s="46" t="s">
        <v>511</v>
      </c>
      <c r="G466" t="s">
        <v>627</v>
      </c>
    </row>
    <row r="467" spans="1:7" x14ac:dyDescent="0.3">
      <c r="A467" t="s">
        <v>624</v>
      </c>
      <c r="B467" t="s">
        <v>193</v>
      </c>
      <c r="C467" t="s">
        <v>194</v>
      </c>
      <c r="D467">
        <v>2015</v>
      </c>
      <c r="E467">
        <v>0</v>
      </c>
      <c r="F467" s="46" t="s">
        <v>511</v>
      </c>
      <c r="G467" t="s">
        <v>627</v>
      </c>
    </row>
    <row r="468" spans="1:7" x14ac:dyDescent="0.3">
      <c r="A468" t="s">
        <v>624</v>
      </c>
      <c r="B468" t="s">
        <v>193</v>
      </c>
      <c r="C468" t="s">
        <v>194</v>
      </c>
      <c r="D468">
        <v>2016</v>
      </c>
      <c r="E468">
        <v>0</v>
      </c>
      <c r="F468" s="46" t="s">
        <v>511</v>
      </c>
      <c r="G468" t="s">
        <v>627</v>
      </c>
    </row>
    <row r="469" spans="1:7" x14ac:dyDescent="0.3">
      <c r="A469" t="s">
        <v>624</v>
      </c>
      <c r="B469" t="s">
        <v>193</v>
      </c>
      <c r="C469" t="s">
        <v>194</v>
      </c>
      <c r="D469">
        <v>2017</v>
      </c>
      <c r="E469">
        <v>0</v>
      </c>
      <c r="F469" s="46" t="s">
        <v>511</v>
      </c>
      <c r="G469" t="s">
        <v>627</v>
      </c>
    </row>
    <row r="470" spans="1:7" x14ac:dyDescent="0.3">
      <c r="A470" t="s">
        <v>624</v>
      </c>
      <c r="B470" t="s">
        <v>193</v>
      </c>
      <c r="C470" t="s">
        <v>194</v>
      </c>
      <c r="D470">
        <v>2018</v>
      </c>
      <c r="E470">
        <v>0</v>
      </c>
      <c r="F470" s="46" t="s">
        <v>511</v>
      </c>
      <c r="G470" t="s">
        <v>627</v>
      </c>
    </row>
    <row r="471" spans="1:7" x14ac:dyDescent="0.3">
      <c r="A471" t="s">
        <v>624</v>
      </c>
      <c r="B471" t="s">
        <v>197</v>
      </c>
      <c r="C471" t="s">
        <v>198</v>
      </c>
      <c r="D471">
        <v>2016</v>
      </c>
      <c r="E471">
        <v>0.17</v>
      </c>
      <c r="F471" s="45" t="s">
        <v>372</v>
      </c>
      <c r="G471" t="s">
        <v>645</v>
      </c>
    </row>
    <row r="472" spans="1:7" x14ac:dyDescent="0.3">
      <c r="A472" t="s">
        <v>624</v>
      </c>
      <c r="B472" t="s">
        <v>197</v>
      </c>
      <c r="C472" t="s">
        <v>198</v>
      </c>
      <c r="D472">
        <v>2017</v>
      </c>
      <c r="E472">
        <v>2.06</v>
      </c>
      <c r="F472" s="45" t="s">
        <v>372</v>
      </c>
      <c r="G472" t="s">
        <v>646</v>
      </c>
    </row>
    <row r="473" spans="1:7" x14ac:dyDescent="0.3">
      <c r="A473" t="s">
        <v>624</v>
      </c>
      <c r="B473" t="s">
        <v>197</v>
      </c>
      <c r="C473" t="s">
        <v>198</v>
      </c>
      <c r="D473">
        <v>2022</v>
      </c>
      <c r="E473">
        <v>26.62</v>
      </c>
      <c r="F473" s="45" t="s">
        <v>372</v>
      </c>
      <c r="G473" t="s">
        <v>647</v>
      </c>
    </row>
    <row r="474" spans="1:7" x14ac:dyDescent="0.3">
      <c r="A474" t="s">
        <v>624</v>
      </c>
      <c r="B474" t="s">
        <v>209</v>
      </c>
      <c r="C474" t="s">
        <v>126</v>
      </c>
      <c r="D474">
        <v>2020</v>
      </c>
      <c r="E474">
        <v>0</v>
      </c>
      <c r="F474" s="45" t="s">
        <v>372</v>
      </c>
      <c r="G474" t="s">
        <v>625</v>
      </c>
    </row>
    <row r="475" spans="1:7" x14ac:dyDescent="0.3">
      <c r="A475" t="s">
        <v>624</v>
      </c>
      <c r="B475" t="s">
        <v>209</v>
      </c>
      <c r="C475" t="s">
        <v>126</v>
      </c>
      <c r="D475">
        <v>2021</v>
      </c>
      <c r="E475">
        <v>0</v>
      </c>
      <c r="F475" s="46" t="s">
        <v>511</v>
      </c>
      <c r="G475" t="s">
        <v>627</v>
      </c>
    </row>
    <row r="476" spans="1:7" x14ac:dyDescent="0.3">
      <c r="A476" t="s">
        <v>624</v>
      </c>
      <c r="B476" t="s">
        <v>214</v>
      </c>
      <c r="C476" t="s">
        <v>215</v>
      </c>
      <c r="D476">
        <v>2020</v>
      </c>
      <c r="E476">
        <v>0</v>
      </c>
      <c r="F476" s="45" t="s">
        <v>372</v>
      </c>
      <c r="G476" t="s">
        <v>625</v>
      </c>
    </row>
    <row r="477" spans="1:7" x14ac:dyDescent="0.3">
      <c r="A477" t="s">
        <v>624</v>
      </c>
      <c r="B477" t="s">
        <v>222</v>
      </c>
      <c r="C477" t="s">
        <v>223</v>
      </c>
      <c r="D477">
        <v>2020</v>
      </c>
      <c r="E477">
        <v>0</v>
      </c>
      <c r="F477" s="45" t="s">
        <v>372</v>
      </c>
      <c r="G477" t="s">
        <v>625</v>
      </c>
    </row>
    <row r="478" spans="1:7" x14ac:dyDescent="0.3">
      <c r="A478" t="s">
        <v>624</v>
      </c>
      <c r="B478" t="s">
        <v>232</v>
      </c>
      <c r="C478" t="s">
        <v>233</v>
      </c>
      <c r="D478">
        <v>2020</v>
      </c>
      <c r="E478">
        <v>0</v>
      </c>
      <c r="F478" s="45" t="s">
        <v>372</v>
      </c>
      <c r="G478" t="s">
        <v>625</v>
      </c>
    </row>
    <row r="479" spans="1:7" x14ac:dyDescent="0.3">
      <c r="A479" t="s">
        <v>624</v>
      </c>
      <c r="B479" t="s">
        <v>234</v>
      </c>
      <c r="C479" t="s">
        <v>235</v>
      </c>
      <c r="D479">
        <v>2020</v>
      </c>
      <c r="E479">
        <v>0</v>
      </c>
      <c r="F479" s="45" t="s">
        <v>372</v>
      </c>
      <c r="G479" t="s">
        <v>625</v>
      </c>
    </row>
    <row r="480" spans="1:7" x14ac:dyDescent="0.3">
      <c r="A480" t="s">
        <v>624</v>
      </c>
      <c r="B480" t="s">
        <v>236</v>
      </c>
      <c r="C480" t="s">
        <v>237</v>
      </c>
      <c r="D480">
        <v>2020</v>
      </c>
      <c r="E480">
        <v>0</v>
      </c>
      <c r="F480" s="45" t="s">
        <v>372</v>
      </c>
      <c r="G480" t="s">
        <v>625</v>
      </c>
    </row>
    <row r="481" spans="1:7" x14ac:dyDescent="0.3">
      <c r="A481" t="s">
        <v>624</v>
      </c>
      <c r="B481" t="s">
        <v>246</v>
      </c>
      <c r="C481" t="s">
        <v>247</v>
      </c>
      <c r="D481">
        <v>2020</v>
      </c>
      <c r="E481">
        <v>0.4</v>
      </c>
      <c r="F481" s="45" t="s">
        <v>372</v>
      </c>
      <c r="G481" t="s">
        <v>648</v>
      </c>
    </row>
    <row r="482" spans="1:7" x14ac:dyDescent="0.3">
      <c r="A482" t="s">
        <v>624</v>
      </c>
      <c r="B482" t="s">
        <v>246</v>
      </c>
      <c r="C482" t="s">
        <v>247</v>
      </c>
      <c r="D482">
        <v>2021</v>
      </c>
      <c r="E482">
        <v>1.96</v>
      </c>
      <c r="F482" s="45" t="s">
        <v>372</v>
      </c>
      <c r="G482" t="s">
        <v>649</v>
      </c>
    </row>
    <row r="483" spans="1:7" x14ac:dyDescent="0.3">
      <c r="A483" t="s">
        <v>624</v>
      </c>
      <c r="B483" t="s">
        <v>254</v>
      </c>
      <c r="C483" t="s">
        <v>110</v>
      </c>
      <c r="D483">
        <v>2015</v>
      </c>
      <c r="E483">
        <v>0</v>
      </c>
      <c r="F483" s="46" t="s">
        <v>511</v>
      </c>
      <c r="G483" t="s">
        <v>627</v>
      </c>
    </row>
    <row r="484" spans="1:7" x14ac:dyDescent="0.3">
      <c r="A484" t="s">
        <v>624</v>
      </c>
      <c r="B484" t="s">
        <v>254</v>
      </c>
      <c r="C484" t="s">
        <v>110</v>
      </c>
      <c r="D484">
        <v>2016</v>
      </c>
      <c r="E484">
        <v>0</v>
      </c>
      <c r="F484" s="46" t="s">
        <v>511</v>
      </c>
      <c r="G484" t="s">
        <v>627</v>
      </c>
    </row>
    <row r="485" spans="1:7" x14ac:dyDescent="0.3">
      <c r="A485" t="s">
        <v>624</v>
      </c>
      <c r="B485" t="s">
        <v>254</v>
      </c>
      <c r="C485" t="s">
        <v>110</v>
      </c>
      <c r="D485">
        <v>2017</v>
      </c>
      <c r="E485">
        <v>0</v>
      </c>
      <c r="F485" s="46" t="s">
        <v>511</v>
      </c>
      <c r="G485" t="s">
        <v>627</v>
      </c>
    </row>
    <row r="486" spans="1:7" x14ac:dyDescent="0.3">
      <c r="A486" t="s">
        <v>624</v>
      </c>
      <c r="B486" t="s">
        <v>254</v>
      </c>
      <c r="C486" t="s">
        <v>110</v>
      </c>
      <c r="D486">
        <v>2018</v>
      </c>
      <c r="E486">
        <v>0</v>
      </c>
      <c r="F486" s="46" t="s">
        <v>511</v>
      </c>
      <c r="G486" t="s">
        <v>627</v>
      </c>
    </row>
    <row r="487" spans="1:7" x14ac:dyDescent="0.3">
      <c r="A487" t="s">
        <v>624</v>
      </c>
      <c r="B487" t="s">
        <v>254</v>
      </c>
      <c r="C487" t="s">
        <v>110</v>
      </c>
      <c r="D487">
        <v>2020</v>
      </c>
      <c r="E487">
        <v>0</v>
      </c>
      <c r="F487" s="45" t="s">
        <v>372</v>
      </c>
      <c r="G487" t="s">
        <v>625</v>
      </c>
    </row>
    <row r="488" spans="1:7" x14ac:dyDescent="0.3">
      <c r="A488" t="s">
        <v>624</v>
      </c>
      <c r="B488" t="s">
        <v>259</v>
      </c>
      <c r="C488" t="s">
        <v>260</v>
      </c>
      <c r="D488">
        <v>2020</v>
      </c>
      <c r="E488">
        <v>0</v>
      </c>
      <c r="F488" s="45" t="s">
        <v>372</v>
      </c>
      <c r="G488" t="s">
        <v>625</v>
      </c>
    </row>
    <row r="489" spans="1:7" x14ac:dyDescent="0.3">
      <c r="A489" t="s">
        <v>624</v>
      </c>
      <c r="B489" t="s">
        <v>261</v>
      </c>
      <c r="C489" t="s">
        <v>262</v>
      </c>
      <c r="D489">
        <v>2015</v>
      </c>
      <c r="E489">
        <v>0</v>
      </c>
      <c r="F489" s="46" t="s">
        <v>511</v>
      </c>
      <c r="G489" t="s">
        <v>627</v>
      </c>
    </row>
    <row r="490" spans="1:7" x14ac:dyDescent="0.3">
      <c r="A490" t="s">
        <v>624</v>
      </c>
      <c r="B490" t="s">
        <v>261</v>
      </c>
      <c r="C490" t="s">
        <v>262</v>
      </c>
      <c r="D490">
        <v>2016</v>
      </c>
      <c r="E490">
        <v>0</v>
      </c>
      <c r="F490" s="46" t="s">
        <v>511</v>
      </c>
      <c r="G490" t="s">
        <v>627</v>
      </c>
    </row>
    <row r="491" spans="1:7" x14ac:dyDescent="0.3">
      <c r="A491" t="s">
        <v>624</v>
      </c>
      <c r="B491" t="s">
        <v>261</v>
      </c>
      <c r="C491" t="s">
        <v>262</v>
      </c>
      <c r="D491">
        <v>2021</v>
      </c>
      <c r="E491">
        <v>0</v>
      </c>
      <c r="F491" s="45" t="s">
        <v>372</v>
      </c>
      <c r="G491" t="s">
        <v>625</v>
      </c>
    </row>
    <row r="492" spans="1:7" x14ac:dyDescent="0.3">
      <c r="A492" t="s">
        <v>624</v>
      </c>
      <c r="B492" t="s">
        <v>261</v>
      </c>
      <c r="C492" t="s">
        <v>262</v>
      </c>
      <c r="D492">
        <v>2022</v>
      </c>
      <c r="E492">
        <v>0</v>
      </c>
      <c r="F492" s="46" t="s">
        <v>511</v>
      </c>
      <c r="G492" t="s">
        <v>627</v>
      </c>
    </row>
    <row r="493" spans="1:7" x14ac:dyDescent="0.3">
      <c r="A493" t="s">
        <v>624</v>
      </c>
      <c r="B493" t="s">
        <v>261</v>
      </c>
      <c r="C493" t="s">
        <v>262</v>
      </c>
      <c r="D493">
        <v>2023</v>
      </c>
      <c r="E493">
        <v>0</v>
      </c>
      <c r="F493" s="46" t="s">
        <v>511</v>
      </c>
      <c r="G493" t="s">
        <v>627</v>
      </c>
    </row>
    <row r="494" spans="1:7" x14ac:dyDescent="0.3">
      <c r="A494" t="s">
        <v>624</v>
      </c>
      <c r="B494" t="s">
        <v>265</v>
      </c>
      <c r="C494" t="s">
        <v>266</v>
      </c>
      <c r="D494">
        <v>2015</v>
      </c>
      <c r="E494">
        <v>0</v>
      </c>
      <c r="F494" s="46" t="s">
        <v>511</v>
      </c>
      <c r="G494" t="s">
        <v>627</v>
      </c>
    </row>
    <row r="495" spans="1:7" x14ac:dyDescent="0.3">
      <c r="A495" t="s">
        <v>624</v>
      </c>
      <c r="B495" t="s">
        <v>265</v>
      </c>
      <c r="C495" t="s">
        <v>266</v>
      </c>
      <c r="D495">
        <v>2016</v>
      </c>
      <c r="E495">
        <v>0</v>
      </c>
      <c r="F495" s="46" t="s">
        <v>511</v>
      </c>
      <c r="G495" t="s">
        <v>627</v>
      </c>
    </row>
    <row r="496" spans="1:7" x14ac:dyDescent="0.3">
      <c r="A496" t="s">
        <v>624</v>
      </c>
      <c r="B496" t="s">
        <v>265</v>
      </c>
      <c r="C496" t="s">
        <v>266</v>
      </c>
      <c r="D496">
        <v>2017</v>
      </c>
      <c r="E496">
        <v>0</v>
      </c>
      <c r="F496" s="46" t="s">
        <v>511</v>
      </c>
      <c r="G496" t="s">
        <v>627</v>
      </c>
    </row>
    <row r="497" spans="1:7" x14ac:dyDescent="0.3">
      <c r="A497" t="s">
        <v>624</v>
      </c>
      <c r="B497" t="s">
        <v>265</v>
      </c>
      <c r="C497" t="s">
        <v>266</v>
      </c>
      <c r="D497">
        <v>2020</v>
      </c>
      <c r="E497">
        <v>0</v>
      </c>
      <c r="F497" s="45" t="s">
        <v>372</v>
      </c>
      <c r="G497" t="s">
        <v>625</v>
      </c>
    </row>
    <row r="498" spans="1:7" x14ac:dyDescent="0.3">
      <c r="A498" t="s">
        <v>624</v>
      </c>
      <c r="B498" t="s">
        <v>265</v>
      </c>
      <c r="C498" t="s">
        <v>266</v>
      </c>
      <c r="D498">
        <v>2021</v>
      </c>
      <c r="E498">
        <v>0</v>
      </c>
      <c r="F498" s="46" t="s">
        <v>511</v>
      </c>
      <c r="G498" t="s">
        <v>627</v>
      </c>
    </row>
    <row r="499" spans="1:7" x14ac:dyDescent="0.3">
      <c r="A499" t="s">
        <v>624</v>
      </c>
      <c r="B499" t="s">
        <v>267</v>
      </c>
      <c r="C499" t="s">
        <v>112</v>
      </c>
      <c r="D499">
        <v>2024</v>
      </c>
      <c r="E499">
        <v>0</v>
      </c>
      <c r="F499" s="45" t="s">
        <v>372</v>
      </c>
      <c r="G499" t="s">
        <v>625</v>
      </c>
    </row>
    <row r="500" spans="1:7" x14ac:dyDescent="0.3">
      <c r="A500" t="s">
        <v>624</v>
      </c>
      <c r="B500" t="s">
        <v>269</v>
      </c>
      <c r="C500" t="s">
        <v>270</v>
      </c>
      <c r="D500">
        <v>2020</v>
      </c>
      <c r="E500">
        <v>0</v>
      </c>
      <c r="F500" s="45" t="s">
        <v>372</v>
      </c>
      <c r="G500" t="s">
        <v>625</v>
      </c>
    </row>
    <row r="501" spans="1:7" x14ac:dyDescent="0.3">
      <c r="A501" t="s">
        <v>624</v>
      </c>
      <c r="B501" t="s">
        <v>269</v>
      </c>
      <c r="C501" t="s">
        <v>270</v>
      </c>
      <c r="D501">
        <v>2021</v>
      </c>
      <c r="E501">
        <v>0</v>
      </c>
      <c r="F501" s="46" t="s">
        <v>511</v>
      </c>
      <c r="G501" t="s">
        <v>627</v>
      </c>
    </row>
    <row r="502" spans="1:7" x14ac:dyDescent="0.3">
      <c r="A502" t="s">
        <v>624</v>
      </c>
      <c r="B502" t="s">
        <v>269</v>
      </c>
      <c r="C502" t="s">
        <v>270</v>
      </c>
      <c r="D502">
        <v>2022</v>
      </c>
      <c r="E502">
        <v>0</v>
      </c>
      <c r="F502" s="46" t="s">
        <v>511</v>
      </c>
      <c r="G502" t="s">
        <v>627</v>
      </c>
    </row>
    <row r="503" spans="1:7" x14ac:dyDescent="0.3">
      <c r="A503" t="s">
        <v>624</v>
      </c>
      <c r="B503" t="s">
        <v>269</v>
      </c>
      <c r="C503" t="s">
        <v>270</v>
      </c>
      <c r="D503">
        <v>2024</v>
      </c>
      <c r="E503">
        <v>1.85</v>
      </c>
      <c r="F503" s="45" t="s">
        <v>372</v>
      </c>
      <c r="G503" t="s">
        <v>650</v>
      </c>
    </row>
    <row r="504" spans="1:7" x14ac:dyDescent="0.3">
      <c r="A504" t="s">
        <v>624</v>
      </c>
      <c r="B504" t="s">
        <v>277</v>
      </c>
      <c r="C504" t="s">
        <v>278</v>
      </c>
      <c r="D504">
        <v>2021</v>
      </c>
      <c r="E504">
        <v>0.62</v>
      </c>
      <c r="F504" s="45" t="s">
        <v>372</v>
      </c>
      <c r="G504" t="s">
        <v>651</v>
      </c>
    </row>
    <row r="505" spans="1:7" x14ac:dyDescent="0.3">
      <c r="A505" t="s">
        <v>624</v>
      </c>
      <c r="B505" t="s">
        <v>280</v>
      </c>
      <c r="C505" t="s">
        <v>281</v>
      </c>
      <c r="D505">
        <v>2015</v>
      </c>
      <c r="E505">
        <v>0</v>
      </c>
      <c r="F505" s="46" t="s">
        <v>511</v>
      </c>
      <c r="G505" t="s">
        <v>627</v>
      </c>
    </row>
    <row r="506" spans="1:7" x14ac:dyDescent="0.3">
      <c r="A506" t="s">
        <v>624</v>
      </c>
      <c r="B506" t="s">
        <v>280</v>
      </c>
      <c r="C506" t="s">
        <v>281</v>
      </c>
      <c r="D506">
        <v>2016</v>
      </c>
      <c r="E506">
        <v>0</v>
      </c>
      <c r="F506" s="46" t="s">
        <v>511</v>
      </c>
      <c r="G506" t="s">
        <v>627</v>
      </c>
    </row>
    <row r="507" spans="1:7" x14ac:dyDescent="0.3">
      <c r="A507" t="s">
        <v>624</v>
      </c>
      <c r="B507" t="s">
        <v>283</v>
      </c>
      <c r="C507" t="s">
        <v>284</v>
      </c>
      <c r="D507">
        <v>2020</v>
      </c>
      <c r="E507">
        <v>0</v>
      </c>
      <c r="F507" s="45" t="s">
        <v>372</v>
      </c>
      <c r="G507" t="s">
        <v>625</v>
      </c>
    </row>
    <row r="508" spans="1:7" x14ac:dyDescent="0.3">
      <c r="A508" t="s">
        <v>624</v>
      </c>
      <c r="B508" t="s">
        <v>293</v>
      </c>
      <c r="C508" t="s">
        <v>294</v>
      </c>
      <c r="D508">
        <v>2022</v>
      </c>
      <c r="E508">
        <v>0.14630000000000001</v>
      </c>
      <c r="F508" s="45" t="s">
        <v>372</v>
      </c>
      <c r="G508" t="s">
        <v>652</v>
      </c>
    </row>
    <row r="509" spans="1:7" x14ac:dyDescent="0.3">
      <c r="A509" t="s">
        <v>624</v>
      </c>
      <c r="B509" t="s">
        <v>295</v>
      </c>
      <c r="C509" t="s">
        <v>296</v>
      </c>
      <c r="D509">
        <v>2021</v>
      </c>
      <c r="E509">
        <v>0</v>
      </c>
      <c r="F509" s="45" t="s">
        <v>372</v>
      </c>
      <c r="G509" t="s">
        <v>625</v>
      </c>
    </row>
    <row r="510" spans="1:7" x14ac:dyDescent="0.3">
      <c r="A510" t="s">
        <v>624</v>
      </c>
      <c r="B510" t="s">
        <v>295</v>
      </c>
      <c r="C510" t="s">
        <v>296</v>
      </c>
      <c r="D510">
        <v>2022</v>
      </c>
      <c r="E510">
        <v>0</v>
      </c>
      <c r="F510" s="46" t="s">
        <v>511</v>
      </c>
      <c r="G510" t="s">
        <v>627</v>
      </c>
    </row>
    <row r="511" spans="1:7" x14ac:dyDescent="0.3">
      <c r="A511" t="s">
        <v>624</v>
      </c>
      <c r="B511" t="s">
        <v>299</v>
      </c>
      <c r="C511" t="s">
        <v>300</v>
      </c>
      <c r="D511">
        <v>2015</v>
      </c>
      <c r="E511">
        <v>0</v>
      </c>
      <c r="F511" s="46" t="s">
        <v>511</v>
      </c>
      <c r="G511" t="s">
        <v>627</v>
      </c>
    </row>
    <row r="512" spans="1:7" x14ac:dyDescent="0.3">
      <c r="A512" t="s">
        <v>624</v>
      </c>
      <c r="B512" t="s">
        <v>299</v>
      </c>
      <c r="C512" t="s">
        <v>300</v>
      </c>
      <c r="D512">
        <v>2020</v>
      </c>
      <c r="E512">
        <v>0</v>
      </c>
      <c r="F512" s="45" t="s">
        <v>372</v>
      </c>
      <c r="G512" t="s">
        <v>625</v>
      </c>
    </row>
    <row r="513" spans="1:7" x14ac:dyDescent="0.3">
      <c r="A513" t="s">
        <v>624</v>
      </c>
      <c r="B513" t="s">
        <v>299</v>
      </c>
      <c r="C513" t="s">
        <v>300</v>
      </c>
      <c r="D513">
        <v>2021</v>
      </c>
      <c r="E513">
        <v>0</v>
      </c>
      <c r="F513" s="46" t="s">
        <v>511</v>
      </c>
      <c r="G513" t="s">
        <v>627</v>
      </c>
    </row>
    <row r="514" spans="1:7" x14ac:dyDescent="0.3">
      <c r="A514" t="s">
        <v>624</v>
      </c>
      <c r="B514" t="s">
        <v>299</v>
      </c>
      <c r="C514" t="s">
        <v>300</v>
      </c>
      <c r="D514">
        <v>2022</v>
      </c>
      <c r="E514">
        <v>0</v>
      </c>
      <c r="F514" s="46" t="s">
        <v>511</v>
      </c>
      <c r="G514" t="s">
        <v>627</v>
      </c>
    </row>
    <row r="515" spans="1:7" x14ac:dyDescent="0.3">
      <c r="A515" t="s">
        <v>624</v>
      </c>
      <c r="B515" t="s">
        <v>311</v>
      </c>
      <c r="C515" t="s">
        <v>312</v>
      </c>
      <c r="D515">
        <v>2022</v>
      </c>
      <c r="E515">
        <v>0</v>
      </c>
      <c r="F515" s="45" t="s">
        <v>372</v>
      </c>
      <c r="G515" t="s">
        <v>625</v>
      </c>
    </row>
    <row r="516" spans="1:7" x14ac:dyDescent="0.3">
      <c r="A516" t="s">
        <v>624</v>
      </c>
      <c r="B516" t="s">
        <v>311</v>
      </c>
      <c r="C516" t="s">
        <v>312</v>
      </c>
      <c r="D516">
        <v>2023</v>
      </c>
      <c r="E516">
        <v>0</v>
      </c>
      <c r="F516" s="46" t="s">
        <v>511</v>
      </c>
      <c r="G516" t="s">
        <v>627</v>
      </c>
    </row>
    <row r="517" spans="1:7" x14ac:dyDescent="0.3">
      <c r="A517" t="s">
        <v>624</v>
      </c>
      <c r="B517" t="s">
        <v>311</v>
      </c>
      <c r="C517" t="s">
        <v>312</v>
      </c>
      <c r="D517">
        <v>2024</v>
      </c>
      <c r="E517">
        <v>0</v>
      </c>
      <c r="F517" s="46" t="s">
        <v>511</v>
      </c>
      <c r="G517" t="s">
        <v>627</v>
      </c>
    </row>
    <row r="518" spans="1:7" x14ac:dyDescent="0.3">
      <c r="A518" t="s">
        <v>624</v>
      </c>
      <c r="B518" t="s">
        <v>315</v>
      </c>
      <c r="C518" t="s">
        <v>316</v>
      </c>
      <c r="D518">
        <v>2020</v>
      </c>
      <c r="E518">
        <v>0</v>
      </c>
      <c r="F518" s="45" t="s">
        <v>372</v>
      </c>
      <c r="G518" t="s">
        <v>625</v>
      </c>
    </row>
    <row r="519" spans="1:7" x14ac:dyDescent="0.3">
      <c r="A519" t="s">
        <v>624</v>
      </c>
      <c r="B519" t="s">
        <v>315</v>
      </c>
      <c r="C519" t="s">
        <v>316</v>
      </c>
      <c r="D519">
        <v>2021</v>
      </c>
      <c r="E519">
        <v>0</v>
      </c>
      <c r="F519" s="46" t="s">
        <v>511</v>
      </c>
      <c r="G519" t="s">
        <v>627</v>
      </c>
    </row>
    <row r="520" spans="1:7" x14ac:dyDescent="0.3">
      <c r="A520" t="s">
        <v>624</v>
      </c>
      <c r="B520" t="s">
        <v>315</v>
      </c>
      <c r="C520" t="s">
        <v>316</v>
      </c>
      <c r="D520">
        <v>2022</v>
      </c>
      <c r="E520">
        <v>0</v>
      </c>
      <c r="F520" s="46" t="s">
        <v>511</v>
      </c>
      <c r="G520" t="s">
        <v>627</v>
      </c>
    </row>
    <row r="521" spans="1:7" x14ac:dyDescent="0.3">
      <c r="A521" t="s">
        <v>624</v>
      </c>
      <c r="B521" t="s">
        <v>315</v>
      </c>
      <c r="C521" t="s">
        <v>316</v>
      </c>
      <c r="D521">
        <v>2023</v>
      </c>
      <c r="E521">
        <v>0</v>
      </c>
      <c r="F521" s="46" t="s">
        <v>511</v>
      </c>
      <c r="G521" t="s">
        <v>627</v>
      </c>
    </row>
    <row r="522" spans="1:7" x14ac:dyDescent="0.3">
      <c r="A522" t="s">
        <v>624</v>
      </c>
      <c r="B522" t="s">
        <v>317</v>
      </c>
      <c r="C522" t="s">
        <v>318</v>
      </c>
      <c r="D522">
        <v>2016</v>
      </c>
      <c r="E522">
        <v>0.30760999999999999</v>
      </c>
      <c r="F522" s="45" t="s">
        <v>372</v>
      </c>
      <c r="G522" t="s">
        <v>653</v>
      </c>
    </row>
    <row r="523" spans="1:7" x14ac:dyDescent="0.3">
      <c r="A523" t="s">
        <v>624</v>
      </c>
      <c r="B523" t="s">
        <v>317</v>
      </c>
      <c r="C523" t="s">
        <v>318</v>
      </c>
      <c r="D523">
        <v>2021</v>
      </c>
      <c r="E523">
        <v>0.45</v>
      </c>
      <c r="F523" s="45" t="s">
        <v>372</v>
      </c>
      <c r="G523" t="s">
        <v>637</v>
      </c>
    </row>
    <row r="524" spans="1:7" x14ac:dyDescent="0.3">
      <c r="A524" t="s">
        <v>624</v>
      </c>
      <c r="B524" t="s">
        <v>319</v>
      </c>
      <c r="C524" t="s">
        <v>268</v>
      </c>
      <c r="D524">
        <v>2016</v>
      </c>
      <c r="E524">
        <v>0</v>
      </c>
      <c r="F524" s="45" t="s">
        <v>372</v>
      </c>
      <c r="G524" t="s">
        <v>625</v>
      </c>
    </row>
    <row r="525" spans="1:7" x14ac:dyDescent="0.3">
      <c r="A525" t="s">
        <v>624</v>
      </c>
      <c r="B525" t="s">
        <v>319</v>
      </c>
      <c r="C525" t="s">
        <v>268</v>
      </c>
      <c r="D525">
        <v>2017</v>
      </c>
      <c r="E525">
        <v>0</v>
      </c>
      <c r="F525" s="46" t="s">
        <v>511</v>
      </c>
      <c r="G525" t="s">
        <v>627</v>
      </c>
    </row>
    <row r="526" spans="1:7" x14ac:dyDescent="0.3">
      <c r="A526" t="s">
        <v>624</v>
      </c>
      <c r="B526" t="s">
        <v>319</v>
      </c>
      <c r="C526" t="s">
        <v>268</v>
      </c>
      <c r="D526">
        <v>2020</v>
      </c>
      <c r="E526">
        <v>0</v>
      </c>
      <c r="F526" s="45" t="s">
        <v>372</v>
      </c>
      <c r="G526" t="s">
        <v>625</v>
      </c>
    </row>
    <row r="527" spans="1:7" x14ac:dyDescent="0.3">
      <c r="A527" t="s">
        <v>624</v>
      </c>
      <c r="B527" t="s">
        <v>320</v>
      </c>
      <c r="C527" t="s">
        <v>321</v>
      </c>
      <c r="D527">
        <v>2019</v>
      </c>
      <c r="E527">
        <v>9.8510000000000004E-3</v>
      </c>
      <c r="F527" s="45" t="s">
        <v>372</v>
      </c>
      <c r="G527" t="s">
        <v>654</v>
      </c>
    </row>
    <row r="528" spans="1:7" x14ac:dyDescent="0.3">
      <c r="A528" t="s">
        <v>624</v>
      </c>
      <c r="B528" t="s">
        <v>320</v>
      </c>
      <c r="C528" t="s">
        <v>321</v>
      </c>
      <c r="D528">
        <v>2021</v>
      </c>
      <c r="E528">
        <v>0</v>
      </c>
      <c r="F528" s="45" t="s">
        <v>372</v>
      </c>
      <c r="G528" t="s">
        <v>625</v>
      </c>
    </row>
    <row r="529" spans="1:7" x14ac:dyDescent="0.3">
      <c r="A529" t="s">
        <v>624</v>
      </c>
      <c r="B529" t="s">
        <v>324</v>
      </c>
      <c r="C529" t="s">
        <v>325</v>
      </c>
      <c r="D529">
        <v>2015</v>
      </c>
      <c r="E529">
        <v>0</v>
      </c>
      <c r="F529" s="46" t="s">
        <v>511</v>
      </c>
      <c r="G529" t="s">
        <v>627</v>
      </c>
    </row>
    <row r="530" spans="1:7" x14ac:dyDescent="0.3">
      <c r="A530" t="s">
        <v>624</v>
      </c>
      <c r="B530" t="s">
        <v>324</v>
      </c>
      <c r="C530" t="s">
        <v>325</v>
      </c>
      <c r="D530">
        <v>2017</v>
      </c>
      <c r="E530">
        <v>0.16500000000000001</v>
      </c>
      <c r="F530" s="45" t="s">
        <v>372</v>
      </c>
      <c r="G530" t="s">
        <v>655</v>
      </c>
    </row>
    <row r="531" spans="1:7" x14ac:dyDescent="0.3">
      <c r="A531" t="s">
        <v>624</v>
      </c>
      <c r="B531" t="s">
        <v>328</v>
      </c>
      <c r="C531" t="s">
        <v>329</v>
      </c>
      <c r="D531">
        <v>2016</v>
      </c>
      <c r="E531">
        <v>0</v>
      </c>
      <c r="F531" s="45" t="s">
        <v>372</v>
      </c>
      <c r="G531" t="s">
        <v>625</v>
      </c>
    </row>
    <row r="532" spans="1:7" x14ac:dyDescent="0.3">
      <c r="A532" t="s">
        <v>624</v>
      </c>
      <c r="B532" t="s">
        <v>328</v>
      </c>
      <c r="C532" t="s">
        <v>329</v>
      </c>
      <c r="D532">
        <v>2017</v>
      </c>
      <c r="E532">
        <v>0</v>
      </c>
      <c r="F532" s="46" t="s">
        <v>511</v>
      </c>
      <c r="G532" t="s">
        <v>627</v>
      </c>
    </row>
    <row r="533" spans="1:7" x14ac:dyDescent="0.3">
      <c r="A533" t="s">
        <v>624</v>
      </c>
      <c r="B533" t="s">
        <v>330</v>
      </c>
      <c r="C533" t="s">
        <v>331</v>
      </c>
      <c r="D533">
        <v>2015</v>
      </c>
      <c r="E533">
        <v>0</v>
      </c>
      <c r="F533" s="46" t="s">
        <v>511</v>
      </c>
      <c r="G533" t="s">
        <v>627</v>
      </c>
    </row>
    <row r="534" spans="1:7" x14ac:dyDescent="0.3">
      <c r="A534" t="s">
        <v>624</v>
      </c>
      <c r="B534" t="s">
        <v>330</v>
      </c>
      <c r="C534" t="s">
        <v>331</v>
      </c>
      <c r="D534">
        <v>2016</v>
      </c>
      <c r="E534">
        <v>0</v>
      </c>
      <c r="F534" s="46" t="s">
        <v>511</v>
      </c>
      <c r="G534" t="s">
        <v>627</v>
      </c>
    </row>
    <row r="535" spans="1:7" x14ac:dyDescent="0.3">
      <c r="A535" t="s">
        <v>624</v>
      </c>
      <c r="B535" t="s">
        <v>330</v>
      </c>
      <c r="C535" t="s">
        <v>331</v>
      </c>
      <c r="D535">
        <v>2017</v>
      </c>
      <c r="E535">
        <v>0</v>
      </c>
      <c r="F535" s="46" t="s">
        <v>511</v>
      </c>
      <c r="G535" t="s">
        <v>627</v>
      </c>
    </row>
    <row r="536" spans="1:7" x14ac:dyDescent="0.3">
      <c r="A536" t="s">
        <v>624</v>
      </c>
      <c r="B536" t="s">
        <v>330</v>
      </c>
      <c r="C536" t="s">
        <v>331</v>
      </c>
      <c r="D536">
        <v>2020</v>
      </c>
      <c r="E536">
        <v>0</v>
      </c>
      <c r="F536" s="45" t="s">
        <v>372</v>
      </c>
      <c r="G536" t="s">
        <v>625</v>
      </c>
    </row>
    <row r="537" spans="1:7" x14ac:dyDescent="0.3">
      <c r="A537" t="s">
        <v>624</v>
      </c>
      <c r="B537" t="s">
        <v>332</v>
      </c>
      <c r="C537" t="s">
        <v>333</v>
      </c>
      <c r="D537">
        <v>2015</v>
      </c>
      <c r="E537">
        <v>0</v>
      </c>
      <c r="F537" s="46" t="s">
        <v>511</v>
      </c>
      <c r="G537" t="s">
        <v>627</v>
      </c>
    </row>
    <row r="538" spans="1:7" x14ac:dyDescent="0.3">
      <c r="A538" t="s">
        <v>624</v>
      </c>
      <c r="B538" t="s">
        <v>332</v>
      </c>
      <c r="C538" t="s">
        <v>333</v>
      </c>
      <c r="D538">
        <v>2016</v>
      </c>
      <c r="E538">
        <v>0</v>
      </c>
      <c r="F538" s="46" t="s">
        <v>511</v>
      </c>
      <c r="G538" t="s">
        <v>627</v>
      </c>
    </row>
    <row r="539" spans="1:7" x14ac:dyDescent="0.3">
      <c r="A539" t="s">
        <v>624</v>
      </c>
      <c r="B539" t="s">
        <v>332</v>
      </c>
      <c r="C539" t="s">
        <v>333</v>
      </c>
      <c r="D539">
        <v>2017</v>
      </c>
      <c r="E539">
        <v>0</v>
      </c>
      <c r="F539" s="46" t="s">
        <v>511</v>
      </c>
      <c r="G539" t="s">
        <v>627</v>
      </c>
    </row>
    <row r="540" spans="1:7" x14ac:dyDescent="0.3">
      <c r="A540" t="s">
        <v>624</v>
      </c>
      <c r="B540" t="s">
        <v>332</v>
      </c>
      <c r="C540" t="s">
        <v>333</v>
      </c>
      <c r="D540">
        <v>2018</v>
      </c>
      <c r="E540">
        <v>0</v>
      </c>
      <c r="F540" s="46" t="s">
        <v>511</v>
      </c>
      <c r="G540" t="s">
        <v>627</v>
      </c>
    </row>
    <row r="541" spans="1:7" x14ac:dyDescent="0.3">
      <c r="A541" t="s">
        <v>624</v>
      </c>
      <c r="B541" t="s">
        <v>332</v>
      </c>
      <c r="C541" t="s">
        <v>333</v>
      </c>
      <c r="D541">
        <v>2019</v>
      </c>
      <c r="E541">
        <v>0</v>
      </c>
      <c r="F541" s="46" t="s">
        <v>511</v>
      </c>
      <c r="G541" t="s">
        <v>627</v>
      </c>
    </row>
    <row r="542" spans="1:7" x14ac:dyDescent="0.3">
      <c r="A542" t="s">
        <v>624</v>
      </c>
      <c r="B542" t="s">
        <v>332</v>
      </c>
      <c r="C542" t="s">
        <v>333</v>
      </c>
      <c r="D542">
        <v>2021</v>
      </c>
      <c r="E542">
        <v>0.6</v>
      </c>
      <c r="F542" s="45" t="s">
        <v>372</v>
      </c>
      <c r="G542" t="s">
        <v>656</v>
      </c>
    </row>
    <row r="543" spans="1:7" x14ac:dyDescent="0.3">
      <c r="A543" t="s">
        <v>624</v>
      </c>
      <c r="B543" t="s">
        <v>336</v>
      </c>
      <c r="C543" t="s">
        <v>337</v>
      </c>
      <c r="D543">
        <v>2021</v>
      </c>
      <c r="E543">
        <v>0.5</v>
      </c>
      <c r="F543" s="45" t="s">
        <v>372</v>
      </c>
      <c r="G543" t="s">
        <v>630</v>
      </c>
    </row>
    <row r="544" spans="1:7" x14ac:dyDescent="0.3">
      <c r="A544" t="s">
        <v>624</v>
      </c>
      <c r="B544" t="s">
        <v>338</v>
      </c>
      <c r="C544" t="s">
        <v>339</v>
      </c>
      <c r="D544">
        <v>2015</v>
      </c>
      <c r="E544">
        <v>0</v>
      </c>
      <c r="F544" s="46" t="s">
        <v>511</v>
      </c>
      <c r="G544" t="s">
        <v>627</v>
      </c>
    </row>
    <row r="545" spans="1:7" x14ac:dyDescent="0.3">
      <c r="A545" t="s">
        <v>624</v>
      </c>
      <c r="B545" t="s">
        <v>338</v>
      </c>
      <c r="C545" t="s">
        <v>339</v>
      </c>
      <c r="D545">
        <v>2016</v>
      </c>
      <c r="E545">
        <v>0</v>
      </c>
      <c r="F545" s="46" t="s">
        <v>511</v>
      </c>
      <c r="G545" t="s">
        <v>627</v>
      </c>
    </row>
    <row r="546" spans="1:7" x14ac:dyDescent="0.3">
      <c r="A546" t="s">
        <v>624</v>
      </c>
      <c r="B546" t="s">
        <v>340</v>
      </c>
      <c r="C546" t="s">
        <v>341</v>
      </c>
      <c r="D546">
        <v>2015</v>
      </c>
      <c r="E546">
        <v>0</v>
      </c>
      <c r="F546" s="46" t="s">
        <v>511</v>
      </c>
      <c r="G546" t="s">
        <v>627</v>
      </c>
    </row>
    <row r="547" spans="1:7" x14ac:dyDescent="0.3">
      <c r="A547" t="s">
        <v>624</v>
      </c>
      <c r="B547" t="s">
        <v>340</v>
      </c>
      <c r="C547" t="s">
        <v>341</v>
      </c>
      <c r="D547">
        <v>2016</v>
      </c>
      <c r="E547">
        <v>0</v>
      </c>
      <c r="F547" s="46" t="s">
        <v>511</v>
      </c>
      <c r="G547" t="s">
        <v>627</v>
      </c>
    </row>
    <row r="548" spans="1:7" x14ac:dyDescent="0.3">
      <c r="A548" t="s">
        <v>624</v>
      </c>
      <c r="B548" t="s">
        <v>340</v>
      </c>
      <c r="C548" t="s">
        <v>341</v>
      </c>
      <c r="D548">
        <v>2017</v>
      </c>
      <c r="E548">
        <v>0</v>
      </c>
      <c r="F548" s="46" t="s">
        <v>511</v>
      </c>
      <c r="G548" t="s">
        <v>627</v>
      </c>
    </row>
    <row r="549" spans="1:7" x14ac:dyDescent="0.3">
      <c r="A549" t="s">
        <v>624</v>
      </c>
      <c r="B549" t="s">
        <v>340</v>
      </c>
      <c r="C549" t="s">
        <v>341</v>
      </c>
      <c r="D549">
        <v>2018</v>
      </c>
      <c r="E549">
        <v>0</v>
      </c>
      <c r="F549" s="46" t="s">
        <v>511</v>
      </c>
      <c r="G549" t="s">
        <v>627</v>
      </c>
    </row>
    <row r="550" spans="1:7" x14ac:dyDescent="0.3">
      <c r="A550" t="s">
        <v>624</v>
      </c>
      <c r="B550" t="s">
        <v>340</v>
      </c>
      <c r="C550" t="s">
        <v>341</v>
      </c>
      <c r="D550">
        <v>2019</v>
      </c>
      <c r="E550">
        <v>0</v>
      </c>
      <c r="F550" s="46" t="s">
        <v>511</v>
      </c>
      <c r="G550" t="s">
        <v>627</v>
      </c>
    </row>
    <row r="551" spans="1:7" x14ac:dyDescent="0.3">
      <c r="A551" t="s">
        <v>624</v>
      </c>
      <c r="B551" t="s">
        <v>340</v>
      </c>
      <c r="C551" t="s">
        <v>341</v>
      </c>
      <c r="D551">
        <v>2020</v>
      </c>
      <c r="E551">
        <v>0</v>
      </c>
      <c r="F551" s="46" t="s">
        <v>511</v>
      </c>
      <c r="G551" t="s">
        <v>627</v>
      </c>
    </row>
    <row r="552" spans="1:7" x14ac:dyDescent="0.3">
      <c r="A552" t="s">
        <v>624</v>
      </c>
      <c r="B552" t="s">
        <v>340</v>
      </c>
      <c r="C552" t="s">
        <v>341</v>
      </c>
      <c r="D552">
        <v>2021</v>
      </c>
      <c r="E552">
        <v>0</v>
      </c>
      <c r="F552" s="46" t="s">
        <v>511</v>
      </c>
      <c r="G552" t="s">
        <v>627</v>
      </c>
    </row>
    <row r="553" spans="1:7" x14ac:dyDescent="0.3">
      <c r="A553" t="s">
        <v>624</v>
      </c>
      <c r="B553" t="s">
        <v>340</v>
      </c>
      <c r="C553" t="s">
        <v>341</v>
      </c>
      <c r="D553">
        <v>2022</v>
      </c>
      <c r="E553">
        <v>0</v>
      </c>
      <c r="F553" s="46" t="s">
        <v>511</v>
      </c>
      <c r="G553" t="s">
        <v>627</v>
      </c>
    </row>
    <row r="554" spans="1:7" x14ac:dyDescent="0.3">
      <c r="A554" t="s">
        <v>624</v>
      </c>
      <c r="B554" t="s">
        <v>340</v>
      </c>
      <c r="C554" t="s">
        <v>341</v>
      </c>
      <c r="D554">
        <v>2023</v>
      </c>
      <c r="E554">
        <v>0</v>
      </c>
      <c r="F554" s="46" t="s">
        <v>511</v>
      </c>
      <c r="G554" t="s">
        <v>627</v>
      </c>
    </row>
    <row r="555" spans="1:7" x14ac:dyDescent="0.3">
      <c r="A555" t="s">
        <v>624</v>
      </c>
      <c r="B555" t="s">
        <v>340</v>
      </c>
      <c r="C555" t="s">
        <v>341</v>
      </c>
      <c r="D555">
        <v>2024</v>
      </c>
      <c r="E555">
        <v>0</v>
      </c>
      <c r="F555" s="46" t="s">
        <v>511</v>
      </c>
      <c r="G555" t="s">
        <v>627</v>
      </c>
    </row>
    <row r="556" spans="1:7" x14ac:dyDescent="0.3">
      <c r="A556" t="s">
        <v>624</v>
      </c>
      <c r="B556" t="s">
        <v>344</v>
      </c>
      <c r="C556" t="s">
        <v>345</v>
      </c>
      <c r="D556">
        <v>2017</v>
      </c>
      <c r="E556">
        <v>3.70818</v>
      </c>
      <c r="F556" s="45" t="s">
        <v>372</v>
      </c>
      <c r="G556" t="s">
        <v>657</v>
      </c>
    </row>
    <row r="557" spans="1:7" x14ac:dyDescent="0.3">
      <c r="A557" t="s">
        <v>624</v>
      </c>
      <c r="B557" t="s">
        <v>344</v>
      </c>
      <c r="C557" t="s">
        <v>345</v>
      </c>
      <c r="D557">
        <v>2018</v>
      </c>
      <c r="E557">
        <v>0</v>
      </c>
      <c r="F557" s="45" t="s">
        <v>372</v>
      </c>
      <c r="G557" t="s">
        <v>625</v>
      </c>
    </row>
    <row r="558" spans="1:7" x14ac:dyDescent="0.3">
      <c r="A558" t="s">
        <v>624</v>
      </c>
      <c r="B558" t="s">
        <v>344</v>
      </c>
      <c r="C558" t="s">
        <v>345</v>
      </c>
      <c r="D558">
        <v>2021</v>
      </c>
      <c r="E558">
        <v>0</v>
      </c>
      <c r="F558" s="45" t="s">
        <v>372</v>
      </c>
      <c r="G558" t="s">
        <v>625</v>
      </c>
    </row>
    <row r="559" spans="1:7" x14ac:dyDescent="0.3">
      <c r="A559" t="s">
        <v>624</v>
      </c>
      <c r="B559" t="s">
        <v>344</v>
      </c>
      <c r="C559" t="s">
        <v>345</v>
      </c>
      <c r="D559">
        <v>2022</v>
      </c>
      <c r="E559">
        <v>0</v>
      </c>
      <c r="F559" s="46" t="s">
        <v>511</v>
      </c>
      <c r="G559" t="s">
        <v>627</v>
      </c>
    </row>
    <row r="560" spans="1:7" x14ac:dyDescent="0.3">
      <c r="A560" t="s">
        <v>624</v>
      </c>
      <c r="B560" t="s">
        <v>344</v>
      </c>
      <c r="C560" t="s">
        <v>345</v>
      </c>
      <c r="D560">
        <v>2023</v>
      </c>
      <c r="E560">
        <v>0</v>
      </c>
      <c r="F560" s="46" t="s">
        <v>511</v>
      </c>
      <c r="G560" t="s">
        <v>627</v>
      </c>
    </row>
    <row r="561" spans="1:7" x14ac:dyDescent="0.3">
      <c r="A561" t="s">
        <v>624</v>
      </c>
      <c r="B561" t="s">
        <v>344</v>
      </c>
      <c r="C561" t="s">
        <v>345</v>
      </c>
      <c r="D561">
        <v>2024</v>
      </c>
      <c r="E561">
        <v>0</v>
      </c>
      <c r="F561" s="46" t="s">
        <v>511</v>
      </c>
      <c r="G561" t="s">
        <v>627</v>
      </c>
    </row>
    <row r="562" spans="1:7" x14ac:dyDescent="0.3">
      <c r="A562" t="s">
        <v>658</v>
      </c>
      <c r="B562" t="s">
        <v>59</v>
      </c>
      <c r="C562" t="s">
        <v>60</v>
      </c>
      <c r="D562">
        <v>2021</v>
      </c>
      <c r="E562">
        <v>2570428917.4200001</v>
      </c>
      <c r="F562" s="45" t="s">
        <v>372</v>
      </c>
      <c r="G562" t="s">
        <v>659</v>
      </c>
    </row>
    <row r="563" spans="1:7" x14ac:dyDescent="0.3">
      <c r="A563" t="s">
        <v>658</v>
      </c>
      <c r="B563" t="s">
        <v>105</v>
      </c>
      <c r="C563" t="s">
        <v>106</v>
      </c>
      <c r="D563">
        <v>2023</v>
      </c>
      <c r="E563">
        <v>2932867405.6500001</v>
      </c>
      <c r="F563" s="45" t="s">
        <v>372</v>
      </c>
      <c r="G563" t="s">
        <v>660</v>
      </c>
    </row>
    <row r="564" spans="1:7" x14ac:dyDescent="0.3">
      <c r="A564" t="s">
        <v>658</v>
      </c>
      <c r="B564" t="s">
        <v>143</v>
      </c>
      <c r="C564" t="s">
        <v>144</v>
      </c>
      <c r="D564">
        <v>2016</v>
      </c>
      <c r="E564">
        <v>13198950000</v>
      </c>
      <c r="F564" s="45" t="s">
        <v>372</v>
      </c>
      <c r="G564" t="s">
        <v>661</v>
      </c>
    </row>
    <row r="565" spans="1:7" x14ac:dyDescent="0.3">
      <c r="A565" t="s">
        <v>658</v>
      </c>
      <c r="B565" t="s">
        <v>191</v>
      </c>
      <c r="C565" t="s">
        <v>192</v>
      </c>
      <c r="D565">
        <v>2024</v>
      </c>
      <c r="E565">
        <v>28532928280</v>
      </c>
      <c r="F565" s="45" t="s">
        <v>372</v>
      </c>
      <c r="G565" t="s">
        <v>662</v>
      </c>
    </row>
    <row r="566" spans="1:7" x14ac:dyDescent="0.3">
      <c r="A566" t="s">
        <v>658</v>
      </c>
      <c r="B566" t="s">
        <v>254</v>
      </c>
      <c r="C566" t="s">
        <v>110</v>
      </c>
      <c r="D566">
        <v>2021</v>
      </c>
      <c r="E566">
        <v>51028857120</v>
      </c>
      <c r="F566" s="45" t="s">
        <v>372</v>
      </c>
      <c r="G566" t="s">
        <v>663</v>
      </c>
    </row>
    <row r="567" spans="1:7" x14ac:dyDescent="0.3">
      <c r="A567" t="s">
        <v>658</v>
      </c>
      <c r="B567" t="s">
        <v>299</v>
      </c>
      <c r="C567" t="s">
        <v>300</v>
      </c>
      <c r="D567">
        <v>2024</v>
      </c>
      <c r="E567">
        <v>2962108756.3200002</v>
      </c>
      <c r="F567" s="45" t="s">
        <v>372</v>
      </c>
      <c r="G567" t="s">
        <v>664</v>
      </c>
    </row>
    <row r="568" spans="1:7" x14ac:dyDescent="0.3">
      <c r="A568" t="s">
        <v>658</v>
      </c>
      <c r="B568" t="s">
        <v>319</v>
      </c>
      <c r="C568" t="s">
        <v>268</v>
      </c>
      <c r="D568">
        <v>2016</v>
      </c>
      <c r="E568">
        <v>21105946634.029999</v>
      </c>
      <c r="F568" s="45" t="s">
        <v>372</v>
      </c>
      <c r="G568" t="s">
        <v>662</v>
      </c>
    </row>
    <row r="569" spans="1:7" x14ac:dyDescent="0.3">
      <c r="A569" t="s">
        <v>658</v>
      </c>
      <c r="B569" t="s">
        <v>320</v>
      </c>
      <c r="C569" t="s">
        <v>321</v>
      </c>
      <c r="D569">
        <v>2020</v>
      </c>
      <c r="E569">
        <v>1976199448.5699999</v>
      </c>
      <c r="F569" s="45" t="s">
        <v>372</v>
      </c>
      <c r="G569" t="s">
        <v>665</v>
      </c>
    </row>
    <row r="570" spans="1:7" x14ac:dyDescent="0.3">
      <c r="A570" t="s">
        <v>658</v>
      </c>
      <c r="B570" t="s">
        <v>332</v>
      </c>
      <c r="C570" t="s">
        <v>333</v>
      </c>
      <c r="D570">
        <v>2019</v>
      </c>
      <c r="E570">
        <v>789841037.15999997</v>
      </c>
      <c r="F570" s="45" t="s">
        <v>372</v>
      </c>
      <c r="G570" t="s">
        <v>666</v>
      </c>
    </row>
    <row r="571" spans="1:7" x14ac:dyDescent="0.3">
      <c r="A571" t="s">
        <v>658</v>
      </c>
      <c r="B571" t="s">
        <v>340</v>
      </c>
      <c r="C571" t="s">
        <v>341</v>
      </c>
      <c r="D571">
        <v>2018</v>
      </c>
      <c r="E571">
        <v>462758738.32999998</v>
      </c>
      <c r="F571" s="45" t="s">
        <v>372</v>
      </c>
      <c r="G571" t="s">
        <v>667</v>
      </c>
    </row>
    <row r="572" spans="1:7" x14ac:dyDescent="0.3">
      <c r="A572" t="s">
        <v>658</v>
      </c>
      <c r="B572" t="s">
        <v>340</v>
      </c>
      <c r="C572" t="s">
        <v>341</v>
      </c>
      <c r="D572">
        <v>2020</v>
      </c>
      <c r="E572">
        <v>2953841515.0500002</v>
      </c>
      <c r="F572" s="45" t="s">
        <v>372</v>
      </c>
      <c r="G572" t="s">
        <v>668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BFB8-A6D9-48A5-A052-E4AF852E3FA1}">
  <dimension ref="A1:T1244"/>
  <sheetViews>
    <sheetView tabSelected="1" workbookViewId="0">
      <pane xSplit="4" ySplit="3" topLeftCell="N4" activePane="bottomRight" state="frozen"/>
      <selection pane="topRight" activeCell="E1" sqref="E1"/>
      <selection pane="bottomLeft" activeCell="A4" sqref="A4"/>
      <selection pane="bottomRight" activeCell="P16" sqref="P16"/>
    </sheetView>
  </sheetViews>
  <sheetFormatPr defaultRowHeight="14.4" x14ac:dyDescent="0.3"/>
  <cols>
    <col min="1" max="1" width="18.109375" customWidth="1"/>
    <col min="2" max="2" width="25.77734375" bestFit="1" customWidth="1"/>
    <col min="3" max="3" width="8.77734375" bestFit="1" customWidth="1"/>
    <col min="4" max="4" width="9.44140625" bestFit="1" customWidth="1"/>
    <col min="5" max="5" width="5.5546875" bestFit="1" customWidth="1"/>
    <col min="6" max="7" width="17.109375" bestFit="1" customWidth="1"/>
    <col min="8" max="9" width="16.44140625" bestFit="1" customWidth="1"/>
    <col min="10" max="10" width="9.5546875" bestFit="1" customWidth="1"/>
    <col min="11" max="11" width="7.77734375" bestFit="1" customWidth="1"/>
    <col min="12" max="12" width="14.6640625" bestFit="1" customWidth="1"/>
    <col min="13" max="13" width="25.21875" bestFit="1" customWidth="1"/>
    <col min="14" max="14" width="16.6640625" bestFit="1" customWidth="1"/>
    <col min="15" max="15" width="32.21875" bestFit="1" customWidth="1"/>
    <col min="16" max="16" width="17.6640625" bestFit="1" customWidth="1"/>
    <col min="17" max="17" width="19.109375" bestFit="1" customWidth="1"/>
    <col min="18" max="18" width="18.44140625" bestFit="1" customWidth="1"/>
    <col min="19" max="19" width="19.77734375" bestFit="1" customWidth="1"/>
    <col min="20" max="20" width="30.44140625" bestFit="1" customWidth="1"/>
  </cols>
  <sheetData>
    <row r="1" spans="1:20" ht="17.399999999999999" x14ac:dyDescent="0.3">
      <c r="A1" s="11" t="s">
        <v>673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x14ac:dyDescent="0.3">
      <c r="A2" s="59" t="s">
        <v>674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spans="1:20" x14ac:dyDescent="0.3">
      <c r="A3" s="30" t="s">
        <v>29</v>
      </c>
      <c r="B3" s="30" t="s">
        <v>30</v>
      </c>
      <c r="C3" s="30" t="s">
        <v>31</v>
      </c>
      <c r="D3" s="30" t="s">
        <v>32</v>
      </c>
      <c r="E3" s="30" t="s">
        <v>367</v>
      </c>
      <c r="F3" s="30" t="s">
        <v>675</v>
      </c>
      <c r="G3" s="30" t="s">
        <v>676</v>
      </c>
      <c r="H3" s="30" t="s">
        <v>677</v>
      </c>
      <c r="I3" s="30" t="s">
        <v>678</v>
      </c>
      <c r="J3" s="30" t="s">
        <v>679</v>
      </c>
      <c r="K3" s="30" t="s">
        <v>680</v>
      </c>
      <c r="L3" s="30" t="s">
        <v>681</v>
      </c>
      <c r="M3" s="30" t="s">
        <v>682</v>
      </c>
      <c r="N3" s="30" t="s">
        <v>683</v>
      </c>
      <c r="O3" s="30" t="s">
        <v>684</v>
      </c>
      <c r="P3" s="30" t="s">
        <v>685</v>
      </c>
      <c r="Q3" s="30" t="s">
        <v>686</v>
      </c>
      <c r="R3" s="30" t="s">
        <v>687</v>
      </c>
      <c r="S3" s="30" t="s">
        <v>688</v>
      </c>
      <c r="T3" s="30" t="s">
        <v>689</v>
      </c>
    </row>
    <row r="4" spans="1:20" x14ac:dyDescent="0.3">
      <c r="A4" s="18" t="s">
        <v>44</v>
      </c>
      <c r="B4" s="18" t="s">
        <v>45</v>
      </c>
      <c r="C4" s="18" t="s">
        <v>46</v>
      </c>
      <c r="D4" s="18" t="s">
        <v>43</v>
      </c>
      <c r="E4" s="61">
        <v>2016</v>
      </c>
      <c r="F4" s="62">
        <v>73000000</v>
      </c>
      <c r="G4" s="62">
        <v>224000000</v>
      </c>
      <c r="H4" s="62">
        <v>3105987668</v>
      </c>
      <c r="I4" s="62">
        <v>3109183856</v>
      </c>
      <c r="J4" s="62">
        <f>F4/H4</f>
        <v>2.3502990933317511E-2</v>
      </c>
      <c r="K4" s="62">
        <f>G4/I4</f>
        <v>7.204462983677605E-2</v>
      </c>
      <c r="L4" s="63">
        <f>IF(F4=0,"",((G4-F4)/ABS(F4)))</f>
        <v>2.0684931506849313</v>
      </c>
      <c r="M4" s="63">
        <f>(I4-H4)/H4</f>
        <v>1.029040788838058E-3</v>
      </c>
      <c r="N4" s="63">
        <f>IF(J4=0,"",((K4-J4)/ABS(J4)))</f>
        <v>2.0653387920363189</v>
      </c>
      <c r="O4" s="62">
        <f>G4/H4</f>
        <v>7.2118766699494824E-2</v>
      </c>
      <c r="P4" s="62">
        <f>O4-J4</f>
        <v>4.8615775766177316E-2</v>
      </c>
      <c r="Q4" s="62">
        <f>K4-O4</f>
        <v>-7.4136862718773844E-5</v>
      </c>
      <c r="R4" s="63">
        <f>IF(J4=0,"",P4/ABS(J4))</f>
        <v>2.0684931506849313</v>
      </c>
      <c r="S4" s="63">
        <f>IF(J4=0,"",Q4/ABS(J4))</f>
        <v>-3.1543586486126097E-3</v>
      </c>
      <c r="T4" s="63">
        <f>R4+S4</f>
        <v>2.0653387920363189</v>
      </c>
    </row>
    <row r="5" spans="1:20" x14ac:dyDescent="0.3">
      <c r="A5" s="18" t="s">
        <v>44</v>
      </c>
      <c r="B5" s="18" t="s">
        <v>45</v>
      </c>
      <c r="C5" s="18" t="s">
        <v>46</v>
      </c>
      <c r="D5" s="18" t="s">
        <v>43</v>
      </c>
      <c r="E5" s="61">
        <v>2017</v>
      </c>
      <c r="F5" s="62">
        <v>224000000</v>
      </c>
      <c r="G5" s="62">
        <v>293000000</v>
      </c>
      <c r="H5" s="62">
        <v>3109183856</v>
      </c>
      <c r="I5" s="62">
        <v>3109183856</v>
      </c>
      <c r="J5" s="62">
        <f t="shared" ref="J5:J68" si="0">F5/H5</f>
        <v>7.204462983677605E-2</v>
      </c>
      <c r="K5" s="62">
        <f t="shared" ref="K5:K68" si="1">G5/I5</f>
        <v>9.4236948848997235E-2</v>
      </c>
      <c r="L5" s="63">
        <f t="shared" ref="L5:L68" si="2">IF(F5=0,"",((G5-F5)/ABS(F5)))</f>
        <v>0.3080357142857143</v>
      </c>
      <c r="M5" s="63">
        <f t="shared" ref="M5:M68" si="3">(I5-H5)/H5</f>
        <v>0</v>
      </c>
      <c r="N5" s="63">
        <f t="shared" ref="N5:N68" si="4">IF(J5=0,"",((K5-J5)/ABS(J5)))</f>
        <v>0.30803571428571414</v>
      </c>
      <c r="O5" s="62">
        <f t="shared" ref="O5:O68" si="5">G5/H5</f>
        <v>9.4236948848997235E-2</v>
      </c>
      <c r="P5" s="62">
        <f t="shared" ref="P5:P68" si="6">O5-J5</f>
        <v>2.2192319012221184E-2</v>
      </c>
      <c r="Q5" s="62">
        <f t="shared" ref="Q5:Q68" si="7">K5-O5</f>
        <v>0</v>
      </c>
      <c r="R5" s="63">
        <f t="shared" ref="R5:R68" si="8">IF(J5=0,"",P5/ABS(J5))</f>
        <v>0.30803571428571414</v>
      </c>
      <c r="S5" s="63">
        <f t="shared" ref="S5:S68" si="9">IF(J5=0,"",Q5/ABS(J5))</f>
        <v>0</v>
      </c>
      <c r="T5" s="63">
        <f t="shared" ref="T5:T68" si="10">R5+S5</f>
        <v>0.30803571428571414</v>
      </c>
    </row>
    <row r="6" spans="1:20" x14ac:dyDescent="0.3">
      <c r="A6" s="18" t="s">
        <v>44</v>
      </c>
      <c r="B6" s="18" t="s">
        <v>45</v>
      </c>
      <c r="C6" s="18" t="s">
        <v>46</v>
      </c>
      <c r="D6" s="18" t="s">
        <v>43</v>
      </c>
      <c r="E6" s="61">
        <v>2018</v>
      </c>
      <c r="F6" s="62">
        <v>293000000</v>
      </c>
      <c r="G6" s="62">
        <v>344000000</v>
      </c>
      <c r="H6" s="62">
        <v>3109183856</v>
      </c>
      <c r="I6" s="62">
        <v>3109183856</v>
      </c>
      <c r="J6" s="62">
        <f t="shared" si="0"/>
        <v>9.4236948848997235E-2</v>
      </c>
      <c r="K6" s="62">
        <f t="shared" si="1"/>
        <v>0.11063996724933464</v>
      </c>
      <c r="L6" s="63">
        <f t="shared" si="2"/>
        <v>0.17406143344709898</v>
      </c>
      <c r="M6" s="63">
        <f t="shared" si="3"/>
        <v>0</v>
      </c>
      <c r="N6" s="63">
        <f t="shared" si="4"/>
        <v>0.17406143344709904</v>
      </c>
      <c r="O6" s="62">
        <f t="shared" si="5"/>
        <v>0.11063996724933464</v>
      </c>
      <c r="P6" s="62">
        <f t="shared" si="6"/>
        <v>1.6403018400337407E-2</v>
      </c>
      <c r="Q6" s="62">
        <f t="shared" si="7"/>
        <v>0</v>
      </c>
      <c r="R6" s="63">
        <f t="shared" si="8"/>
        <v>0.17406143344709904</v>
      </c>
      <c r="S6" s="63">
        <f t="shared" si="9"/>
        <v>0</v>
      </c>
      <c r="T6" s="63">
        <f t="shared" si="10"/>
        <v>0.17406143344709904</v>
      </c>
    </row>
    <row r="7" spans="1:20" x14ac:dyDescent="0.3">
      <c r="A7" s="18" t="s">
        <v>44</v>
      </c>
      <c r="B7" s="18" t="s">
        <v>45</v>
      </c>
      <c r="C7" s="18" t="s">
        <v>46</v>
      </c>
      <c r="D7" s="18" t="s">
        <v>43</v>
      </c>
      <c r="E7" s="61">
        <v>2019</v>
      </c>
      <c r="F7" s="62">
        <v>344000000</v>
      </c>
      <c r="G7" s="62">
        <v>389000000</v>
      </c>
      <c r="H7" s="62">
        <v>3109183856</v>
      </c>
      <c r="I7" s="62">
        <v>3109183856</v>
      </c>
      <c r="J7" s="62">
        <f t="shared" si="0"/>
        <v>0.11063996724933464</v>
      </c>
      <c r="K7" s="62">
        <f t="shared" si="1"/>
        <v>0.12511321877904411</v>
      </c>
      <c r="L7" s="63">
        <f t="shared" si="2"/>
        <v>0.1308139534883721</v>
      </c>
      <c r="M7" s="63">
        <f t="shared" si="3"/>
        <v>0</v>
      </c>
      <c r="N7" s="63">
        <f t="shared" si="4"/>
        <v>0.13081395348837199</v>
      </c>
      <c r="O7" s="62">
        <f t="shared" si="5"/>
        <v>0.12511321877904411</v>
      </c>
      <c r="P7" s="62">
        <f t="shared" si="6"/>
        <v>1.4473251529709463E-2</v>
      </c>
      <c r="Q7" s="62">
        <f t="shared" si="7"/>
        <v>0</v>
      </c>
      <c r="R7" s="63">
        <f t="shared" si="8"/>
        <v>0.13081395348837199</v>
      </c>
      <c r="S7" s="63">
        <f t="shared" si="9"/>
        <v>0</v>
      </c>
      <c r="T7" s="63">
        <f t="shared" si="10"/>
        <v>0.13081395348837199</v>
      </c>
    </row>
    <row r="8" spans="1:20" x14ac:dyDescent="0.3">
      <c r="A8" s="18" t="s">
        <v>44</v>
      </c>
      <c r="B8" s="18" t="s">
        <v>45</v>
      </c>
      <c r="C8" s="18" t="s">
        <v>46</v>
      </c>
      <c r="D8" s="18" t="s">
        <v>43</v>
      </c>
      <c r="E8" s="61">
        <v>2020</v>
      </c>
      <c r="F8" s="62">
        <v>389000000</v>
      </c>
      <c r="G8" s="62">
        <v>364000000</v>
      </c>
      <c r="H8" s="62">
        <v>3109183856</v>
      </c>
      <c r="I8" s="62">
        <v>3109183856</v>
      </c>
      <c r="J8" s="62">
        <f t="shared" si="0"/>
        <v>0.12511321877904411</v>
      </c>
      <c r="K8" s="62">
        <f t="shared" si="1"/>
        <v>0.11707252348476108</v>
      </c>
      <c r="L8" s="63">
        <f t="shared" si="2"/>
        <v>-6.4267352185089971E-2</v>
      </c>
      <c r="M8" s="63">
        <f t="shared" si="3"/>
        <v>0</v>
      </c>
      <c r="N8" s="63">
        <f t="shared" si="4"/>
        <v>-6.4267352185089888E-2</v>
      </c>
      <c r="O8" s="62">
        <f t="shared" si="5"/>
        <v>0.11707252348476108</v>
      </c>
      <c r="P8" s="62">
        <f t="shared" si="6"/>
        <v>-8.040695294283029E-3</v>
      </c>
      <c r="Q8" s="62">
        <f t="shared" si="7"/>
        <v>0</v>
      </c>
      <c r="R8" s="63">
        <f t="shared" si="8"/>
        <v>-6.4267352185089888E-2</v>
      </c>
      <c r="S8" s="63">
        <f t="shared" si="9"/>
        <v>0</v>
      </c>
      <c r="T8" s="63">
        <f t="shared" si="10"/>
        <v>-6.4267352185089888E-2</v>
      </c>
    </row>
    <row r="9" spans="1:20" x14ac:dyDescent="0.3">
      <c r="A9" s="18" t="s">
        <v>44</v>
      </c>
      <c r="B9" s="18" t="s">
        <v>45</v>
      </c>
      <c r="C9" s="18" t="s">
        <v>46</v>
      </c>
      <c r="D9" s="18" t="s">
        <v>43</v>
      </c>
      <c r="E9" s="61">
        <v>2021</v>
      </c>
      <c r="F9" s="62">
        <v>364000000</v>
      </c>
      <c r="G9" s="62">
        <v>504000000</v>
      </c>
      <c r="H9" s="62">
        <v>3109183856</v>
      </c>
      <c r="I9" s="62">
        <v>3073686277</v>
      </c>
      <c r="J9" s="62">
        <f t="shared" si="0"/>
        <v>0.11707252348476108</v>
      </c>
      <c r="K9" s="62">
        <f t="shared" si="1"/>
        <v>0.16397249249911006</v>
      </c>
      <c r="L9" s="63">
        <f t="shared" si="2"/>
        <v>0.38461538461538464</v>
      </c>
      <c r="M9" s="63">
        <f t="shared" si="3"/>
        <v>-1.1417008656949619E-2</v>
      </c>
      <c r="N9" s="63">
        <f t="shared" si="4"/>
        <v>0.40060611677558816</v>
      </c>
      <c r="O9" s="62">
        <f t="shared" si="5"/>
        <v>0.16210041713274612</v>
      </c>
      <c r="P9" s="62">
        <f t="shared" si="6"/>
        <v>4.502789364798504E-2</v>
      </c>
      <c r="Q9" s="62">
        <f t="shared" si="7"/>
        <v>1.87207536636394E-3</v>
      </c>
      <c r="R9" s="63">
        <f t="shared" si="8"/>
        <v>0.38461538461538469</v>
      </c>
      <c r="S9" s="63">
        <f t="shared" si="9"/>
        <v>1.5990732160203427E-2</v>
      </c>
      <c r="T9" s="63">
        <f t="shared" si="10"/>
        <v>0.40060611677558811</v>
      </c>
    </row>
    <row r="10" spans="1:20" x14ac:dyDescent="0.3">
      <c r="A10" s="18" t="s">
        <v>44</v>
      </c>
      <c r="B10" s="18" t="s">
        <v>45</v>
      </c>
      <c r="C10" s="18" t="s">
        <v>46</v>
      </c>
      <c r="D10" s="18" t="s">
        <v>43</v>
      </c>
      <c r="E10" s="61">
        <v>2022</v>
      </c>
      <c r="F10" s="62">
        <v>504000000</v>
      </c>
      <c r="G10" s="62">
        <v>401000000</v>
      </c>
      <c r="H10" s="62">
        <v>3073686277</v>
      </c>
      <c r="I10" s="62">
        <v>3073686277</v>
      </c>
      <c r="J10" s="62">
        <f t="shared" si="0"/>
        <v>0.16397249249911006</v>
      </c>
      <c r="K10" s="62">
        <f t="shared" si="1"/>
        <v>0.13046224105583953</v>
      </c>
      <c r="L10" s="63">
        <f t="shared" si="2"/>
        <v>-0.20436507936507936</v>
      </c>
      <c r="M10" s="63">
        <f t="shared" si="3"/>
        <v>0</v>
      </c>
      <c r="N10" s="63">
        <f t="shared" si="4"/>
        <v>-0.20436507936507944</v>
      </c>
      <c r="O10" s="62">
        <f t="shared" si="5"/>
        <v>0.13046224105583953</v>
      </c>
      <c r="P10" s="62">
        <f t="shared" si="6"/>
        <v>-3.3510251443270522E-2</v>
      </c>
      <c r="Q10" s="62">
        <f t="shared" si="7"/>
        <v>0</v>
      </c>
      <c r="R10" s="63">
        <f t="shared" si="8"/>
        <v>-0.20436507936507944</v>
      </c>
      <c r="S10" s="63">
        <f t="shared" si="9"/>
        <v>0</v>
      </c>
      <c r="T10" s="63">
        <f t="shared" si="10"/>
        <v>-0.20436507936507944</v>
      </c>
    </row>
    <row r="11" spans="1:20" x14ac:dyDescent="0.3">
      <c r="A11" s="18" t="s">
        <v>44</v>
      </c>
      <c r="B11" s="18" t="s">
        <v>45</v>
      </c>
      <c r="C11" s="18" t="s">
        <v>46</v>
      </c>
      <c r="D11" s="18" t="s">
        <v>43</v>
      </c>
      <c r="E11" s="61">
        <v>2023</v>
      </c>
      <c r="F11" s="62">
        <v>401000000</v>
      </c>
      <c r="G11" s="62">
        <v>659000000</v>
      </c>
      <c r="H11" s="62">
        <v>3073686277</v>
      </c>
      <c r="I11" s="62">
        <v>3132905277</v>
      </c>
      <c r="J11" s="62">
        <f t="shared" si="0"/>
        <v>0.13046224105583953</v>
      </c>
      <c r="K11" s="62">
        <f t="shared" si="1"/>
        <v>0.21034788534399726</v>
      </c>
      <c r="L11" s="63">
        <f t="shared" si="2"/>
        <v>0.64339152119700749</v>
      </c>
      <c r="M11" s="63">
        <f t="shared" si="3"/>
        <v>1.9266442526398409E-2</v>
      </c>
      <c r="N11" s="63">
        <f t="shared" si="4"/>
        <v>0.61232770218906196</v>
      </c>
      <c r="O11" s="62">
        <f t="shared" si="5"/>
        <v>0.21440054078752682</v>
      </c>
      <c r="P11" s="62">
        <f t="shared" si="6"/>
        <v>8.3938299731687288E-2</v>
      </c>
      <c r="Q11" s="62">
        <f t="shared" si="7"/>
        <v>-4.0526554435295625E-3</v>
      </c>
      <c r="R11" s="63">
        <f t="shared" si="8"/>
        <v>0.64339152119700749</v>
      </c>
      <c r="S11" s="63">
        <f t="shared" si="9"/>
        <v>-3.106381900794555E-2</v>
      </c>
      <c r="T11" s="63">
        <f t="shared" si="10"/>
        <v>0.61232770218906196</v>
      </c>
    </row>
    <row r="12" spans="1:20" x14ac:dyDescent="0.3">
      <c r="A12" s="18" t="s">
        <v>44</v>
      </c>
      <c r="B12" s="18" t="s">
        <v>45</v>
      </c>
      <c r="C12" s="18" t="s">
        <v>46</v>
      </c>
      <c r="D12" s="18" t="s">
        <v>43</v>
      </c>
      <c r="E12" s="61">
        <v>2024</v>
      </c>
      <c r="F12" s="62">
        <v>659000000</v>
      </c>
      <c r="G12" s="62">
        <v>864000000</v>
      </c>
      <c r="H12" s="62">
        <v>3132905277</v>
      </c>
      <c r="I12" s="62">
        <v>3132704859</v>
      </c>
      <c r="J12" s="62">
        <f t="shared" si="0"/>
        <v>0.21034788534399726</v>
      </c>
      <c r="K12" s="62">
        <f t="shared" si="1"/>
        <v>0.27579999996418431</v>
      </c>
      <c r="L12" s="63">
        <f t="shared" si="2"/>
        <v>0.31107738998482548</v>
      </c>
      <c r="M12" s="63">
        <f t="shared" si="3"/>
        <v>-6.3971930933039831E-5</v>
      </c>
      <c r="N12" s="63">
        <f t="shared" si="4"/>
        <v>0.31116126750287232</v>
      </c>
      <c r="O12" s="62">
        <f t="shared" si="5"/>
        <v>0.27578235650563526</v>
      </c>
      <c r="P12" s="62">
        <f t="shared" si="6"/>
        <v>6.5434471161638003E-2</v>
      </c>
      <c r="Q12" s="62">
        <f t="shared" si="7"/>
        <v>1.76434585490437E-5</v>
      </c>
      <c r="R12" s="63">
        <f t="shared" si="8"/>
        <v>0.31107738998482554</v>
      </c>
      <c r="S12" s="63">
        <f t="shared" si="9"/>
        <v>8.387751804678266E-5</v>
      </c>
      <c r="T12" s="63">
        <f t="shared" si="10"/>
        <v>0.31116126750287232</v>
      </c>
    </row>
    <row r="13" spans="1:20" x14ac:dyDescent="0.3">
      <c r="A13" s="18" t="s">
        <v>47</v>
      </c>
      <c r="B13" s="18" t="s">
        <v>48</v>
      </c>
      <c r="C13" s="18" t="s">
        <v>46</v>
      </c>
      <c r="D13" s="18" t="s">
        <v>43</v>
      </c>
      <c r="E13" s="61">
        <v>2016</v>
      </c>
      <c r="F13" s="62">
        <v>46805000</v>
      </c>
      <c r="G13" s="62">
        <v>63620000</v>
      </c>
      <c r="H13" s="62">
        <v>218047951</v>
      </c>
      <c r="I13" s="62">
        <v>219322356</v>
      </c>
      <c r="J13" s="62">
        <f t="shared" si="0"/>
        <v>0.21465461970793753</v>
      </c>
      <c r="K13" s="62">
        <f t="shared" si="1"/>
        <v>0.29007530814596938</v>
      </c>
      <c r="L13" s="63">
        <f t="shared" si="2"/>
        <v>0.35925648969127227</v>
      </c>
      <c r="M13" s="63">
        <f t="shared" si="3"/>
        <v>5.8446089227410349E-3</v>
      </c>
      <c r="N13" s="63">
        <f t="shared" si="4"/>
        <v>0.35135832874526729</v>
      </c>
      <c r="O13" s="62">
        <f t="shared" si="5"/>
        <v>0.29177068488022617</v>
      </c>
      <c r="P13" s="62">
        <f t="shared" si="6"/>
        <v>7.7116065172288639E-2</v>
      </c>
      <c r="Q13" s="62">
        <f t="shared" si="7"/>
        <v>-1.6953767342567927E-3</v>
      </c>
      <c r="R13" s="63">
        <f t="shared" si="8"/>
        <v>0.35925648969127233</v>
      </c>
      <c r="S13" s="63">
        <f t="shared" si="9"/>
        <v>-7.8981609460050239E-3</v>
      </c>
      <c r="T13" s="63">
        <f t="shared" si="10"/>
        <v>0.35135832874526729</v>
      </c>
    </row>
    <row r="14" spans="1:20" x14ac:dyDescent="0.3">
      <c r="A14" s="18" t="s">
        <v>47</v>
      </c>
      <c r="B14" s="18" t="s">
        <v>48</v>
      </c>
      <c r="C14" s="18" t="s">
        <v>46</v>
      </c>
      <c r="D14" s="18" t="s">
        <v>43</v>
      </c>
      <c r="E14" s="61">
        <v>2017</v>
      </c>
      <c r="F14" s="62">
        <v>63620000</v>
      </c>
      <c r="G14" s="62">
        <v>100578000</v>
      </c>
      <c r="H14" s="62">
        <v>219322356</v>
      </c>
      <c r="I14" s="62">
        <v>219095844</v>
      </c>
      <c r="J14" s="62">
        <f t="shared" si="0"/>
        <v>0.29007530814596938</v>
      </c>
      <c r="K14" s="62">
        <f t="shared" si="1"/>
        <v>0.45905936946937248</v>
      </c>
      <c r="L14" s="63">
        <f t="shared" si="2"/>
        <v>0.58091795033008486</v>
      </c>
      <c r="M14" s="63">
        <f t="shared" si="3"/>
        <v>-1.0327811725677431E-3</v>
      </c>
      <c r="N14" s="63">
        <f t="shared" si="4"/>
        <v>0.58255238063340531</v>
      </c>
      <c r="O14" s="62">
        <f t="shared" si="5"/>
        <v>0.45858526159549373</v>
      </c>
      <c r="P14" s="62">
        <f t="shared" si="6"/>
        <v>0.16850995344952435</v>
      </c>
      <c r="Q14" s="62">
        <f t="shared" si="7"/>
        <v>4.7410787387874853E-4</v>
      </c>
      <c r="R14" s="63">
        <f t="shared" si="8"/>
        <v>0.58091795033008509</v>
      </c>
      <c r="S14" s="63">
        <f t="shared" si="9"/>
        <v>1.634430303320308E-3</v>
      </c>
      <c r="T14" s="63">
        <f t="shared" si="10"/>
        <v>0.58255238063340542</v>
      </c>
    </row>
    <row r="15" spans="1:20" x14ac:dyDescent="0.3">
      <c r="A15" s="18" t="s">
        <v>47</v>
      </c>
      <c r="B15" s="18" t="s">
        <v>48</v>
      </c>
      <c r="C15" s="18" t="s">
        <v>46</v>
      </c>
      <c r="D15" s="18" t="s">
        <v>43</v>
      </c>
      <c r="E15" s="61">
        <v>2018</v>
      </c>
      <c r="F15" s="62">
        <v>100578000</v>
      </c>
      <c r="G15" s="62">
        <v>100443000</v>
      </c>
      <c r="H15" s="62">
        <v>219095844</v>
      </c>
      <c r="I15" s="62">
        <v>219758444</v>
      </c>
      <c r="J15" s="62">
        <f t="shared" si="0"/>
        <v>0.45905936946937248</v>
      </c>
      <c r="K15" s="62">
        <f t="shared" si="1"/>
        <v>0.45706093550607774</v>
      </c>
      <c r="L15" s="63">
        <f t="shared" si="2"/>
        <v>-1.3422418421523594E-3</v>
      </c>
      <c r="M15" s="63">
        <f t="shared" si="3"/>
        <v>3.0242472330967627E-3</v>
      </c>
      <c r="N15" s="63">
        <f t="shared" si="4"/>
        <v>-4.353323548552634E-3</v>
      </c>
      <c r="O15" s="62">
        <f t="shared" si="5"/>
        <v>0.4584432007756386</v>
      </c>
      <c r="P15" s="62">
        <f t="shared" si="6"/>
        <v>-6.1616869373387617E-4</v>
      </c>
      <c r="Q15" s="62">
        <f t="shared" si="7"/>
        <v>-1.3822652695608673E-3</v>
      </c>
      <c r="R15" s="63">
        <f t="shared" si="8"/>
        <v>-1.3422418421523705E-3</v>
      </c>
      <c r="S15" s="63">
        <f t="shared" si="9"/>
        <v>-3.0110817064002639E-3</v>
      </c>
      <c r="T15" s="63">
        <f t="shared" si="10"/>
        <v>-4.3533235485526348E-3</v>
      </c>
    </row>
    <row r="16" spans="1:20" x14ac:dyDescent="0.3">
      <c r="A16" s="18" t="s">
        <v>47</v>
      </c>
      <c r="B16" s="18" t="s">
        <v>48</v>
      </c>
      <c r="C16" s="18" t="s">
        <v>46</v>
      </c>
      <c r="D16" s="18" t="s">
        <v>43</v>
      </c>
      <c r="E16" s="61">
        <v>2019</v>
      </c>
      <c r="F16" s="62">
        <v>100443000</v>
      </c>
      <c r="G16" s="62">
        <v>108666000</v>
      </c>
      <c r="H16" s="62">
        <v>219758444</v>
      </c>
      <c r="I16" s="62">
        <v>221863663</v>
      </c>
      <c r="J16" s="62">
        <f t="shared" si="0"/>
        <v>0.45706093550607774</v>
      </c>
      <c r="K16" s="62">
        <f t="shared" si="1"/>
        <v>0.48978727985754028</v>
      </c>
      <c r="L16" s="63">
        <f t="shared" si="2"/>
        <v>8.1867327738120124E-2</v>
      </c>
      <c r="M16" s="63">
        <f t="shared" si="3"/>
        <v>9.5796956043245375E-3</v>
      </c>
      <c r="N16" s="63">
        <f t="shared" si="4"/>
        <v>7.1601709551542644E-2</v>
      </c>
      <c r="O16" s="62">
        <f t="shared" si="5"/>
        <v>0.49447929290944559</v>
      </c>
      <c r="P16" s="62">
        <f t="shared" si="6"/>
        <v>3.7418357403367852E-2</v>
      </c>
      <c r="Q16" s="62">
        <f t="shared" si="7"/>
        <v>-4.6920130519053083E-3</v>
      </c>
      <c r="R16" s="63">
        <f t="shared" si="8"/>
        <v>8.1867327738120124E-2</v>
      </c>
      <c r="S16" s="63">
        <f t="shared" si="9"/>
        <v>-1.026561818657748E-2</v>
      </c>
      <c r="T16" s="63">
        <f t="shared" si="10"/>
        <v>7.1601709551542644E-2</v>
      </c>
    </row>
    <row r="17" spans="1:20" x14ac:dyDescent="0.3">
      <c r="A17" s="18" t="s">
        <v>47</v>
      </c>
      <c r="B17" s="18" t="s">
        <v>48</v>
      </c>
      <c r="C17" s="18" t="s">
        <v>46</v>
      </c>
      <c r="D17" s="18" t="s">
        <v>43</v>
      </c>
      <c r="E17" s="61">
        <v>2020</v>
      </c>
      <c r="F17" s="62">
        <v>108666000</v>
      </c>
      <c r="G17" s="62">
        <v>101004000</v>
      </c>
      <c r="H17" s="62">
        <v>221863663</v>
      </c>
      <c r="I17" s="62">
        <v>223797671</v>
      </c>
      <c r="J17" s="62">
        <f t="shared" si="0"/>
        <v>0.48978727985754028</v>
      </c>
      <c r="K17" s="62">
        <f t="shared" si="1"/>
        <v>0.4513183696178858</v>
      </c>
      <c r="L17" s="63">
        <f t="shared" si="2"/>
        <v>-7.0509635028435755E-2</v>
      </c>
      <c r="M17" s="63">
        <f t="shared" si="3"/>
        <v>8.7171011865967429E-3</v>
      </c>
      <c r="N17" s="63">
        <f t="shared" si="4"/>
        <v>-7.854207698257E-2</v>
      </c>
      <c r="O17" s="62">
        <f t="shared" si="5"/>
        <v>0.45525255751321475</v>
      </c>
      <c r="P17" s="62">
        <f t="shared" si="6"/>
        <v>-3.453472234432553E-2</v>
      </c>
      <c r="Q17" s="62">
        <f t="shared" si="7"/>
        <v>-3.9341878953289555E-3</v>
      </c>
      <c r="R17" s="63">
        <f t="shared" si="8"/>
        <v>-7.0509635028435838E-2</v>
      </c>
      <c r="S17" s="63">
        <f t="shared" si="9"/>
        <v>-8.0324419541341601E-3</v>
      </c>
      <c r="T17" s="63">
        <f t="shared" si="10"/>
        <v>-7.854207698257E-2</v>
      </c>
    </row>
    <row r="18" spans="1:20" x14ac:dyDescent="0.3">
      <c r="A18" s="18" t="s">
        <v>47</v>
      </c>
      <c r="B18" s="18" t="s">
        <v>48</v>
      </c>
      <c r="C18" s="18" t="s">
        <v>46</v>
      </c>
      <c r="D18" s="18" t="s">
        <v>43</v>
      </c>
      <c r="E18" s="61">
        <v>2021</v>
      </c>
      <c r="F18" s="62">
        <v>101004000</v>
      </c>
      <c r="G18" s="62">
        <v>157785000</v>
      </c>
      <c r="H18" s="62">
        <v>223797671</v>
      </c>
      <c r="I18" s="62">
        <v>224823927</v>
      </c>
      <c r="J18" s="62">
        <f t="shared" si="0"/>
        <v>0.4513183696178858</v>
      </c>
      <c r="K18" s="62">
        <f t="shared" si="1"/>
        <v>0.7018158703366123</v>
      </c>
      <c r="L18" s="63">
        <f t="shared" si="2"/>
        <v>0.56216585481763104</v>
      </c>
      <c r="M18" s="63">
        <f t="shared" si="3"/>
        <v>4.5856420016095701E-3</v>
      </c>
      <c r="N18" s="63">
        <f t="shared" si="4"/>
        <v>0.55503502091176404</v>
      </c>
      <c r="O18" s="62">
        <f t="shared" si="5"/>
        <v>0.70503414666902409</v>
      </c>
      <c r="P18" s="62">
        <f t="shared" si="6"/>
        <v>0.25371577705113829</v>
      </c>
      <c r="Q18" s="62">
        <f t="shared" si="7"/>
        <v>-3.2182763324117847E-3</v>
      </c>
      <c r="R18" s="63">
        <f t="shared" si="8"/>
        <v>0.56216585481763093</v>
      </c>
      <c r="S18" s="63">
        <f t="shared" si="9"/>
        <v>-7.1308339058668889E-3</v>
      </c>
      <c r="T18" s="63">
        <f t="shared" si="10"/>
        <v>0.55503502091176404</v>
      </c>
    </row>
    <row r="19" spans="1:20" x14ac:dyDescent="0.3">
      <c r="A19" s="18" t="s">
        <v>47</v>
      </c>
      <c r="B19" s="18" t="s">
        <v>48</v>
      </c>
      <c r="C19" s="18" t="s">
        <v>46</v>
      </c>
      <c r="D19" s="18" t="s">
        <v>43</v>
      </c>
      <c r="E19" s="61">
        <v>2022</v>
      </c>
      <c r="F19" s="62">
        <v>157785000</v>
      </c>
      <c r="G19" s="62">
        <v>178525000</v>
      </c>
      <c r="H19" s="62">
        <v>224823927</v>
      </c>
      <c r="I19" s="62">
        <v>224363318</v>
      </c>
      <c r="J19" s="62">
        <f t="shared" si="0"/>
        <v>0.7018158703366123</v>
      </c>
      <c r="K19" s="62">
        <f t="shared" si="1"/>
        <v>0.79569602371453607</v>
      </c>
      <c r="L19" s="63">
        <f t="shared" si="2"/>
        <v>0.13144468739107013</v>
      </c>
      <c r="M19" s="63">
        <f t="shared" si="3"/>
        <v>-2.0487543570040035E-3</v>
      </c>
      <c r="N19" s="63">
        <f t="shared" si="4"/>
        <v>0.13376749849343814</v>
      </c>
      <c r="O19" s="62">
        <f t="shared" si="5"/>
        <v>0.79406583801910013</v>
      </c>
      <c r="P19" s="62">
        <f t="shared" si="6"/>
        <v>9.2249967682487832E-2</v>
      </c>
      <c r="Q19" s="62">
        <f t="shared" si="7"/>
        <v>1.6301856954359373E-3</v>
      </c>
      <c r="R19" s="63">
        <f t="shared" si="8"/>
        <v>0.13144468739107015</v>
      </c>
      <c r="S19" s="63">
        <f t="shared" si="9"/>
        <v>2.3228111023679905E-3</v>
      </c>
      <c r="T19" s="63">
        <f t="shared" si="10"/>
        <v>0.13376749849343814</v>
      </c>
    </row>
    <row r="20" spans="1:20" x14ac:dyDescent="0.3">
      <c r="A20" s="18" t="s">
        <v>47</v>
      </c>
      <c r="B20" s="18" t="s">
        <v>48</v>
      </c>
      <c r="C20" s="18" t="s">
        <v>46</v>
      </c>
      <c r="D20" s="18" t="s">
        <v>43</v>
      </c>
      <c r="E20" s="61">
        <v>2023</v>
      </c>
      <c r="F20" s="62">
        <v>178525000</v>
      </c>
      <c r="G20" s="62">
        <v>155139000</v>
      </c>
      <c r="H20" s="62">
        <v>224363318</v>
      </c>
      <c r="I20" s="62">
        <v>225463566</v>
      </c>
      <c r="J20" s="62">
        <f t="shared" si="0"/>
        <v>0.79569602371453607</v>
      </c>
      <c r="K20" s="62">
        <f t="shared" si="1"/>
        <v>0.68808900148416885</v>
      </c>
      <c r="L20" s="63">
        <f t="shared" si="2"/>
        <v>-0.13099565887130654</v>
      </c>
      <c r="M20" s="63">
        <f t="shared" si="3"/>
        <v>4.9038675742885916E-3</v>
      </c>
      <c r="N20" s="63">
        <f t="shared" si="4"/>
        <v>-0.13523634531693013</v>
      </c>
      <c r="O20" s="62">
        <f t="shared" si="5"/>
        <v>0.69146329882677171</v>
      </c>
      <c r="P20" s="62">
        <f t="shared" si="6"/>
        <v>-0.10423272488776436</v>
      </c>
      <c r="Q20" s="62">
        <f t="shared" si="7"/>
        <v>-3.3742973426028611E-3</v>
      </c>
      <c r="R20" s="63">
        <f t="shared" si="8"/>
        <v>-0.13099565887130649</v>
      </c>
      <c r="S20" s="63">
        <f t="shared" si="9"/>
        <v>-4.2406864456236417E-3</v>
      </c>
      <c r="T20" s="63">
        <f t="shared" si="10"/>
        <v>-0.13523634531693013</v>
      </c>
    </row>
    <row r="21" spans="1:20" x14ac:dyDescent="0.3">
      <c r="A21" s="18" t="s">
        <v>47</v>
      </c>
      <c r="B21" s="18" t="s">
        <v>48</v>
      </c>
      <c r="C21" s="18" t="s">
        <v>46</v>
      </c>
      <c r="D21" s="18" t="s">
        <v>43</v>
      </c>
      <c r="E21" s="61">
        <v>2024</v>
      </c>
      <c r="F21" s="62">
        <v>155139000</v>
      </c>
      <c r="G21" s="62">
        <v>145374000</v>
      </c>
      <c r="H21" s="62">
        <v>225463566</v>
      </c>
      <c r="I21" s="62">
        <v>225792000</v>
      </c>
      <c r="J21" s="62">
        <f t="shared" si="0"/>
        <v>0.68808900148416885</v>
      </c>
      <c r="K21" s="62">
        <f t="shared" si="1"/>
        <v>0.64384034863945583</v>
      </c>
      <c r="L21" s="63">
        <f t="shared" si="2"/>
        <v>-6.2943553845261346E-2</v>
      </c>
      <c r="M21" s="63">
        <f t="shared" si="3"/>
        <v>1.4567054261884602E-3</v>
      </c>
      <c r="N21" s="63">
        <f t="shared" si="4"/>
        <v>-6.4306583522293181E-2</v>
      </c>
      <c r="O21" s="62">
        <f t="shared" si="5"/>
        <v>0.6447782343689179</v>
      </c>
      <c r="P21" s="62">
        <f t="shared" si="6"/>
        <v>-4.3310767115250948E-2</v>
      </c>
      <c r="Q21" s="62">
        <f t="shared" si="7"/>
        <v>-9.3788572946207349E-4</v>
      </c>
      <c r="R21" s="63">
        <f t="shared" si="8"/>
        <v>-6.2943553845261416E-2</v>
      </c>
      <c r="S21" s="63">
        <f t="shared" si="9"/>
        <v>-1.3630296770317609E-3</v>
      </c>
      <c r="T21" s="63">
        <f t="shared" si="10"/>
        <v>-6.4306583522293181E-2</v>
      </c>
    </row>
    <row r="22" spans="1:20" x14ac:dyDescent="0.3">
      <c r="A22" s="18" t="s">
        <v>49</v>
      </c>
      <c r="B22" s="18" t="s">
        <v>50</v>
      </c>
      <c r="C22" s="18" t="s">
        <v>46</v>
      </c>
      <c r="D22" s="18" t="s">
        <v>43</v>
      </c>
      <c r="E22" s="61">
        <v>2016</v>
      </c>
      <c r="F22" s="62">
        <v>2030000000</v>
      </c>
      <c r="G22" s="62">
        <v>2081000000</v>
      </c>
      <c r="H22" s="62">
        <v>1556428701</v>
      </c>
      <c r="I22" s="62">
        <v>1558512070</v>
      </c>
      <c r="J22" s="62">
        <f t="shared" si="0"/>
        <v>1.3042679042706755</v>
      </c>
      <c r="K22" s="62">
        <f t="shared" si="1"/>
        <v>1.3352479201524567</v>
      </c>
      <c r="L22" s="63">
        <f t="shared" si="2"/>
        <v>2.5123152709359605E-2</v>
      </c>
      <c r="M22" s="63">
        <f t="shared" si="3"/>
        <v>1.3385573002229029E-3</v>
      </c>
      <c r="N22" s="63">
        <f t="shared" si="4"/>
        <v>2.3752800924059181E-2</v>
      </c>
      <c r="O22" s="62">
        <f t="shared" si="5"/>
        <v>1.3370352260035843</v>
      </c>
      <c r="P22" s="62">
        <f t="shared" si="6"/>
        <v>3.276732173290875E-2</v>
      </c>
      <c r="Q22" s="62">
        <f t="shared" si="7"/>
        <v>-1.7873058511275186E-3</v>
      </c>
      <c r="R22" s="63">
        <f t="shared" si="8"/>
        <v>2.5123152709359723E-2</v>
      </c>
      <c r="S22" s="63">
        <f t="shared" si="9"/>
        <v>-1.3703517853005435E-3</v>
      </c>
      <c r="T22" s="63">
        <f t="shared" si="10"/>
        <v>2.3752800924059181E-2</v>
      </c>
    </row>
    <row r="23" spans="1:20" x14ac:dyDescent="0.3">
      <c r="A23" s="18" t="s">
        <v>49</v>
      </c>
      <c r="B23" s="18" t="s">
        <v>50</v>
      </c>
      <c r="C23" s="18" t="s">
        <v>46</v>
      </c>
      <c r="D23" s="18" t="s">
        <v>43</v>
      </c>
      <c r="E23" s="61">
        <v>2017</v>
      </c>
      <c r="F23" s="62">
        <v>2081000000</v>
      </c>
      <c r="G23" s="62">
        <v>2110000000</v>
      </c>
      <c r="H23" s="62">
        <v>1558512070</v>
      </c>
      <c r="I23" s="62">
        <v>1560771499</v>
      </c>
      <c r="J23" s="62">
        <f t="shared" si="0"/>
        <v>1.3352479201524567</v>
      </c>
      <c r="K23" s="62">
        <f t="shared" si="1"/>
        <v>1.3518955217672128</v>
      </c>
      <c r="L23" s="63">
        <f t="shared" si="2"/>
        <v>1.3935607880826525E-2</v>
      </c>
      <c r="M23" s="63">
        <f t="shared" si="3"/>
        <v>1.4497346818751298E-3</v>
      </c>
      <c r="N23" s="63">
        <f t="shared" si="4"/>
        <v>1.2467798199494886E-2</v>
      </c>
      <c r="O23" s="62">
        <f t="shared" si="5"/>
        <v>1.3538554115913906</v>
      </c>
      <c r="P23" s="62">
        <f t="shared" si="6"/>
        <v>1.860749143893381E-2</v>
      </c>
      <c r="Q23" s="62">
        <f t="shared" si="7"/>
        <v>-1.9598898241777185E-3</v>
      </c>
      <c r="R23" s="63">
        <f t="shared" si="8"/>
        <v>1.3935607880826531E-2</v>
      </c>
      <c r="S23" s="63">
        <f t="shared" si="9"/>
        <v>-1.4678096813316444E-3</v>
      </c>
      <c r="T23" s="63">
        <f t="shared" si="10"/>
        <v>1.2467798199494886E-2</v>
      </c>
    </row>
    <row r="24" spans="1:20" x14ac:dyDescent="0.3">
      <c r="A24" s="18" t="s">
        <v>49</v>
      </c>
      <c r="B24" s="18" t="s">
        <v>50</v>
      </c>
      <c r="C24" s="18" t="s">
        <v>46</v>
      </c>
      <c r="D24" s="18" t="s">
        <v>43</v>
      </c>
      <c r="E24" s="61">
        <v>2018</v>
      </c>
      <c r="F24" s="62">
        <v>2110000000</v>
      </c>
      <c r="G24" s="62">
        <v>2309000000</v>
      </c>
      <c r="H24" s="62">
        <v>1560771499</v>
      </c>
      <c r="I24" s="62">
        <v>1563742903</v>
      </c>
      <c r="J24" s="62">
        <f t="shared" si="0"/>
        <v>1.3518955217672128</v>
      </c>
      <c r="K24" s="62">
        <f t="shared" si="1"/>
        <v>1.4765854384184534</v>
      </c>
      <c r="L24" s="63">
        <f t="shared" si="2"/>
        <v>9.4312796208530808E-2</v>
      </c>
      <c r="M24" s="63">
        <f t="shared" si="3"/>
        <v>1.9038046260479542E-3</v>
      </c>
      <c r="N24" s="63">
        <f t="shared" si="4"/>
        <v>9.2233397214190396E-2</v>
      </c>
      <c r="O24" s="62">
        <f t="shared" si="5"/>
        <v>1.4793965686068695</v>
      </c>
      <c r="P24" s="62">
        <f t="shared" si="6"/>
        <v>0.12750104683965668</v>
      </c>
      <c r="Q24" s="62">
        <f t="shared" si="7"/>
        <v>-2.8111301884161666E-3</v>
      </c>
      <c r="R24" s="63">
        <f t="shared" si="8"/>
        <v>9.4312796208530891E-2</v>
      </c>
      <c r="S24" s="63">
        <f t="shared" si="9"/>
        <v>-2.0793989943404989E-3</v>
      </c>
      <c r="T24" s="63">
        <f t="shared" si="10"/>
        <v>9.2233397214190396E-2</v>
      </c>
    </row>
    <row r="25" spans="1:20" x14ac:dyDescent="0.3">
      <c r="A25" s="18" t="s">
        <v>49</v>
      </c>
      <c r="B25" s="18" t="s">
        <v>50</v>
      </c>
      <c r="C25" s="18" t="s">
        <v>46</v>
      </c>
      <c r="D25" s="18" t="s">
        <v>43</v>
      </c>
      <c r="E25" s="61">
        <v>2019</v>
      </c>
      <c r="F25" s="62">
        <v>2309000000</v>
      </c>
      <c r="G25" s="62">
        <v>2670000000</v>
      </c>
      <c r="H25" s="62">
        <v>1563742903</v>
      </c>
      <c r="I25" s="62">
        <v>1567927100</v>
      </c>
      <c r="J25" s="62">
        <f t="shared" si="0"/>
        <v>1.4765854384184534</v>
      </c>
      <c r="K25" s="62">
        <f t="shared" si="1"/>
        <v>1.7028852935828458</v>
      </c>
      <c r="L25" s="63">
        <f t="shared" si="2"/>
        <v>0.15634473798181031</v>
      </c>
      <c r="M25" s="63">
        <f t="shared" si="3"/>
        <v>2.6757576274032816E-3</v>
      </c>
      <c r="N25" s="63">
        <f t="shared" si="4"/>
        <v>0.15325889669261436</v>
      </c>
      <c r="O25" s="62">
        <f t="shared" si="5"/>
        <v>1.7074418018957429</v>
      </c>
      <c r="P25" s="62">
        <f t="shared" si="6"/>
        <v>0.23085636347728955</v>
      </c>
      <c r="Q25" s="62">
        <f t="shared" si="7"/>
        <v>-4.5565083128971118E-3</v>
      </c>
      <c r="R25" s="63">
        <f t="shared" si="8"/>
        <v>0.15634473798181028</v>
      </c>
      <c r="S25" s="63">
        <f t="shared" si="9"/>
        <v>-3.0858412891959126E-3</v>
      </c>
      <c r="T25" s="63">
        <f t="shared" si="10"/>
        <v>0.15325889669261436</v>
      </c>
    </row>
    <row r="26" spans="1:20" x14ac:dyDescent="0.3">
      <c r="A26" s="18" t="s">
        <v>49</v>
      </c>
      <c r="B26" s="18" t="s">
        <v>50</v>
      </c>
      <c r="C26" s="18" t="s">
        <v>46</v>
      </c>
      <c r="D26" s="18" t="s">
        <v>43</v>
      </c>
      <c r="E26" s="61">
        <v>2020</v>
      </c>
      <c r="F26" s="62">
        <v>2670000000</v>
      </c>
      <c r="G26" s="62">
        <v>1744000000</v>
      </c>
      <c r="H26" s="62">
        <v>1567927100</v>
      </c>
      <c r="I26" s="62">
        <v>1569448327</v>
      </c>
      <c r="J26" s="62">
        <f t="shared" si="0"/>
        <v>1.7028852935828458</v>
      </c>
      <c r="K26" s="62">
        <f t="shared" si="1"/>
        <v>1.1112184899605171</v>
      </c>
      <c r="L26" s="63">
        <f t="shared" si="2"/>
        <v>-0.34681647940074906</v>
      </c>
      <c r="M26" s="63">
        <f t="shared" si="3"/>
        <v>9.7021538820267852E-4</v>
      </c>
      <c r="N26" s="63">
        <f t="shared" si="4"/>
        <v>-0.3474495938463773</v>
      </c>
      <c r="O26" s="62">
        <f t="shared" si="5"/>
        <v>1.1122966112391321</v>
      </c>
      <c r="P26" s="62">
        <f t="shared" si="6"/>
        <v>-0.59058868234371364</v>
      </c>
      <c r="Q26" s="62">
        <f t="shared" si="7"/>
        <v>-1.0781212786150629E-3</v>
      </c>
      <c r="R26" s="63">
        <f t="shared" si="8"/>
        <v>-0.34681647940074911</v>
      </c>
      <c r="S26" s="63">
        <f t="shared" si="9"/>
        <v>-6.3311444562816766E-4</v>
      </c>
      <c r="T26" s="63">
        <f t="shared" si="10"/>
        <v>-0.3474495938463773</v>
      </c>
    </row>
    <row r="27" spans="1:20" x14ac:dyDescent="0.3">
      <c r="A27" s="18" t="s">
        <v>49</v>
      </c>
      <c r="B27" s="18" t="s">
        <v>50</v>
      </c>
      <c r="C27" s="18" t="s">
        <v>46</v>
      </c>
      <c r="D27" s="18" t="s">
        <v>43</v>
      </c>
      <c r="E27" s="61">
        <v>2021</v>
      </c>
      <c r="F27" s="62">
        <v>1744000000</v>
      </c>
      <c r="G27" s="62">
        <v>2847000000</v>
      </c>
      <c r="H27" s="62">
        <v>1569448327</v>
      </c>
      <c r="I27" s="62">
        <v>1573173478</v>
      </c>
      <c r="J27" s="62">
        <f t="shared" si="0"/>
        <v>1.1112184899605171</v>
      </c>
      <c r="K27" s="62">
        <f t="shared" si="1"/>
        <v>1.8097177709984251</v>
      </c>
      <c r="L27" s="63">
        <f t="shared" si="2"/>
        <v>0.63245412844036697</v>
      </c>
      <c r="M27" s="63">
        <f t="shared" si="3"/>
        <v>2.3735416680590086E-3</v>
      </c>
      <c r="N27" s="63">
        <f t="shared" si="4"/>
        <v>0.62858860552502738</v>
      </c>
      <c r="O27" s="62">
        <f t="shared" si="5"/>
        <v>1.8140132115353167</v>
      </c>
      <c r="P27" s="62">
        <f t="shared" si="6"/>
        <v>0.70279472157479961</v>
      </c>
      <c r="Q27" s="62">
        <f t="shared" si="7"/>
        <v>-4.2954405368915705E-3</v>
      </c>
      <c r="R27" s="63">
        <f t="shared" si="8"/>
        <v>0.63245412844036708</v>
      </c>
      <c r="S27" s="63">
        <f t="shared" si="9"/>
        <v>-3.8655229153397122E-3</v>
      </c>
      <c r="T27" s="63">
        <f t="shared" si="10"/>
        <v>0.62858860552502738</v>
      </c>
    </row>
    <row r="28" spans="1:20" x14ac:dyDescent="0.3">
      <c r="A28" s="18" t="s">
        <v>49</v>
      </c>
      <c r="B28" s="18" t="s">
        <v>50</v>
      </c>
      <c r="C28" s="18" t="s">
        <v>46</v>
      </c>
      <c r="D28" s="18" t="s">
        <v>43</v>
      </c>
      <c r="E28" s="61">
        <v>2022</v>
      </c>
      <c r="F28" s="62">
        <v>2847000000</v>
      </c>
      <c r="G28" s="62">
        <v>2912000000</v>
      </c>
      <c r="H28" s="62">
        <v>1573173478</v>
      </c>
      <c r="I28" s="62">
        <v>1570223226</v>
      </c>
      <c r="J28" s="62">
        <f t="shared" si="0"/>
        <v>1.8097177709984251</v>
      </c>
      <c r="K28" s="62">
        <f t="shared" si="1"/>
        <v>1.8545133913335707</v>
      </c>
      <c r="L28" s="63">
        <f t="shared" si="2"/>
        <v>2.2831050228310501E-2</v>
      </c>
      <c r="M28" s="63">
        <f t="shared" si="3"/>
        <v>-1.8753507106862122E-3</v>
      </c>
      <c r="N28" s="63">
        <f t="shared" si="4"/>
        <v>2.4752821159750107E-2</v>
      </c>
      <c r="O28" s="62">
        <f t="shared" si="5"/>
        <v>1.8510355283271562</v>
      </c>
      <c r="P28" s="62">
        <f t="shared" si="6"/>
        <v>4.1317757328731108E-2</v>
      </c>
      <c r="Q28" s="62">
        <f t="shared" si="7"/>
        <v>3.4778630064145055E-3</v>
      </c>
      <c r="R28" s="63">
        <f t="shared" si="8"/>
        <v>2.283105022831047E-2</v>
      </c>
      <c r="S28" s="63">
        <f t="shared" si="9"/>
        <v>1.9217709314396361E-3</v>
      </c>
      <c r="T28" s="63">
        <f t="shared" si="10"/>
        <v>2.4752821159750107E-2</v>
      </c>
    </row>
    <row r="29" spans="1:20" x14ac:dyDescent="0.3">
      <c r="A29" s="18" t="s">
        <v>49</v>
      </c>
      <c r="B29" s="18" t="s">
        <v>50</v>
      </c>
      <c r="C29" s="18" t="s">
        <v>46</v>
      </c>
      <c r="D29" s="18" t="s">
        <v>43</v>
      </c>
      <c r="E29" s="61">
        <v>2023</v>
      </c>
      <c r="F29" s="62">
        <v>2912000000</v>
      </c>
      <c r="G29" s="62">
        <v>3747000000</v>
      </c>
      <c r="H29" s="62">
        <v>1570223226</v>
      </c>
      <c r="I29" s="62">
        <v>1541766041</v>
      </c>
      <c r="J29" s="62">
        <f t="shared" si="0"/>
        <v>1.8545133913335707</v>
      </c>
      <c r="K29" s="62">
        <f t="shared" si="1"/>
        <v>2.4303298297903035</v>
      </c>
      <c r="L29" s="63">
        <f t="shared" si="2"/>
        <v>0.28674450549450547</v>
      </c>
      <c r="M29" s="63">
        <f t="shared" si="3"/>
        <v>-1.8123018771345062E-2</v>
      </c>
      <c r="N29" s="63">
        <f t="shared" si="4"/>
        <v>0.31049462416804996</v>
      </c>
      <c r="O29" s="62">
        <f t="shared" si="5"/>
        <v>2.386284916664454</v>
      </c>
      <c r="P29" s="62">
        <f t="shared" si="6"/>
        <v>0.53177152533088323</v>
      </c>
      <c r="Q29" s="62">
        <f t="shared" si="7"/>
        <v>4.4044913125849572E-2</v>
      </c>
      <c r="R29" s="63">
        <f t="shared" si="8"/>
        <v>0.28674450549450559</v>
      </c>
      <c r="S29" s="63">
        <f t="shared" si="9"/>
        <v>2.3750118673544388E-2</v>
      </c>
      <c r="T29" s="63">
        <f t="shared" si="10"/>
        <v>0.31049462416804996</v>
      </c>
    </row>
    <row r="30" spans="1:20" x14ac:dyDescent="0.3">
      <c r="A30" s="18" t="s">
        <v>49</v>
      </c>
      <c r="B30" s="18" t="s">
        <v>50</v>
      </c>
      <c r="C30" s="18" t="s">
        <v>46</v>
      </c>
      <c r="D30" s="18" t="s">
        <v>43</v>
      </c>
      <c r="E30" s="61">
        <v>2024</v>
      </c>
      <c r="F30" s="62">
        <v>3747000000</v>
      </c>
      <c r="G30" s="62">
        <v>3724000000</v>
      </c>
      <c r="H30" s="62">
        <v>1541766041</v>
      </c>
      <c r="I30" s="62">
        <v>1538691000</v>
      </c>
      <c r="J30" s="62">
        <f t="shared" si="0"/>
        <v>2.4303298297903035</v>
      </c>
      <c r="K30" s="62">
        <f t="shared" si="1"/>
        <v>2.4202390213499658</v>
      </c>
      <c r="L30" s="63">
        <f t="shared" si="2"/>
        <v>-6.1382439284761144E-3</v>
      </c>
      <c r="M30" s="63">
        <f t="shared" si="3"/>
        <v>-1.9944926261350961E-3</v>
      </c>
      <c r="N30" s="63">
        <f t="shared" si="4"/>
        <v>-4.1520325005468019E-3</v>
      </c>
      <c r="O30" s="62">
        <f t="shared" si="5"/>
        <v>2.4154118724683986</v>
      </c>
      <c r="P30" s="62">
        <f t="shared" si="6"/>
        <v>-1.4917957321904929E-2</v>
      </c>
      <c r="Q30" s="62">
        <f t="shared" si="7"/>
        <v>4.8271488815672114E-3</v>
      </c>
      <c r="R30" s="63">
        <f t="shared" si="8"/>
        <v>-6.1382439284762003E-3</v>
      </c>
      <c r="S30" s="63">
        <f t="shared" si="9"/>
        <v>1.9862114279293988E-3</v>
      </c>
      <c r="T30" s="63">
        <f t="shared" si="10"/>
        <v>-4.1520325005468019E-3</v>
      </c>
    </row>
    <row r="31" spans="1:20" x14ac:dyDescent="0.3">
      <c r="A31" s="18" t="s">
        <v>51</v>
      </c>
      <c r="B31" s="18" t="s">
        <v>52</v>
      </c>
      <c r="C31" s="18" t="s">
        <v>46</v>
      </c>
      <c r="D31" s="18" t="s">
        <v>43</v>
      </c>
      <c r="E31" s="61">
        <v>2016</v>
      </c>
      <c r="F31" s="62">
        <v>247421000</v>
      </c>
      <c r="G31" s="62">
        <v>172685000</v>
      </c>
      <c r="H31" s="62">
        <v>142754548</v>
      </c>
      <c r="I31" s="62">
        <v>142746313</v>
      </c>
      <c r="J31" s="62">
        <f t="shared" si="0"/>
        <v>1.7331917158954544</v>
      </c>
      <c r="K31" s="62">
        <f t="shared" si="1"/>
        <v>1.2097335221540888</v>
      </c>
      <c r="L31" s="63">
        <f t="shared" si="2"/>
        <v>-0.30206005149118303</v>
      </c>
      <c r="M31" s="63">
        <f t="shared" si="3"/>
        <v>-5.7686428316105209E-5</v>
      </c>
      <c r="N31" s="63">
        <f t="shared" si="4"/>
        <v>-0.30201978750568897</v>
      </c>
      <c r="O31" s="62">
        <f t="shared" si="5"/>
        <v>1.2096637369479815</v>
      </c>
      <c r="P31" s="62">
        <f t="shared" si="6"/>
        <v>-0.52352797894747294</v>
      </c>
      <c r="Q31" s="62">
        <f t="shared" si="7"/>
        <v>6.978520610734229E-5</v>
      </c>
      <c r="R31" s="63">
        <f t="shared" si="8"/>
        <v>-0.30206005149118309</v>
      </c>
      <c r="S31" s="63">
        <f t="shared" si="9"/>
        <v>4.0263985494119284E-5</v>
      </c>
      <c r="T31" s="63">
        <f t="shared" si="10"/>
        <v>-0.30201978750568897</v>
      </c>
    </row>
    <row r="32" spans="1:20" x14ac:dyDescent="0.3">
      <c r="A32" s="18" t="s">
        <v>51</v>
      </c>
      <c r="B32" s="18" t="s">
        <v>52</v>
      </c>
      <c r="C32" s="18" t="s">
        <v>46</v>
      </c>
      <c r="D32" s="18" t="s">
        <v>43</v>
      </c>
      <c r="E32" s="61">
        <v>2017</v>
      </c>
      <c r="F32" s="62">
        <v>172685000</v>
      </c>
      <c r="G32" s="62">
        <v>214786000</v>
      </c>
      <c r="H32" s="62">
        <v>142746313</v>
      </c>
      <c r="I32" s="62">
        <v>133420894</v>
      </c>
      <c r="J32" s="62">
        <f t="shared" si="0"/>
        <v>1.2097335221540888</v>
      </c>
      <c r="K32" s="62">
        <f t="shared" si="1"/>
        <v>1.6098378114600251</v>
      </c>
      <c r="L32" s="63">
        <f t="shared" si="2"/>
        <v>0.24380229898369865</v>
      </c>
      <c r="M32" s="63">
        <f t="shared" si="3"/>
        <v>-6.5328615527884076E-2</v>
      </c>
      <c r="N32" s="63">
        <f t="shared" si="4"/>
        <v>0.33073754011007178</v>
      </c>
      <c r="O32" s="62">
        <f t="shared" si="5"/>
        <v>1.5046693360129029</v>
      </c>
      <c r="P32" s="62">
        <f t="shared" si="6"/>
        <v>0.29493581385881407</v>
      </c>
      <c r="Q32" s="62">
        <f t="shared" si="7"/>
        <v>0.10516847544712227</v>
      </c>
      <c r="R32" s="63">
        <f t="shared" si="8"/>
        <v>0.24380229898369871</v>
      </c>
      <c r="S32" s="63">
        <f t="shared" si="9"/>
        <v>8.6935241126373047E-2</v>
      </c>
      <c r="T32" s="63">
        <f t="shared" si="10"/>
        <v>0.33073754011007173</v>
      </c>
    </row>
    <row r="33" spans="1:20" x14ac:dyDescent="0.3">
      <c r="A33" s="18" t="s">
        <v>51</v>
      </c>
      <c r="B33" s="18" t="s">
        <v>52</v>
      </c>
      <c r="C33" s="18" t="s">
        <v>46</v>
      </c>
      <c r="D33" s="18" t="s">
        <v>43</v>
      </c>
      <c r="E33" s="61">
        <v>2018</v>
      </c>
      <c r="F33" s="62">
        <v>214786000</v>
      </c>
      <c r="G33" s="62">
        <v>122146000</v>
      </c>
      <c r="H33" s="62">
        <v>133420894</v>
      </c>
      <c r="I33" s="62">
        <v>138134324</v>
      </c>
      <c r="J33" s="62">
        <f t="shared" si="0"/>
        <v>1.6098378114600251</v>
      </c>
      <c r="K33" s="62">
        <f t="shared" si="1"/>
        <v>0.88425524129686983</v>
      </c>
      <c r="L33" s="63">
        <f t="shared" si="2"/>
        <v>-0.43131302785097725</v>
      </c>
      <c r="M33" s="63">
        <f t="shared" si="3"/>
        <v>3.5327525237538883E-2</v>
      </c>
      <c r="N33" s="63">
        <f t="shared" si="4"/>
        <v>-0.45071780833939784</v>
      </c>
      <c r="O33" s="62">
        <f t="shared" si="5"/>
        <v>0.91549379065021108</v>
      </c>
      <c r="P33" s="62">
        <f t="shared" si="6"/>
        <v>-0.69434402080981406</v>
      </c>
      <c r="Q33" s="62">
        <f t="shared" si="7"/>
        <v>-3.1238549353341249E-2</v>
      </c>
      <c r="R33" s="63">
        <f t="shared" si="8"/>
        <v>-0.43131302785097725</v>
      </c>
      <c r="S33" s="63">
        <f t="shared" si="9"/>
        <v>-1.940478048842062E-2</v>
      </c>
      <c r="T33" s="63">
        <f t="shared" si="10"/>
        <v>-0.4507178083393979</v>
      </c>
    </row>
    <row r="34" spans="1:20" x14ac:dyDescent="0.3">
      <c r="A34" s="18" t="s">
        <v>51</v>
      </c>
      <c r="B34" s="18" t="s">
        <v>52</v>
      </c>
      <c r="C34" s="18" t="s">
        <v>46</v>
      </c>
      <c r="D34" s="18" t="s">
        <v>43</v>
      </c>
      <c r="E34" s="61">
        <v>2019</v>
      </c>
      <c r="F34" s="62">
        <v>122146000</v>
      </c>
      <c r="G34" s="62">
        <v>370011000</v>
      </c>
      <c r="H34" s="62">
        <v>138134324</v>
      </c>
      <c r="I34" s="62">
        <v>140110863</v>
      </c>
      <c r="J34" s="62">
        <f t="shared" si="0"/>
        <v>0.88425524129686983</v>
      </c>
      <c r="K34" s="62">
        <f t="shared" si="1"/>
        <v>2.6408444861266753</v>
      </c>
      <c r="L34" s="63">
        <f t="shared" si="2"/>
        <v>2.0292518788990224</v>
      </c>
      <c r="M34" s="63">
        <f t="shared" si="3"/>
        <v>1.4308818711850357E-2</v>
      </c>
      <c r="N34" s="63">
        <f t="shared" si="4"/>
        <v>1.9865183295419881</v>
      </c>
      <c r="O34" s="62">
        <f t="shared" si="5"/>
        <v>2.6786318511248517</v>
      </c>
      <c r="P34" s="62">
        <f t="shared" si="6"/>
        <v>1.7943766098279819</v>
      </c>
      <c r="Q34" s="62">
        <f t="shared" si="7"/>
        <v>-3.7787364998176365E-2</v>
      </c>
      <c r="R34" s="63">
        <f t="shared" si="8"/>
        <v>2.0292518788990228</v>
      </c>
      <c r="S34" s="63">
        <f t="shared" si="9"/>
        <v>-4.2733549357034641E-2</v>
      </c>
      <c r="T34" s="63">
        <f t="shared" si="10"/>
        <v>1.9865183295419881</v>
      </c>
    </row>
    <row r="35" spans="1:20" x14ac:dyDescent="0.3">
      <c r="A35" s="18" t="s">
        <v>51</v>
      </c>
      <c r="B35" s="18" t="s">
        <v>52</v>
      </c>
      <c r="C35" s="18" t="s">
        <v>46</v>
      </c>
      <c r="D35" s="18" t="s">
        <v>43</v>
      </c>
      <c r="E35" s="61">
        <v>2020</v>
      </c>
      <c r="F35" s="62">
        <v>370011000</v>
      </c>
      <c r="G35" s="62">
        <v>381690000</v>
      </c>
      <c r="H35" s="62">
        <v>140110863</v>
      </c>
      <c r="I35" s="62">
        <v>138590424</v>
      </c>
      <c r="J35" s="62">
        <f t="shared" si="0"/>
        <v>2.6408444861266753</v>
      </c>
      <c r="K35" s="62">
        <f t="shared" si="1"/>
        <v>2.7540863862282432</v>
      </c>
      <c r="L35" s="63">
        <f t="shared" si="2"/>
        <v>3.1563926477861472E-2</v>
      </c>
      <c r="M35" s="63">
        <f t="shared" si="3"/>
        <v>-1.0851685354332591E-2</v>
      </c>
      <c r="N35" s="63">
        <f t="shared" si="4"/>
        <v>4.288094232601318E-2</v>
      </c>
      <c r="O35" s="62">
        <f t="shared" si="5"/>
        <v>2.7241999073262435</v>
      </c>
      <c r="P35" s="62">
        <f t="shared" si="6"/>
        <v>8.335542119956818E-2</v>
      </c>
      <c r="Q35" s="62">
        <f t="shared" si="7"/>
        <v>2.9886478901999691E-2</v>
      </c>
      <c r="R35" s="63">
        <f t="shared" si="8"/>
        <v>3.1563926477861451E-2</v>
      </c>
      <c r="S35" s="63">
        <f t="shared" si="9"/>
        <v>1.1317015848151727E-2</v>
      </c>
      <c r="T35" s="63">
        <f t="shared" si="10"/>
        <v>4.288094232601318E-2</v>
      </c>
    </row>
    <row r="36" spans="1:20" x14ac:dyDescent="0.3">
      <c r="A36" s="18" t="s">
        <v>51</v>
      </c>
      <c r="B36" s="18" t="s">
        <v>52</v>
      </c>
      <c r="C36" s="18" t="s">
        <v>46</v>
      </c>
      <c r="D36" s="18" t="s">
        <v>43</v>
      </c>
      <c r="E36" s="61">
        <v>2021</v>
      </c>
      <c r="F36" s="62">
        <v>381690000</v>
      </c>
      <c r="G36" s="62">
        <v>605457000</v>
      </c>
      <c r="H36" s="62">
        <v>138590424</v>
      </c>
      <c r="I36" s="62">
        <v>139154500</v>
      </c>
      <c r="J36" s="62">
        <f t="shared" si="0"/>
        <v>2.7540863862282432</v>
      </c>
      <c r="K36" s="62">
        <f t="shared" si="1"/>
        <v>4.3509696057260099</v>
      </c>
      <c r="L36" s="63">
        <f t="shared" si="2"/>
        <v>0.58625324215986796</v>
      </c>
      <c r="M36" s="63">
        <f t="shared" si="3"/>
        <v>4.0700936162804437E-3</v>
      </c>
      <c r="N36" s="63">
        <f t="shared" si="4"/>
        <v>0.57982321378259993</v>
      </c>
      <c r="O36" s="62">
        <f t="shared" si="5"/>
        <v>4.3686784593429051</v>
      </c>
      <c r="P36" s="62">
        <f t="shared" si="6"/>
        <v>1.6145920731146619</v>
      </c>
      <c r="Q36" s="62">
        <f t="shared" si="7"/>
        <v>-1.7708853616895226E-2</v>
      </c>
      <c r="R36" s="63">
        <f t="shared" si="8"/>
        <v>0.58625324215986796</v>
      </c>
      <c r="S36" s="63">
        <f t="shared" si="9"/>
        <v>-6.4300283772680527E-3</v>
      </c>
      <c r="T36" s="63">
        <f t="shared" si="10"/>
        <v>0.57982321378259993</v>
      </c>
    </row>
    <row r="37" spans="1:20" x14ac:dyDescent="0.3">
      <c r="A37" s="18" t="s">
        <v>51</v>
      </c>
      <c r="B37" s="18" t="s">
        <v>52</v>
      </c>
      <c r="C37" s="18" t="s">
        <v>46</v>
      </c>
      <c r="D37" s="18" t="s">
        <v>43</v>
      </c>
      <c r="E37" s="61">
        <v>2022</v>
      </c>
      <c r="F37" s="62">
        <v>605457000</v>
      </c>
      <c r="G37" s="62">
        <v>406461000</v>
      </c>
      <c r="H37" s="62">
        <v>139154500</v>
      </c>
      <c r="I37" s="62">
        <v>139226158</v>
      </c>
      <c r="J37" s="62">
        <f t="shared" si="0"/>
        <v>4.3509696057260099</v>
      </c>
      <c r="K37" s="62">
        <f t="shared" si="1"/>
        <v>2.9194298387519968</v>
      </c>
      <c r="L37" s="63">
        <f t="shared" si="2"/>
        <v>-0.32867073962312765</v>
      </c>
      <c r="M37" s="63">
        <f t="shared" si="3"/>
        <v>5.149528042571387E-4</v>
      </c>
      <c r="N37" s="63">
        <f t="shared" si="4"/>
        <v>-0.32901626457929345</v>
      </c>
      <c r="O37" s="62">
        <f t="shared" si="5"/>
        <v>2.920933207334294</v>
      </c>
      <c r="P37" s="62">
        <f t="shared" si="6"/>
        <v>-1.4300363983917159</v>
      </c>
      <c r="Q37" s="62">
        <f t="shared" si="7"/>
        <v>-1.5033685822971599E-3</v>
      </c>
      <c r="R37" s="63">
        <f t="shared" si="8"/>
        <v>-0.32867073962312771</v>
      </c>
      <c r="S37" s="63">
        <f t="shared" si="9"/>
        <v>-3.4552495616578901E-4</v>
      </c>
      <c r="T37" s="63">
        <f t="shared" si="10"/>
        <v>-0.3290162645792935</v>
      </c>
    </row>
    <row r="38" spans="1:20" x14ac:dyDescent="0.3">
      <c r="A38" s="18" t="s">
        <v>51</v>
      </c>
      <c r="B38" s="18" t="s">
        <v>52</v>
      </c>
      <c r="C38" s="18" t="s">
        <v>46</v>
      </c>
      <c r="D38" s="18" t="s">
        <v>43</v>
      </c>
      <c r="E38" s="61">
        <v>2023</v>
      </c>
      <c r="F38" s="62">
        <v>406461000</v>
      </c>
      <c r="G38" s="62">
        <v>434567000</v>
      </c>
      <c r="H38" s="62">
        <v>139226158</v>
      </c>
      <c r="I38" s="62">
        <v>138397134</v>
      </c>
      <c r="J38" s="62">
        <f t="shared" si="0"/>
        <v>2.9194298387519968</v>
      </c>
      <c r="K38" s="62">
        <f t="shared" si="1"/>
        <v>3.1399999945085568</v>
      </c>
      <c r="L38" s="63">
        <f t="shared" si="2"/>
        <v>6.9148085548182969E-2</v>
      </c>
      <c r="M38" s="63">
        <f t="shared" si="3"/>
        <v>-5.9545132316299355E-3</v>
      </c>
      <c r="N38" s="63">
        <f t="shared" si="4"/>
        <v>7.5552477003814469E-2</v>
      </c>
      <c r="O38" s="62">
        <f t="shared" si="5"/>
        <v>3.1213028229939375</v>
      </c>
      <c r="P38" s="62">
        <f t="shared" si="6"/>
        <v>0.20187298424194067</v>
      </c>
      <c r="Q38" s="62">
        <f t="shared" si="7"/>
        <v>1.869717151461936E-2</v>
      </c>
      <c r="R38" s="63">
        <f t="shared" si="8"/>
        <v>6.914808554818283E-2</v>
      </c>
      <c r="S38" s="63">
        <f t="shared" si="9"/>
        <v>6.404391455631645E-3</v>
      </c>
      <c r="T38" s="63">
        <f t="shared" si="10"/>
        <v>7.5552477003814469E-2</v>
      </c>
    </row>
    <row r="39" spans="1:20" x14ac:dyDescent="0.3">
      <c r="A39" s="18" t="s">
        <v>51</v>
      </c>
      <c r="B39" s="18" t="s">
        <v>52</v>
      </c>
      <c r="C39" s="18" t="s">
        <v>46</v>
      </c>
      <c r="D39" s="18" t="s">
        <v>43</v>
      </c>
      <c r="E39" s="61">
        <v>2024</v>
      </c>
      <c r="F39" s="62">
        <v>434567000</v>
      </c>
      <c r="G39" s="62">
        <v>576165000</v>
      </c>
      <c r="H39" s="62">
        <v>138397134</v>
      </c>
      <c r="I39" s="62">
        <v>140528049</v>
      </c>
      <c r="J39" s="62">
        <f t="shared" si="0"/>
        <v>3.1399999945085568</v>
      </c>
      <c r="K39" s="62">
        <f t="shared" si="1"/>
        <v>4.0999999935955849</v>
      </c>
      <c r="L39" s="63">
        <f t="shared" si="2"/>
        <v>0.32583698255965132</v>
      </c>
      <c r="M39" s="63">
        <f t="shared" si="3"/>
        <v>1.5397103526724765E-2</v>
      </c>
      <c r="N39" s="63">
        <f t="shared" si="4"/>
        <v>0.30573248432036326</v>
      </c>
      <c r="O39" s="62">
        <f t="shared" si="5"/>
        <v>4.1631281179565471</v>
      </c>
      <c r="P39" s="62">
        <f t="shared" si="6"/>
        <v>1.0231281234479903</v>
      </c>
      <c r="Q39" s="62">
        <f t="shared" si="7"/>
        <v>-6.3128124360962268E-2</v>
      </c>
      <c r="R39" s="63">
        <f t="shared" si="8"/>
        <v>0.32583698255965143</v>
      </c>
      <c r="S39" s="63">
        <f t="shared" si="9"/>
        <v>-2.0104498239288209E-2</v>
      </c>
      <c r="T39" s="63">
        <f t="shared" si="10"/>
        <v>0.30573248432036321</v>
      </c>
    </row>
    <row r="40" spans="1:20" x14ac:dyDescent="0.3">
      <c r="A40" s="18" t="s">
        <v>53</v>
      </c>
      <c r="B40" s="18" t="s">
        <v>54</v>
      </c>
      <c r="C40" s="18" t="s">
        <v>46</v>
      </c>
      <c r="D40" s="18" t="s">
        <v>43</v>
      </c>
      <c r="E40" s="61">
        <v>2016</v>
      </c>
      <c r="F40" s="62">
        <v>203559000</v>
      </c>
      <c r="G40" s="62">
        <v>155894000</v>
      </c>
      <c r="H40" s="62">
        <v>115867000</v>
      </c>
      <c r="I40" s="62">
        <v>116067000</v>
      </c>
      <c r="J40" s="62">
        <f t="shared" si="0"/>
        <v>1.7568332657270835</v>
      </c>
      <c r="K40" s="62">
        <f t="shared" si="1"/>
        <v>1.3431380151119612</v>
      </c>
      <c r="L40" s="63">
        <f t="shared" si="2"/>
        <v>-0.23415815562072911</v>
      </c>
      <c r="M40" s="63">
        <f t="shared" si="3"/>
        <v>1.7261170134723434E-3</v>
      </c>
      <c r="N40" s="63">
        <f t="shared" si="4"/>
        <v>-0.23547781037941032</v>
      </c>
      <c r="O40" s="62">
        <f t="shared" si="5"/>
        <v>1.3454564284912873</v>
      </c>
      <c r="P40" s="62">
        <f t="shared" si="6"/>
        <v>-0.41137683723579621</v>
      </c>
      <c r="Q40" s="62">
        <f t="shared" si="7"/>
        <v>-2.3184133793261452E-3</v>
      </c>
      <c r="R40" s="63">
        <f t="shared" si="8"/>
        <v>-0.23415815562072914</v>
      </c>
      <c r="S40" s="63">
        <f t="shared" si="9"/>
        <v>-1.3196547586811808E-3</v>
      </c>
      <c r="T40" s="63">
        <f t="shared" si="10"/>
        <v>-0.23547781037941032</v>
      </c>
    </row>
    <row r="41" spans="1:20" x14ac:dyDescent="0.3">
      <c r="A41" s="18" t="s">
        <v>53</v>
      </c>
      <c r="B41" s="18" t="s">
        <v>54</v>
      </c>
      <c r="C41" s="18" t="s">
        <v>46</v>
      </c>
      <c r="D41" s="18" t="s">
        <v>43</v>
      </c>
      <c r="E41" s="61">
        <v>2017</v>
      </c>
      <c r="F41" s="62">
        <v>155894000</v>
      </c>
      <c r="G41" s="62">
        <v>204105000</v>
      </c>
      <c r="H41" s="62">
        <v>116067000</v>
      </c>
      <c r="I41" s="62">
        <v>116482000</v>
      </c>
      <c r="J41" s="62">
        <f t="shared" si="0"/>
        <v>1.3431380151119612</v>
      </c>
      <c r="K41" s="62">
        <f t="shared" si="1"/>
        <v>1.7522449820573136</v>
      </c>
      <c r="L41" s="63">
        <f t="shared" si="2"/>
        <v>0.30925500660705352</v>
      </c>
      <c r="M41" s="63">
        <f t="shared" si="3"/>
        <v>3.5755210352641149E-3</v>
      </c>
      <c r="N41" s="63">
        <f t="shared" si="4"/>
        <v>0.30459041613177046</v>
      </c>
      <c r="O41" s="62">
        <f t="shared" si="5"/>
        <v>1.7585101708495956</v>
      </c>
      <c r="P41" s="62">
        <f t="shared" si="6"/>
        <v>0.41537215573763442</v>
      </c>
      <c r="Q41" s="62">
        <f t="shared" si="7"/>
        <v>-6.2651887922819949E-3</v>
      </c>
      <c r="R41" s="63">
        <f t="shared" si="8"/>
        <v>0.30925500660705363</v>
      </c>
      <c r="S41" s="63">
        <f t="shared" si="9"/>
        <v>-4.6645904752831684E-3</v>
      </c>
      <c r="T41" s="63">
        <f t="shared" si="10"/>
        <v>0.30459041613177046</v>
      </c>
    </row>
    <row r="42" spans="1:20" x14ac:dyDescent="0.3">
      <c r="A42" s="18" t="s">
        <v>53</v>
      </c>
      <c r="B42" s="18" t="s">
        <v>54</v>
      </c>
      <c r="C42" s="18" t="s">
        <v>46</v>
      </c>
      <c r="D42" s="18" t="s">
        <v>43</v>
      </c>
      <c r="E42" s="61">
        <v>2018</v>
      </c>
      <c r="F42" s="62">
        <v>204105000</v>
      </c>
      <c r="G42" s="62">
        <v>180126000</v>
      </c>
      <c r="H42" s="62">
        <v>116482000</v>
      </c>
      <c r="I42" s="62">
        <v>115784000</v>
      </c>
      <c r="J42" s="62">
        <f t="shared" si="0"/>
        <v>1.7522449820573136</v>
      </c>
      <c r="K42" s="62">
        <f t="shared" si="1"/>
        <v>1.55570717888482</v>
      </c>
      <c r="L42" s="63">
        <f t="shared" si="2"/>
        <v>-0.11748364812228999</v>
      </c>
      <c r="M42" s="63">
        <f t="shared" si="3"/>
        <v>-5.9923421644545935E-3</v>
      </c>
      <c r="N42" s="63">
        <f t="shared" si="4"/>
        <v>-0.1121634275943186</v>
      </c>
      <c r="O42" s="62">
        <f t="shared" si="5"/>
        <v>1.5463848491612437</v>
      </c>
      <c r="P42" s="62">
        <f t="shared" si="6"/>
        <v>-0.20586013289606986</v>
      </c>
      <c r="Q42" s="62">
        <f t="shared" si="7"/>
        <v>9.3223297235762725E-3</v>
      </c>
      <c r="R42" s="63">
        <f t="shared" si="8"/>
        <v>-0.11748364812229004</v>
      </c>
      <c r="S42" s="63">
        <f t="shared" si="9"/>
        <v>5.3202205279714431E-3</v>
      </c>
      <c r="T42" s="63">
        <f t="shared" si="10"/>
        <v>-0.11216342759431859</v>
      </c>
    </row>
    <row r="43" spans="1:20" x14ac:dyDescent="0.3">
      <c r="A43" s="18" t="s">
        <v>53</v>
      </c>
      <c r="B43" s="18" t="s">
        <v>54</v>
      </c>
      <c r="C43" s="18" t="s">
        <v>46</v>
      </c>
      <c r="D43" s="18" t="s">
        <v>43</v>
      </c>
      <c r="E43" s="61">
        <v>2019</v>
      </c>
      <c r="F43" s="62">
        <v>180126000</v>
      </c>
      <c r="G43" s="62">
        <v>272139000</v>
      </c>
      <c r="H43" s="62">
        <v>115784000</v>
      </c>
      <c r="I43" s="62">
        <v>115719000</v>
      </c>
      <c r="J43" s="62">
        <f t="shared" si="0"/>
        <v>1.55570717888482</v>
      </c>
      <c r="K43" s="62">
        <f t="shared" si="1"/>
        <v>2.3517227075933942</v>
      </c>
      <c r="L43" s="63">
        <f t="shared" si="2"/>
        <v>0.51082575530462004</v>
      </c>
      <c r="M43" s="63">
        <f t="shared" si="3"/>
        <v>-5.6139017480826361E-4</v>
      </c>
      <c r="N43" s="63">
        <f t="shared" si="4"/>
        <v>0.51167439445717744</v>
      </c>
      <c r="O43" s="62">
        <f t="shared" si="5"/>
        <v>2.3504024735714779</v>
      </c>
      <c r="P43" s="62">
        <f t="shared" si="6"/>
        <v>0.79469529468665789</v>
      </c>
      <c r="Q43" s="62">
        <f t="shared" si="7"/>
        <v>1.3202340219162778E-3</v>
      </c>
      <c r="R43" s="63">
        <f t="shared" si="8"/>
        <v>0.51082575530462004</v>
      </c>
      <c r="S43" s="63">
        <f t="shared" si="9"/>
        <v>8.4863915255740041E-4</v>
      </c>
      <c r="T43" s="63">
        <f t="shared" si="10"/>
        <v>0.51167439445717744</v>
      </c>
    </row>
    <row r="44" spans="1:20" x14ac:dyDescent="0.3">
      <c r="A44" s="18" t="s">
        <v>53</v>
      </c>
      <c r="B44" s="18" t="s">
        <v>54</v>
      </c>
      <c r="C44" s="18" t="s">
        <v>46</v>
      </c>
      <c r="D44" s="18" t="s">
        <v>43</v>
      </c>
      <c r="E44" s="61">
        <v>2020</v>
      </c>
      <c r="F44" s="62">
        <v>272139000</v>
      </c>
      <c r="G44" s="62">
        <v>274919000</v>
      </c>
      <c r="H44" s="62">
        <v>115719000</v>
      </c>
      <c r="I44" s="62">
        <v>115340000</v>
      </c>
      <c r="J44" s="62">
        <f t="shared" si="0"/>
        <v>2.3517227075933942</v>
      </c>
      <c r="K44" s="62">
        <f t="shared" si="1"/>
        <v>2.3835529738165424</v>
      </c>
      <c r="L44" s="63">
        <f t="shared" si="2"/>
        <v>1.0215367881854493E-2</v>
      </c>
      <c r="M44" s="63">
        <f t="shared" si="3"/>
        <v>-3.275175208911242E-3</v>
      </c>
      <c r="N44" s="63">
        <f t="shared" si="4"/>
        <v>1.3534872168548017E-2</v>
      </c>
      <c r="O44" s="62">
        <f t="shared" si="5"/>
        <v>2.3757464202075718</v>
      </c>
      <c r="P44" s="62">
        <f t="shared" si="6"/>
        <v>2.4023712614177573E-2</v>
      </c>
      <c r="Q44" s="62">
        <f t="shared" si="7"/>
        <v>7.8065536089706455E-3</v>
      </c>
      <c r="R44" s="63">
        <f t="shared" si="8"/>
        <v>1.0215367881854547E-2</v>
      </c>
      <c r="S44" s="63">
        <f t="shared" si="9"/>
        <v>3.3195042866934698E-3</v>
      </c>
      <c r="T44" s="63">
        <f t="shared" si="10"/>
        <v>1.3534872168548017E-2</v>
      </c>
    </row>
    <row r="45" spans="1:20" x14ac:dyDescent="0.3">
      <c r="A45" s="18" t="s">
        <v>53</v>
      </c>
      <c r="B45" s="18" t="s">
        <v>54</v>
      </c>
      <c r="C45" s="18" t="s">
        <v>46</v>
      </c>
      <c r="D45" s="18" t="s">
        <v>43</v>
      </c>
      <c r="E45" s="61">
        <v>2021</v>
      </c>
      <c r="F45" s="62">
        <v>274919000</v>
      </c>
      <c r="G45" s="62">
        <v>323103000</v>
      </c>
      <c r="H45" s="62">
        <v>115340000</v>
      </c>
      <c r="I45" s="62">
        <v>115016000</v>
      </c>
      <c r="J45" s="62">
        <f t="shared" si="0"/>
        <v>2.3835529738165424</v>
      </c>
      <c r="K45" s="62">
        <f t="shared" si="1"/>
        <v>2.8092004590665645</v>
      </c>
      <c r="L45" s="63">
        <f t="shared" si="2"/>
        <v>0.17526616930805072</v>
      </c>
      <c r="M45" s="63">
        <f t="shared" si="3"/>
        <v>-2.8090861799895958E-3</v>
      </c>
      <c r="N45" s="63">
        <f t="shared" si="4"/>
        <v>0.17857689337127497</v>
      </c>
      <c r="O45" s="62">
        <f t="shared" si="5"/>
        <v>2.8013091728801802</v>
      </c>
      <c r="P45" s="62">
        <f t="shared" si="6"/>
        <v>0.41775619906363781</v>
      </c>
      <c r="Q45" s="62">
        <f t="shared" si="7"/>
        <v>7.8912861863842387E-3</v>
      </c>
      <c r="R45" s="63">
        <f t="shared" si="8"/>
        <v>0.17526616930805067</v>
      </c>
      <c r="S45" s="63">
        <f t="shared" si="9"/>
        <v>3.3107240632242884E-3</v>
      </c>
      <c r="T45" s="63">
        <f t="shared" si="10"/>
        <v>0.17857689337127497</v>
      </c>
    </row>
    <row r="46" spans="1:20" x14ac:dyDescent="0.3">
      <c r="A46" s="18" t="s">
        <v>53</v>
      </c>
      <c r="B46" s="18" t="s">
        <v>54</v>
      </c>
      <c r="C46" s="18" t="s">
        <v>46</v>
      </c>
      <c r="D46" s="18" t="s">
        <v>43</v>
      </c>
      <c r="E46" s="61">
        <v>2022</v>
      </c>
      <c r="F46" s="62">
        <v>323103000</v>
      </c>
      <c r="G46" s="62">
        <v>213034000</v>
      </c>
      <c r="H46" s="62">
        <v>115016000</v>
      </c>
      <c r="I46" s="62">
        <v>114564000</v>
      </c>
      <c r="J46" s="62">
        <f t="shared" si="0"/>
        <v>2.8092004590665645</v>
      </c>
      <c r="K46" s="62">
        <f t="shared" si="1"/>
        <v>1.8595195698474216</v>
      </c>
      <c r="L46" s="63">
        <f t="shared" si="2"/>
        <v>-0.34066226559332474</v>
      </c>
      <c r="M46" s="63">
        <f t="shared" si="3"/>
        <v>-3.9298880155804409E-3</v>
      </c>
      <c r="N46" s="63">
        <f t="shared" si="4"/>
        <v>-0.33806091913237868</v>
      </c>
      <c r="O46" s="62">
        <f t="shared" si="5"/>
        <v>1.8522118661751408</v>
      </c>
      <c r="P46" s="62">
        <f t="shared" si="6"/>
        <v>-0.95698859289142368</v>
      </c>
      <c r="Q46" s="62">
        <f t="shared" si="7"/>
        <v>7.3077036722808408E-3</v>
      </c>
      <c r="R46" s="63">
        <f t="shared" si="8"/>
        <v>-0.34066226559332469</v>
      </c>
      <c r="S46" s="63">
        <f t="shared" si="9"/>
        <v>2.6013464609460552E-3</v>
      </c>
      <c r="T46" s="63">
        <f t="shared" si="10"/>
        <v>-0.33806091913237862</v>
      </c>
    </row>
    <row r="47" spans="1:20" x14ac:dyDescent="0.3">
      <c r="A47" s="18" t="s">
        <v>53</v>
      </c>
      <c r="B47" s="18" t="s">
        <v>54</v>
      </c>
      <c r="C47" s="18" t="s">
        <v>46</v>
      </c>
      <c r="D47" s="18" t="s">
        <v>43</v>
      </c>
      <c r="E47" s="61">
        <v>2023</v>
      </c>
      <c r="F47" s="62">
        <v>213034000</v>
      </c>
      <c r="G47" s="62">
        <v>326136000</v>
      </c>
      <c r="H47" s="62">
        <v>114564000</v>
      </c>
      <c r="I47" s="62">
        <v>114081000</v>
      </c>
      <c r="J47" s="62">
        <f t="shared" si="0"/>
        <v>1.8595195698474216</v>
      </c>
      <c r="K47" s="62">
        <f t="shared" si="1"/>
        <v>2.8588108449259737</v>
      </c>
      <c r="L47" s="63">
        <f t="shared" si="2"/>
        <v>0.5309105588779256</v>
      </c>
      <c r="M47" s="63">
        <f t="shared" si="3"/>
        <v>-4.2159840787681993E-3</v>
      </c>
      <c r="N47" s="63">
        <f t="shared" si="4"/>
        <v>0.53739217983091547</v>
      </c>
      <c r="O47" s="62">
        <f t="shared" si="5"/>
        <v>2.8467581439195557</v>
      </c>
      <c r="P47" s="62">
        <f t="shared" si="6"/>
        <v>0.98723857407213411</v>
      </c>
      <c r="Q47" s="62">
        <f t="shared" si="7"/>
        <v>1.2052701006417976E-2</v>
      </c>
      <c r="R47" s="63">
        <f t="shared" si="8"/>
        <v>0.53091055887792549</v>
      </c>
      <c r="S47" s="63">
        <f t="shared" si="9"/>
        <v>6.4816209529899877E-3</v>
      </c>
      <c r="T47" s="63">
        <f t="shared" si="10"/>
        <v>0.53739217983091547</v>
      </c>
    </row>
    <row r="48" spans="1:20" x14ac:dyDescent="0.3">
      <c r="A48" s="18" t="s">
        <v>53</v>
      </c>
      <c r="B48" s="18" t="s">
        <v>54</v>
      </c>
      <c r="C48" s="18" t="s">
        <v>46</v>
      </c>
      <c r="D48" s="18" t="s">
        <v>43</v>
      </c>
      <c r="E48" s="61">
        <v>2024</v>
      </c>
      <c r="F48" s="62">
        <v>326136000</v>
      </c>
      <c r="G48" s="62">
        <v>431225000</v>
      </c>
      <c r="H48" s="62">
        <v>114081000</v>
      </c>
      <c r="I48" s="62">
        <v>114008000</v>
      </c>
      <c r="J48" s="62">
        <f t="shared" si="0"/>
        <v>2.8588108449259737</v>
      </c>
      <c r="K48" s="62">
        <f t="shared" si="1"/>
        <v>3.7824100063153461</v>
      </c>
      <c r="L48" s="63">
        <f t="shared" si="2"/>
        <v>0.32222447077292909</v>
      </c>
      <c r="M48" s="63">
        <f t="shared" si="3"/>
        <v>-6.3989621409349493E-4</v>
      </c>
      <c r="N48" s="63">
        <f t="shared" si="4"/>
        <v>0.32307109896013009</v>
      </c>
      <c r="O48" s="62">
        <f t="shared" si="5"/>
        <v>3.7799896564721558</v>
      </c>
      <c r="P48" s="62">
        <f t="shared" si="6"/>
        <v>0.92117881154618209</v>
      </c>
      <c r="Q48" s="62">
        <f t="shared" si="7"/>
        <v>2.4203498431902837E-3</v>
      </c>
      <c r="R48" s="63">
        <f t="shared" si="8"/>
        <v>0.32222447077292909</v>
      </c>
      <c r="S48" s="63">
        <f t="shared" si="9"/>
        <v>8.4662818720101661E-4</v>
      </c>
      <c r="T48" s="63">
        <f t="shared" si="10"/>
        <v>0.32307109896013009</v>
      </c>
    </row>
    <row r="49" spans="1:20" x14ac:dyDescent="0.3">
      <c r="A49" s="18" t="s">
        <v>55</v>
      </c>
      <c r="B49" s="18" t="s">
        <v>56</v>
      </c>
      <c r="C49" s="18" t="s">
        <v>46</v>
      </c>
      <c r="D49" s="18" t="s">
        <v>43</v>
      </c>
      <c r="E49" s="61">
        <v>2016</v>
      </c>
      <c r="F49" s="62">
        <v>438613000</v>
      </c>
      <c r="G49" s="62">
        <v>393527000</v>
      </c>
      <c r="H49" s="62">
        <v>737919428</v>
      </c>
      <c r="I49" s="62">
        <v>737046913</v>
      </c>
      <c r="J49" s="62">
        <f t="shared" si="0"/>
        <v>0.59439145163691232</v>
      </c>
      <c r="K49" s="62">
        <f t="shared" si="1"/>
        <v>0.53392395118816538</v>
      </c>
      <c r="L49" s="63">
        <f t="shared" si="2"/>
        <v>-0.10279221090118168</v>
      </c>
      <c r="M49" s="63">
        <f t="shared" si="3"/>
        <v>-1.1823987374404783E-3</v>
      </c>
      <c r="N49" s="63">
        <f t="shared" si="4"/>
        <v>-0.10173009770282478</v>
      </c>
      <c r="O49" s="62">
        <f t="shared" si="5"/>
        <v>0.53329264018239131</v>
      </c>
      <c r="P49" s="62">
        <f t="shared" si="6"/>
        <v>-6.1098811454521007E-2</v>
      </c>
      <c r="Q49" s="62">
        <f t="shared" si="7"/>
        <v>6.3131100577407118E-4</v>
      </c>
      <c r="R49" s="63">
        <f t="shared" si="8"/>
        <v>-0.10279221090118165</v>
      </c>
      <c r="S49" s="63">
        <f t="shared" si="9"/>
        <v>1.0621131983568825E-3</v>
      </c>
      <c r="T49" s="63">
        <f t="shared" si="10"/>
        <v>-0.10173009770282478</v>
      </c>
    </row>
    <row r="50" spans="1:20" x14ac:dyDescent="0.3">
      <c r="A50" s="18" t="s">
        <v>55</v>
      </c>
      <c r="B50" s="18" t="s">
        <v>56</v>
      </c>
      <c r="C50" s="18" t="s">
        <v>46</v>
      </c>
      <c r="D50" s="18" t="s">
        <v>43</v>
      </c>
      <c r="E50" s="61">
        <v>2017</v>
      </c>
      <c r="F50" s="62">
        <v>393527000</v>
      </c>
      <c r="G50" s="62">
        <v>379992000</v>
      </c>
      <c r="H50" s="62">
        <v>737046913</v>
      </c>
      <c r="I50" s="62">
        <v>734828052</v>
      </c>
      <c r="J50" s="62">
        <f t="shared" si="0"/>
        <v>0.53392395118816538</v>
      </c>
      <c r="K50" s="62">
        <f t="shared" si="1"/>
        <v>0.51711689417104612</v>
      </c>
      <c r="L50" s="63">
        <f t="shared" si="2"/>
        <v>-3.439408223578052E-2</v>
      </c>
      <c r="M50" s="63">
        <f t="shared" si="3"/>
        <v>-3.0104745856251894E-3</v>
      </c>
      <c r="N50" s="63">
        <f t="shared" si="4"/>
        <v>-3.1478372490534937E-2</v>
      </c>
      <c r="O50" s="62">
        <f t="shared" si="5"/>
        <v>0.51556012690334674</v>
      </c>
      <c r="P50" s="62">
        <f t="shared" si="6"/>
        <v>-1.8363824284818642E-2</v>
      </c>
      <c r="Q50" s="62">
        <f t="shared" si="7"/>
        <v>1.5567672676993771E-3</v>
      </c>
      <c r="R50" s="63">
        <f t="shared" si="8"/>
        <v>-3.4394082235780554E-2</v>
      </c>
      <c r="S50" s="63">
        <f t="shared" si="9"/>
        <v>2.9157097452456138E-3</v>
      </c>
      <c r="T50" s="63">
        <f t="shared" si="10"/>
        <v>-3.1478372490534944E-2</v>
      </c>
    </row>
    <row r="51" spans="1:20" x14ac:dyDescent="0.3">
      <c r="A51" s="18" t="s">
        <v>55</v>
      </c>
      <c r="B51" s="18" t="s">
        <v>56</v>
      </c>
      <c r="C51" s="18" t="s">
        <v>46</v>
      </c>
      <c r="D51" s="18" t="s">
        <v>43</v>
      </c>
      <c r="E51" s="61">
        <v>2018</v>
      </c>
      <c r="F51" s="62">
        <v>379992000</v>
      </c>
      <c r="G51" s="62">
        <v>255710000</v>
      </c>
      <c r="H51" s="62">
        <v>734828052</v>
      </c>
      <c r="I51" s="62">
        <v>733175893</v>
      </c>
      <c r="J51" s="62">
        <f t="shared" si="0"/>
        <v>0.51711689417104612</v>
      </c>
      <c r="K51" s="62">
        <f t="shared" si="1"/>
        <v>0.34877033252373996</v>
      </c>
      <c r="L51" s="63">
        <f t="shared" si="2"/>
        <v>-0.32706478031116443</v>
      </c>
      <c r="M51" s="63">
        <f t="shared" si="3"/>
        <v>-2.2483613622306295E-3</v>
      </c>
      <c r="N51" s="63">
        <f t="shared" si="4"/>
        <v>-0.32554836932405923</v>
      </c>
      <c r="O51" s="62">
        <f t="shared" si="5"/>
        <v>0.34798617078380129</v>
      </c>
      <c r="P51" s="62">
        <f t="shared" si="6"/>
        <v>-0.16913072338724483</v>
      </c>
      <c r="Q51" s="62">
        <f t="shared" si="7"/>
        <v>7.8416173993867133E-4</v>
      </c>
      <c r="R51" s="63">
        <f t="shared" si="8"/>
        <v>-0.32706478031116437</v>
      </c>
      <c r="S51" s="63">
        <f t="shared" si="9"/>
        <v>1.5164109871051614E-3</v>
      </c>
      <c r="T51" s="63">
        <f t="shared" si="10"/>
        <v>-0.32554836932405923</v>
      </c>
    </row>
    <row r="52" spans="1:20" x14ac:dyDescent="0.3">
      <c r="A52" s="18" t="s">
        <v>55</v>
      </c>
      <c r="B52" s="18" t="s">
        <v>56</v>
      </c>
      <c r="C52" s="18" t="s">
        <v>46</v>
      </c>
      <c r="D52" s="18" t="s">
        <v>43</v>
      </c>
      <c r="E52" s="61">
        <v>2019</v>
      </c>
      <c r="F52" s="62">
        <v>255710000</v>
      </c>
      <c r="G52" s="62">
        <v>565432000</v>
      </c>
      <c r="H52" s="62">
        <v>733175893</v>
      </c>
      <c r="I52" s="62">
        <v>733061303</v>
      </c>
      <c r="J52" s="62">
        <f t="shared" si="0"/>
        <v>0.34877033252373996</v>
      </c>
      <c r="K52" s="62">
        <f t="shared" si="1"/>
        <v>0.77132976148926524</v>
      </c>
      <c r="L52" s="63">
        <f t="shared" si="2"/>
        <v>1.2112236517930468</v>
      </c>
      <c r="M52" s="63">
        <f t="shared" si="3"/>
        <v>-1.5629264559029903E-4</v>
      </c>
      <c r="N52" s="63">
        <f t="shared" si="4"/>
        <v>1.2115693038104458</v>
      </c>
      <c r="O52" s="62">
        <f t="shared" si="5"/>
        <v>0.77120920832021955</v>
      </c>
      <c r="P52" s="62">
        <f t="shared" si="6"/>
        <v>0.4224388757964796</v>
      </c>
      <c r="Q52" s="62">
        <f t="shared" si="7"/>
        <v>1.2055316904568958E-4</v>
      </c>
      <c r="R52" s="63">
        <f t="shared" si="8"/>
        <v>1.211223651793047</v>
      </c>
      <c r="S52" s="63">
        <f t="shared" si="9"/>
        <v>3.4565201739882452E-4</v>
      </c>
      <c r="T52" s="63">
        <f t="shared" si="10"/>
        <v>1.2115693038104458</v>
      </c>
    </row>
    <row r="53" spans="1:20" x14ac:dyDescent="0.3">
      <c r="A53" s="18" t="s">
        <v>55</v>
      </c>
      <c r="B53" s="18" t="s">
        <v>56</v>
      </c>
      <c r="C53" s="18" t="s">
        <v>46</v>
      </c>
      <c r="D53" s="18" t="s">
        <v>43</v>
      </c>
      <c r="E53" s="61">
        <v>2020</v>
      </c>
      <c r="F53" s="62">
        <v>565432000</v>
      </c>
      <c r="G53" s="62">
        <v>434462000</v>
      </c>
      <c r="H53" s="62">
        <v>733061303</v>
      </c>
      <c r="I53" s="62">
        <v>734362421</v>
      </c>
      <c r="J53" s="62">
        <f t="shared" si="0"/>
        <v>0.77132976148926524</v>
      </c>
      <c r="K53" s="62">
        <f t="shared" si="1"/>
        <v>0.59161796352321794</v>
      </c>
      <c r="L53" s="63">
        <f t="shared" si="2"/>
        <v>-0.23162820639793999</v>
      </c>
      <c r="M53" s="63">
        <f t="shared" si="3"/>
        <v>1.7749102219354225E-3</v>
      </c>
      <c r="N53" s="63">
        <f t="shared" si="4"/>
        <v>-0.23298958103089917</v>
      </c>
      <c r="O53" s="62">
        <f t="shared" si="5"/>
        <v>0.59266803229415588</v>
      </c>
      <c r="P53" s="62">
        <f t="shared" si="6"/>
        <v>-0.17866172919510936</v>
      </c>
      <c r="Q53" s="62">
        <f t="shared" si="7"/>
        <v>-1.0500687709379397E-3</v>
      </c>
      <c r="R53" s="63">
        <f t="shared" si="8"/>
        <v>-0.23162820639794002</v>
      </c>
      <c r="S53" s="63">
        <f t="shared" si="9"/>
        <v>-1.3613746329591793E-3</v>
      </c>
      <c r="T53" s="63">
        <f t="shared" si="10"/>
        <v>-0.2329895810308992</v>
      </c>
    </row>
    <row r="54" spans="1:20" x14ac:dyDescent="0.3">
      <c r="A54" s="18" t="s">
        <v>55</v>
      </c>
      <c r="B54" s="18" t="s">
        <v>56</v>
      </c>
      <c r="C54" s="18" t="s">
        <v>46</v>
      </c>
      <c r="D54" s="18" t="s">
        <v>43</v>
      </c>
      <c r="E54" s="61">
        <v>2021</v>
      </c>
      <c r="F54" s="62">
        <v>434462000</v>
      </c>
      <c r="G54" s="62">
        <v>713055000</v>
      </c>
      <c r="H54" s="62">
        <v>734362421</v>
      </c>
      <c r="I54" s="62">
        <v>735715806</v>
      </c>
      <c r="J54" s="62">
        <f t="shared" si="0"/>
        <v>0.59161796352321794</v>
      </c>
      <c r="K54" s="62">
        <f t="shared" si="1"/>
        <v>0.96919896811351092</v>
      </c>
      <c r="L54" s="63">
        <f t="shared" si="2"/>
        <v>0.64123674797795893</v>
      </c>
      <c r="M54" s="63">
        <f t="shared" si="3"/>
        <v>1.8429388014668032E-3</v>
      </c>
      <c r="N54" s="63">
        <f t="shared" si="4"/>
        <v>0.63821761317339532</v>
      </c>
      <c r="O54" s="62">
        <f t="shared" si="5"/>
        <v>0.9709851424981889</v>
      </c>
      <c r="P54" s="62">
        <f t="shared" si="6"/>
        <v>0.37936717897497096</v>
      </c>
      <c r="Q54" s="62">
        <f t="shared" si="7"/>
        <v>-1.7861743846779854E-3</v>
      </c>
      <c r="R54" s="63">
        <f t="shared" si="8"/>
        <v>0.64123674797795882</v>
      </c>
      <c r="S54" s="63">
        <f t="shared" si="9"/>
        <v>-3.0191348045635995E-3</v>
      </c>
      <c r="T54" s="63">
        <f t="shared" si="10"/>
        <v>0.6382176131733952</v>
      </c>
    </row>
    <row r="55" spans="1:20" x14ac:dyDescent="0.3">
      <c r="A55" s="18" t="s">
        <v>55</v>
      </c>
      <c r="B55" s="18" t="s">
        <v>56</v>
      </c>
      <c r="C55" s="18" t="s">
        <v>46</v>
      </c>
      <c r="D55" s="18" t="s">
        <v>43</v>
      </c>
      <c r="E55" s="61">
        <v>2022</v>
      </c>
      <c r="F55" s="62">
        <v>713055000</v>
      </c>
      <c r="G55" s="62">
        <v>506829000</v>
      </c>
      <c r="H55" s="62">
        <v>735715806</v>
      </c>
      <c r="I55" s="62">
        <v>737252214</v>
      </c>
      <c r="J55" s="62">
        <f t="shared" si="0"/>
        <v>0.96919896811351092</v>
      </c>
      <c r="K55" s="62">
        <f t="shared" si="1"/>
        <v>0.68745673512484018</v>
      </c>
      <c r="L55" s="63">
        <f t="shared" si="2"/>
        <v>-0.28921471695731743</v>
      </c>
      <c r="M55" s="63">
        <f t="shared" si="3"/>
        <v>2.0883172380830976E-3</v>
      </c>
      <c r="N55" s="63">
        <f t="shared" si="4"/>
        <v>-0.29069596879272941</v>
      </c>
      <c r="O55" s="62">
        <f t="shared" si="5"/>
        <v>0.6888923628752377</v>
      </c>
      <c r="P55" s="62">
        <f t="shared" si="6"/>
        <v>-0.28030660523827322</v>
      </c>
      <c r="Q55" s="62">
        <f t="shared" si="7"/>
        <v>-1.4356277503975168E-3</v>
      </c>
      <c r="R55" s="63">
        <f t="shared" si="8"/>
        <v>-0.28921471695731749</v>
      </c>
      <c r="S55" s="63">
        <f t="shared" si="9"/>
        <v>-1.481251835411961E-3</v>
      </c>
      <c r="T55" s="63">
        <f t="shared" si="10"/>
        <v>-0.29069596879272946</v>
      </c>
    </row>
    <row r="56" spans="1:20" x14ac:dyDescent="0.3">
      <c r="A56" s="18" t="s">
        <v>55</v>
      </c>
      <c r="B56" s="18" t="s">
        <v>56</v>
      </c>
      <c r="C56" s="18" t="s">
        <v>46</v>
      </c>
      <c r="D56" s="18" t="s">
        <v>43</v>
      </c>
      <c r="E56" s="61">
        <v>2023</v>
      </c>
      <c r="F56" s="62">
        <v>506829000</v>
      </c>
      <c r="G56" s="62">
        <v>821870000</v>
      </c>
      <c r="H56" s="62">
        <v>737252214</v>
      </c>
      <c r="I56" s="62">
        <v>739773622</v>
      </c>
      <c r="J56" s="62">
        <f t="shared" si="0"/>
        <v>0.68745673512484018</v>
      </c>
      <c r="K56" s="62">
        <f t="shared" si="1"/>
        <v>1.1109750004035694</v>
      </c>
      <c r="L56" s="63">
        <f t="shared" si="2"/>
        <v>0.62159229246945225</v>
      </c>
      <c r="M56" s="63">
        <f t="shared" si="3"/>
        <v>3.4200073626364179E-3</v>
      </c>
      <c r="N56" s="63">
        <f t="shared" si="4"/>
        <v>0.61606533711800726</v>
      </c>
      <c r="O56" s="62">
        <f t="shared" si="5"/>
        <v>1.1147745430846545</v>
      </c>
      <c r="P56" s="62">
        <f t="shared" si="6"/>
        <v>0.42731780795981433</v>
      </c>
      <c r="Q56" s="62">
        <f t="shared" si="7"/>
        <v>-3.7995426810850663E-3</v>
      </c>
      <c r="R56" s="63">
        <f t="shared" si="8"/>
        <v>0.62159229246945213</v>
      </c>
      <c r="S56" s="63">
        <f t="shared" si="9"/>
        <v>-5.526955351444888E-3</v>
      </c>
      <c r="T56" s="63">
        <f t="shared" si="10"/>
        <v>0.61606533711800726</v>
      </c>
    </row>
    <row r="57" spans="1:20" x14ac:dyDescent="0.3">
      <c r="A57" s="18" t="s">
        <v>55</v>
      </c>
      <c r="B57" s="18" t="s">
        <v>56</v>
      </c>
      <c r="C57" s="18" t="s">
        <v>46</v>
      </c>
      <c r="D57" s="18" t="s">
        <v>43</v>
      </c>
      <c r="E57" s="61">
        <v>2024</v>
      </c>
      <c r="F57" s="62">
        <v>821870000</v>
      </c>
      <c r="G57" s="62">
        <v>1119629000</v>
      </c>
      <c r="H57" s="62">
        <v>739773622</v>
      </c>
      <c r="I57" s="62">
        <v>737328000</v>
      </c>
      <c r="J57" s="62">
        <f t="shared" si="0"/>
        <v>1.1109750004035694</v>
      </c>
      <c r="K57" s="62">
        <f t="shared" si="1"/>
        <v>1.518495160905323</v>
      </c>
      <c r="L57" s="63">
        <f t="shared" si="2"/>
        <v>0.36229452346478153</v>
      </c>
      <c r="M57" s="63">
        <f t="shared" si="3"/>
        <v>-3.3059059248262842E-3</v>
      </c>
      <c r="N57" s="63">
        <f t="shared" si="4"/>
        <v>0.36681307892051485</v>
      </c>
      <c r="O57" s="62">
        <f t="shared" si="5"/>
        <v>1.513475158756066</v>
      </c>
      <c r="P57" s="62">
        <f t="shared" si="6"/>
        <v>0.40250015835249653</v>
      </c>
      <c r="Q57" s="62">
        <f t="shared" si="7"/>
        <v>5.020002149257019E-3</v>
      </c>
      <c r="R57" s="63">
        <f t="shared" si="8"/>
        <v>0.36229452346478142</v>
      </c>
      <c r="S57" s="63">
        <f t="shared" si="9"/>
        <v>4.5185554557334489E-3</v>
      </c>
      <c r="T57" s="63">
        <f t="shared" si="10"/>
        <v>0.36681307892051485</v>
      </c>
    </row>
    <row r="58" spans="1:20" x14ac:dyDescent="0.3">
      <c r="A58" s="18" t="s">
        <v>57</v>
      </c>
      <c r="B58" s="18" t="s">
        <v>58</v>
      </c>
      <c r="C58" s="18" t="s">
        <v>46</v>
      </c>
      <c r="D58" s="18" t="s">
        <v>43</v>
      </c>
      <c r="E58" s="61">
        <v>2016</v>
      </c>
      <c r="F58" s="62">
        <v>430073000</v>
      </c>
      <c r="G58" s="62">
        <v>-1681660000</v>
      </c>
      <c r="H58" s="62">
        <v>488022021</v>
      </c>
      <c r="I58" s="62">
        <v>817078746</v>
      </c>
      <c r="J58" s="62">
        <f t="shared" si="0"/>
        <v>0.88125736440897207</v>
      </c>
      <c r="K58" s="62">
        <f t="shared" si="1"/>
        <v>-2.0581370011550884</v>
      </c>
      <c r="L58" s="63">
        <f t="shared" si="2"/>
        <v>-4.9101733891688157</v>
      </c>
      <c r="M58" s="63">
        <f t="shared" si="3"/>
        <v>0.67426614136332175</v>
      </c>
      <c r="N58" s="63">
        <f t="shared" si="4"/>
        <v>-3.3354550943644115</v>
      </c>
      <c r="O58" s="62">
        <f t="shared" si="5"/>
        <v>-3.445869095321008</v>
      </c>
      <c r="P58" s="62">
        <f t="shared" si="6"/>
        <v>-4.3271264597299801</v>
      </c>
      <c r="Q58" s="62">
        <f t="shared" si="7"/>
        <v>1.3877320941659197</v>
      </c>
      <c r="R58" s="63">
        <f t="shared" si="8"/>
        <v>-4.9101733891688157</v>
      </c>
      <c r="S58" s="63">
        <f t="shared" si="9"/>
        <v>1.5747182948044038</v>
      </c>
      <c r="T58" s="63">
        <f t="shared" si="10"/>
        <v>-3.3354550943644119</v>
      </c>
    </row>
    <row r="59" spans="1:20" x14ac:dyDescent="0.3">
      <c r="A59" s="18" t="s">
        <v>57</v>
      </c>
      <c r="B59" s="18" t="s">
        <v>58</v>
      </c>
      <c r="C59" s="18" t="s">
        <v>46</v>
      </c>
      <c r="D59" s="18" t="s">
        <v>43</v>
      </c>
      <c r="E59" s="61">
        <v>2017</v>
      </c>
      <c r="F59" s="62">
        <v>-1681660000</v>
      </c>
      <c r="G59" s="62">
        <v>2616362000</v>
      </c>
      <c r="H59" s="62">
        <v>817078746</v>
      </c>
      <c r="I59" s="62">
        <v>1514538059</v>
      </c>
      <c r="J59" s="62">
        <f t="shared" si="0"/>
        <v>-2.0581370011550884</v>
      </c>
      <c r="K59" s="62">
        <f t="shared" si="1"/>
        <v>1.7274983513636484</v>
      </c>
      <c r="L59" s="63">
        <f t="shared" si="2"/>
        <v>2.5558210339783307</v>
      </c>
      <c r="M59" s="63">
        <f t="shared" si="3"/>
        <v>0.85360109587283284</v>
      </c>
      <c r="N59" s="63">
        <f t="shared" si="4"/>
        <v>1.8393505147587963</v>
      </c>
      <c r="O59" s="62">
        <f t="shared" si="5"/>
        <v>3.2020928372061706</v>
      </c>
      <c r="P59" s="62">
        <f t="shared" si="6"/>
        <v>5.2602298383612585</v>
      </c>
      <c r="Q59" s="62">
        <f t="shared" si="7"/>
        <v>-1.4745944858425222</v>
      </c>
      <c r="R59" s="63">
        <f t="shared" si="8"/>
        <v>2.5558210339783307</v>
      </c>
      <c r="S59" s="63">
        <f t="shared" si="9"/>
        <v>-0.71647051921953464</v>
      </c>
      <c r="T59" s="63">
        <f t="shared" si="10"/>
        <v>1.8393505147587961</v>
      </c>
    </row>
    <row r="60" spans="1:20" x14ac:dyDescent="0.3">
      <c r="A60" s="18" t="s">
        <v>57</v>
      </c>
      <c r="B60" s="18" t="s">
        <v>58</v>
      </c>
      <c r="C60" s="18" t="s">
        <v>46</v>
      </c>
      <c r="D60" s="18" t="s">
        <v>43</v>
      </c>
      <c r="E60" s="61">
        <v>2018</v>
      </c>
      <c r="F60" s="62">
        <v>2616362000</v>
      </c>
      <c r="G60" s="62">
        <v>-59432000</v>
      </c>
      <c r="H60" s="62">
        <v>1514538059</v>
      </c>
      <c r="I60" s="62">
        <v>1510954842</v>
      </c>
      <c r="J60" s="62">
        <f t="shared" si="0"/>
        <v>1.7274983513636484</v>
      </c>
      <c r="K60" s="62">
        <f t="shared" si="1"/>
        <v>-3.9334067668979351E-2</v>
      </c>
      <c r="L60" s="63">
        <f t="shared" si="2"/>
        <v>-1.0227155110798889</v>
      </c>
      <c r="M60" s="63">
        <f t="shared" si="3"/>
        <v>-2.3658811204558842E-3</v>
      </c>
      <c r="N60" s="63">
        <f t="shared" si="4"/>
        <v>-1.0227693807278773</v>
      </c>
      <c r="O60" s="62">
        <f t="shared" si="5"/>
        <v>-3.9241007940890575E-2</v>
      </c>
      <c r="P60" s="62">
        <f t="shared" si="6"/>
        <v>-1.7667393593045388</v>
      </c>
      <c r="Q60" s="62">
        <f t="shared" si="7"/>
        <v>-9.3059728088776272E-5</v>
      </c>
      <c r="R60" s="63">
        <f t="shared" si="8"/>
        <v>-1.0227155110798887</v>
      </c>
      <c r="S60" s="63">
        <f t="shared" si="9"/>
        <v>-5.3869647988559304E-5</v>
      </c>
      <c r="T60" s="63">
        <f t="shared" si="10"/>
        <v>-1.0227693807278773</v>
      </c>
    </row>
    <row r="61" spans="1:20" x14ac:dyDescent="0.3">
      <c r="A61" s="18" t="s">
        <v>57</v>
      </c>
      <c r="B61" s="18" t="s">
        <v>58</v>
      </c>
      <c r="C61" s="18" t="s">
        <v>46</v>
      </c>
      <c r="D61" s="18" t="s">
        <v>43</v>
      </c>
      <c r="E61" s="61">
        <v>2019</v>
      </c>
      <c r="F61" s="62">
        <v>-59432000</v>
      </c>
      <c r="G61" s="62">
        <v>797001000</v>
      </c>
      <c r="H61" s="62">
        <v>1510954842</v>
      </c>
      <c r="I61" s="62">
        <v>1511339224</v>
      </c>
      <c r="J61" s="62">
        <f t="shared" si="0"/>
        <v>-3.9334067668979351E-2</v>
      </c>
      <c r="K61" s="62">
        <f t="shared" si="1"/>
        <v>0.52734752552151054</v>
      </c>
      <c r="L61" s="63">
        <f t="shared" si="2"/>
        <v>14.410300848027999</v>
      </c>
      <c r="M61" s="63">
        <f t="shared" si="3"/>
        <v>2.5439674920476544E-4</v>
      </c>
      <c r="N61" s="63">
        <f t="shared" si="4"/>
        <v>14.406890178749578</v>
      </c>
      <c r="O61" s="62">
        <f t="shared" si="5"/>
        <v>0.52748168101770443</v>
      </c>
      <c r="P61" s="62">
        <f t="shared" si="6"/>
        <v>0.56681574868668383</v>
      </c>
      <c r="Q61" s="62">
        <f t="shared" si="7"/>
        <v>-1.3415549619388845E-4</v>
      </c>
      <c r="R61" s="63">
        <f t="shared" si="8"/>
        <v>14.410300848027999</v>
      </c>
      <c r="S61" s="63">
        <f t="shared" si="9"/>
        <v>-3.4106692784201826E-3</v>
      </c>
      <c r="T61" s="63">
        <f t="shared" si="10"/>
        <v>14.406890178749579</v>
      </c>
    </row>
    <row r="62" spans="1:20" x14ac:dyDescent="0.3">
      <c r="A62" s="18" t="s">
        <v>57</v>
      </c>
      <c r="B62" s="18" t="s">
        <v>58</v>
      </c>
      <c r="C62" s="18" t="s">
        <v>46</v>
      </c>
      <c r="D62" s="18" t="s">
        <v>43</v>
      </c>
      <c r="E62" s="61">
        <v>2020</v>
      </c>
      <c r="F62" s="62">
        <v>797001000</v>
      </c>
      <c r="G62" s="62">
        <v>20880000</v>
      </c>
      <c r="H62" s="62">
        <v>1511339224</v>
      </c>
      <c r="I62" s="62">
        <v>1509504749</v>
      </c>
      <c r="J62" s="62">
        <f t="shared" si="0"/>
        <v>0.52734752552151054</v>
      </c>
      <c r="K62" s="62">
        <f t="shared" si="1"/>
        <v>1.3832351315113352E-2</v>
      </c>
      <c r="L62" s="63">
        <f t="shared" si="2"/>
        <v>-0.97380178945823159</v>
      </c>
      <c r="M62" s="63">
        <f t="shared" si="3"/>
        <v>-1.2138075760018785E-3</v>
      </c>
      <c r="N62" s="63">
        <f t="shared" si="4"/>
        <v>-0.97376995122631105</v>
      </c>
      <c r="O62" s="62">
        <f t="shared" si="5"/>
        <v>1.3815561502293147E-2</v>
      </c>
      <c r="P62" s="62">
        <f t="shared" si="6"/>
        <v>-0.51353196401921741</v>
      </c>
      <c r="Q62" s="62">
        <f t="shared" si="7"/>
        <v>1.6789812820204933E-5</v>
      </c>
      <c r="R62" s="63">
        <f t="shared" si="8"/>
        <v>-0.97380178945823159</v>
      </c>
      <c r="S62" s="63">
        <f t="shared" si="9"/>
        <v>3.1838231920403837E-5</v>
      </c>
      <c r="T62" s="63">
        <f t="shared" si="10"/>
        <v>-0.97376995122631116</v>
      </c>
    </row>
    <row r="63" spans="1:20" x14ac:dyDescent="0.3">
      <c r="A63" s="18" t="s">
        <v>57</v>
      </c>
      <c r="B63" s="18" t="s">
        <v>58</v>
      </c>
      <c r="C63" s="18" t="s">
        <v>46</v>
      </c>
      <c r="D63" s="18" t="s">
        <v>43</v>
      </c>
      <c r="E63" s="61">
        <v>2021</v>
      </c>
      <c r="F63" s="62">
        <v>20880000</v>
      </c>
      <c r="G63" s="62">
        <v>569068000</v>
      </c>
      <c r="H63" s="62">
        <v>1509504749</v>
      </c>
      <c r="I63" s="62">
        <v>1510823282</v>
      </c>
      <c r="J63" s="62">
        <f t="shared" si="0"/>
        <v>1.3832351315113352E-2</v>
      </c>
      <c r="K63" s="62">
        <f t="shared" si="1"/>
        <v>0.37666086218017392</v>
      </c>
      <c r="L63" s="63">
        <f t="shared" si="2"/>
        <v>26.254214559386973</v>
      </c>
      <c r="M63" s="63">
        <f t="shared" si="3"/>
        <v>8.7348714926103218E-4</v>
      </c>
      <c r="N63" s="63">
        <f t="shared" si="4"/>
        <v>26.230429129473517</v>
      </c>
      <c r="O63" s="62">
        <f t="shared" si="5"/>
        <v>0.37698987060291783</v>
      </c>
      <c r="P63" s="62">
        <f t="shared" si="6"/>
        <v>0.36315751928780449</v>
      </c>
      <c r="Q63" s="62">
        <f t="shared" si="7"/>
        <v>-3.2900842274391495E-4</v>
      </c>
      <c r="R63" s="63">
        <f t="shared" si="8"/>
        <v>26.254214559386973</v>
      </c>
      <c r="S63" s="63">
        <f t="shared" si="9"/>
        <v>-2.3785429913454944E-2</v>
      </c>
      <c r="T63" s="63">
        <f t="shared" si="10"/>
        <v>26.230429129473517</v>
      </c>
    </row>
    <row r="64" spans="1:20" x14ac:dyDescent="0.3">
      <c r="A64" s="18" t="s">
        <v>57</v>
      </c>
      <c r="B64" s="18" t="s">
        <v>58</v>
      </c>
      <c r="C64" s="18" t="s">
        <v>46</v>
      </c>
      <c r="D64" s="18" t="s">
        <v>43</v>
      </c>
      <c r="E64" s="61">
        <v>2022</v>
      </c>
      <c r="F64" s="62">
        <v>569068000</v>
      </c>
      <c r="G64" s="62">
        <v>685047000</v>
      </c>
      <c r="H64" s="62">
        <v>1510823282</v>
      </c>
      <c r="I64" s="62">
        <v>1508790220</v>
      </c>
      <c r="J64" s="62">
        <f t="shared" si="0"/>
        <v>0.37666086218017392</v>
      </c>
      <c r="K64" s="62">
        <f t="shared" si="1"/>
        <v>0.45403727497650403</v>
      </c>
      <c r="L64" s="63">
        <f t="shared" si="2"/>
        <v>0.20380516915377425</v>
      </c>
      <c r="M64" s="63">
        <f t="shared" si="3"/>
        <v>-1.3456649922078709E-3</v>
      </c>
      <c r="N64" s="63">
        <f t="shared" si="4"/>
        <v>0.20542727043224757</v>
      </c>
      <c r="O64" s="62">
        <f t="shared" si="5"/>
        <v>0.4534262929104107</v>
      </c>
      <c r="P64" s="62">
        <f t="shared" si="6"/>
        <v>7.6765430730236783E-2</v>
      </c>
      <c r="Q64" s="62">
        <f t="shared" si="7"/>
        <v>6.1098206609333516E-4</v>
      </c>
      <c r="R64" s="63">
        <f t="shared" si="8"/>
        <v>0.20380516915377422</v>
      </c>
      <c r="S64" s="63">
        <f t="shared" si="9"/>
        <v>1.6221012784733519E-3</v>
      </c>
      <c r="T64" s="63">
        <f t="shared" si="10"/>
        <v>0.20542727043224757</v>
      </c>
    </row>
    <row r="65" spans="1:20" x14ac:dyDescent="0.3">
      <c r="A65" s="18" t="s">
        <v>57</v>
      </c>
      <c r="B65" s="18" t="s">
        <v>58</v>
      </c>
      <c r="C65" s="18" t="s">
        <v>46</v>
      </c>
      <c r="D65" s="18" t="s">
        <v>43</v>
      </c>
      <c r="E65" s="61">
        <v>2023</v>
      </c>
      <c r="F65" s="62">
        <v>685047000</v>
      </c>
      <c r="G65" s="62">
        <v>1264453000</v>
      </c>
      <c r="H65" s="62">
        <v>1508790220</v>
      </c>
      <c r="I65" s="62">
        <v>1507882573</v>
      </c>
      <c r="J65" s="62">
        <f t="shared" si="0"/>
        <v>0.45403727497650403</v>
      </c>
      <c r="K65" s="62">
        <f t="shared" si="1"/>
        <v>0.83856198263788806</v>
      </c>
      <c r="L65" s="63">
        <f t="shared" si="2"/>
        <v>0.84579014286610987</v>
      </c>
      <c r="M65" s="63">
        <f t="shared" si="3"/>
        <v>-6.0157269577211341E-4</v>
      </c>
      <c r="N65" s="63">
        <f t="shared" si="4"/>
        <v>0.84690118819271565</v>
      </c>
      <c r="O65" s="62">
        <f t="shared" si="5"/>
        <v>0.83805752664542055</v>
      </c>
      <c r="P65" s="62">
        <f t="shared" si="6"/>
        <v>0.38402025166891651</v>
      </c>
      <c r="Q65" s="62">
        <f t="shared" si="7"/>
        <v>5.0445599246751183E-4</v>
      </c>
      <c r="R65" s="63">
        <f t="shared" si="8"/>
        <v>0.84579014286610976</v>
      </c>
      <c r="S65" s="63">
        <f t="shared" si="9"/>
        <v>1.111045326605876E-3</v>
      </c>
      <c r="T65" s="63">
        <f t="shared" si="10"/>
        <v>0.84690118819271565</v>
      </c>
    </row>
    <row r="66" spans="1:20" x14ac:dyDescent="0.3">
      <c r="A66" s="18" t="s">
        <v>57</v>
      </c>
      <c r="B66" s="18" t="s">
        <v>58</v>
      </c>
      <c r="C66" s="18" t="s">
        <v>46</v>
      </c>
      <c r="D66" s="18" t="s">
        <v>43</v>
      </c>
      <c r="E66" s="61">
        <v>2024</v>
      </c>
      <c r="F66" s="62">
        <v>1264453000</v>
      </c>
      <c r="G66" s="62">
        <v>1920393000</v>
      </c>
      <c r="H66" s="62">
        <v>1507882573</v>
      </c>
      <c r="I66" s="62">
        <v>1505001132</v>
      </c>
      <c r="J66" s="62">
        <f t="shared" si="0"/>
        <v>0.83856198263788806</v>
      </c>
      <c r="K66" s="62">
        <f t="shared" si="1"/>
        <v>1.2760076781124972</v>
      </c>
      <c r="L66" s="63">
        <f t="shared" si="2"/>
        <v>0.51875395922189282</v>
      </c>
      <c r="M66" s="63">
        <f t="shared" si="3"/>
        <v>-1.9109186959215558E-3</v>
      </c>
      <c r="N66" s="63">
        <f t="shared" si="4"/>
        <v>0.52166173107266778</v>
      </c>
      <c r="O66" s="62">
        <f t="shared" si="5"/>
        <v>1.2735693311842526</v>
      </c>
      <c r="P66" s="62">
        <f t="shared" si="6"/>
        <v>0.43500734854636458</v>
      </c>
      <c r="Q66" s="62">
        <f t="shared" si="7"/>
        <v>2.4383469282445169E-3</v>
      </c>
      <c r="R66" s="63">
        <f t="shared" si="8"/>
        <v>0.51875395922189282</v>
      </c>
      <c r="S66" s="63">
        <f t="shared" si="9"/>
        <v>2.9077718507749904E-3</v>
      </c>
      <c r="T66" s="63">
        <f t="shared" si="10"/>
        <v>0.52166173107266778</v>
      </c>
    </row>
    <row r="67" spans="1:20" x14ac:dyDescent="0.3">
      <c r="A67" s="18" t="s">
        <v>59</v>
      </c>
      <c r="B67" s="18" t="s">
        <v>60</v>
      </c>
      <c r="C67" s="18" t="s">
        <v>46</v>
      </c>
      <c r="D67" s="18" t="s">
        <v>43</v>
      </c>
      <c r="E67" s="61">
        <v>2016</v>
      </c>
      <c r="F67" s="62">
        <v>220661000</v>
      </c>
      <c r="G67" s="62">
        <v>14299000</v>
      </c>
      <c r="H67" s="62">
        <v>710393574</v>
      </c>
      <c r="I67" s="62">
        <v>710393434</v>
      </c>
      <c r="J67" s="62">
        <f t="shared" si="0"/>
        <v>0.31061795612469884</v>
      </c>
      <c r="K67" s="62">
        <f t="shared" si="1"/>
        <v>2.012828288612814E-2</v>
      </c>
      <c r="L67" s="63">
        <f t="shared" si="2"/>
        <v>-0.93519924227661433</v>
      </c>
      <c r="M67" s="63">
        <f t="shared" si="3"/>
        <v>-1.9707385472493027E-7</v>
      </c>
      <c r="N67" s="63">
        <f t="shared" si="4"/>
        <v>-0.93519922950607659</v>
      </c>
      <c r="O67" s="62">
        <f t="shared" si="5"/>
        <v>2.0128278919369844E-2</v>
      </c>
      <c r="P67" s="62">
        <f t="shared" si="6"/>
        <v>-0.29048967720532898</v>
      </c>
      <c r="Q67" s="62">
        <f t="shared" si="7"/>
        <v>3.9667582968361259E-9</v>
      </c>
      <c r="R67" s="63">
        <f t="shared" si="8"/>
        <v>-0.93519924227661433</v>
      </c>
      <c r="S67" s="63">
        <f t="shared" si="9"/>
        <v>1.2770537628686394E-8</v>
      </c>
      <c r="T67" s="63">
        <f t="shared" si="10"/>
        <v>-0.9351992295060767</v>
      </c>
    </row>
    <row r="68" spans="1:20" x14ac:dyDescent="0.3">
      <c r="A68" s="18" t="s">
        <v>59</v>
      </c>
      <c r="B68" s="18" t="s">
        <v>60</v>
      </c>
      <c r="C68" s="18" t="s">
        <v>46</v>
      </c>
      <c r="D68" s="18" t="s">
        <v>43</v>
      </c>
      <c r="E68" s="61">
        <v>2017</v>
      </c>
      <c r="F68" s="62">
        <v>14299000</v>
      </c>
      <c r="G68" s="62">
        <v>176438000</v>
      </c>
      <c r="H68" s="62">
        <v>710393434</v>
      </c>
      <c r="I68" s="62">
        <v>710393434</v>
      </c>
      <c r="J68" s="62">
        <f t="shared" si="0"/>
        <v>2.012828288612814E-2</v>
      </c>
      <c r="K68" s="62">
        <f t="shared" si="1"/>
        <v>0.24836659737482877</v>
      </c>
      <c r="L68" s="63">
        <f t="shared" si="2"/>
        <v>11.339184558360724</v>
      </c>
      <c r="M68" s="63">
        <f t="shared" si="3"/>
        <v>0</v>
      </c>
      <c r="N68" s="63">
        <f t="shared" si="4"/>
        <v>11.339184558360724</v>
      </c>
      <c r="O68" s="62">
        <f t="shared" si="5"/>
        <v>0.24836659737482877</v>
      </c>
      <c r="P68" s="62">
        <f t="shared" si="6"/>
        <v>0.22823831448870063</v>
      </c>
      <c r="Q68" s="62">
        <f t="shared" si="7"/>
        <v>0</v>
      </c>
      <c r="R68" s="63">
        <f t="shared" si="8"/>
        <v>11.339184558360724</v>
      </c>
      <c r="S68" s="63">
        <f t="shared" si="9"/>
        <v>0</v>
      </c>
      <c r="T68" s="63">
        <f t="shared" si="10"/>
        <v>11.339184558360724</v>
      </c>
    </row>
    <row r="69" spans="1:20" x14ac:dyDescent="0.3">
      <c r="A69" s="18" t="s">
        <v>59</v>
      </c>
      <c r="B69" s="18" t="s">
        <v>60</v>
      </c>
      <c r="C69" s="18" t="s">
        <v>46</v>
      </c>
      <c r="D69" s="18" t="s">
        <v>43</v>
      </c>
      <c r="E69" s="61">
        <v>2018</v>
      </c>
      <c r="F69" s="62">
        <v>176438000</v>
      </c>
      <c r="G69" s="62">
        <v>401953000</v>
      </c>
      <c r="H69" s="62">
        <v>710393434</v>
      </c>
      <c r="I69" s="62">
        <v>710393574</v>
      </c>
      <c r="J69" s="62">
        <f t="shared" ref="J69:J132" si="11">F69/H69</f>
        <v>0.24836659737482877</v>
      </c>
      <c r="K69" s="62">
        <f t="shared" ref="K69:K132" si="12">G69/I69</f>
        <v>0.56581733663035638</v>
      </c>
      <c r="L69" s="63">
        <f t="shared" ref="L69:L132" si="13">IF(F69=0,"",((G69-F69)/ABS(F69)))</f>
        <v>1.2781543658395584</v>
      </c>
      <c r="M69" s="63">
        <f t="shared" ref="M69:M132" si="14">(I69-H69)/H69</f>
        <v>1.9707389356304214E-7</v>
      </c>
      <c r="N69" s="63">
        <f t="shared" ref="N69:N132" si="15">IF(J69=0,"",((K69-J69)/ABS(J69)))</f>
        <v>1.2781539168748957</v>
      </c>
      <c r="O69" s="62">
        <f t="shared" ref="O69:O132" si="16">G69/H69</f>
        <v>0.56581744813818202</v>
      </c>
      <c r="P69" s="62">
        <f t="shared" ref="P69:P132" si="17">O69-J69</f>
        <v>0.31745085076335322</v>
      </c>
      <c r="Q69" s="62">
        <f t="shared" ref="Q69:Q132" si="18">K69-O69</f>
        <v>-1.1150782563973394E-7</v>
      </c>
      <c r="R69" s="63">
        <f t="shared" ref="R69:R132" si="19">IF(J69=0,"",P69/ABS(J69))</f>
        <v>1.2781543658395584</v>
      </c>
      <c r="S69" s="63">
        <f t="shared" ref="S69:S132" si="20">IF(J69=0,"",Q69/ABS(J69))</f>
        <v>-4.4896466279420444E-7</v>
      </c>
      <c r="T69" s="63">
        <f t="shared" ref="T69:T132" si="21">R69+S69</f>
        <v>1.2781539168748957</v>
      </c>
    </row>
    <row r="70" spans="1:20" x14ac:dyDescent="0.3">
      <c r="A70" s="18" t="s">
        <v>59</v>
      </c>
      <c r="B70" s="18" t="s">
        <v>60</v>
      </c>
      <c r="C70" s="18" t="s">
        <v>46</v>
      </c>
      <c r="D70" s="18" t="s">
        <v>43</v>
      </c>
      <c r="E70" s="61">
        <v>2019</v>
      </c>
      <c r="F70" s="62">
        <v>401953000</v>
      </c>
      <c r="G70" s="62">
        <v>379583000</v>
      </c>
      <c r="H70" s="62">
        <v>710393574</v>
      </c>
      <c r="I70" s="62">
        <v>732071661</v>
      </c>
      <c r="J70" s="62">
        <f t="shared" si="11"/>
        <v>0.56581733663035638</v>
      </c>
      <c r="K70" s="62">
        <f t="shared" si="12"/>
        <v>0.51850525053994678</v>
      </c>
      <c r="L70" s="63">
        <f t="shared" si="13"/>
        <v>-5.5653272895089721E-2</v>
      </c>
      <c r="M70" s="63">
        <f t="shared" si="14"/>
        <v>3.0515601201088566E-2</v>
      </c>
      <c r="N70" s="63">
        <f t="shared" si="15"/>
        <v>-8.3617243635852365E-2</v>
      </c>
      <c r="O70" s="62">
        <f t="shared" si="16"/>
        <v>0.53432774998609434</v>
      </c>
      <c r="P70" s="62">
        <f t="shared" si="17"/>
        <v>-3.1489586644262046E-2</v>
      </c>
      <c r="Q70" s="62">
        <f t="shared" si="18"/>
        <v>-1.5822499446147553E-2</v>
      </c>
      <c r="R70" s="63">
        <f t="shared" si="19"/>
        <v>-5.565327289508968E-2</v>
      </c>
      <c r="S70" s="63">
        <f t="shared" si="20"/>
        <v>-2.7963970740762678E-2</v>
      </c>
      <c r="T70" s="63">
        <f t="shared" si="21"/>
        <v>-8.3617243635852351E-2</v>
      </c>
    </row>
    <row r="71" spans="1:20" x14ac:dyDescent="0.3">
      <c r="A71" s="18" t="s">
        <v>59</v>
      </c>
      <c r="B71" s="18" t="s">
        <v>60</v>
      </c>
      <c r="C71" s="18" t="s">
        <v>46</v>
      </c>
      <c r="D71" s="18" t="s">
        <v>43</v>
      </c>
      <c r="E71" s="61">
        <v>2020</v>
      </c>
      <c r="F71" s="62">
        <v>379583000</v>
      </c>
      <c r="G71" s="62">
        <v>236925000</v>
      </c>
      <c r="H71" s="62">
        <v>732071661</v>
      </c>
      <c r="I71" s="62">
        <v>679015111</v>
      </c>
      <c r="J71" s="62">
        <f t="shared" si="11"/>
        <v>0.51850525053994678</v>
      </c>
      <c r="K71" s="62">
        <f t="shared" si="12"/>
        <v>0.34892448807372711</v>
      </c>
      <c r="L71" s="63">
        <f t="shared" si="13"/>
        <v>-0.37582821148470824</v>
      </c>
      <c r="M71" s="63">
        <f t="shared" si="14"/>
        <v>-7.247453060472997E-2</v>
      </c>
      <c r="N71" s="63">
        <f t="shared" si="15"/>
        <v>-0.32705698214169732</v>
      </c>
      <c r="O71" s="62">
        <f t="shared" si="16"/>
        <v>0.32363634958408805</v>
      </c>
      <c r="P71" s="62">
        <f t="shared" si="17"/>
        <v>-0.19486890095585874</v>
      </c>
      <c r="Q71" s="62">
        <f t="shared" si="18"/>
        <v>2.5288138489639067E-2</v>
      </c>
      <c r="R71" s="63">
        <f t="shared" si="19"/>
        <v>-0.37582821148470824</v>
      </c>
      <c r="S71" s="63">
        <f t="shared" si="20"/>
        <v>4.877122934301089E-2</v>
      </c>
      <c r="T71" s="63">
        <f t="shared" si="21"/>
        <v>-0.32705698214169737</v>
      </c>
    </row>
    <row r="72" spans="1:20" x14ac:dyDescent="0.3">
      <c r="A72" s="18" t="s">
        <v>59</v>
      </c>
      <c r="B72" s="18" t="s">
        <v>60</v>
      </c>
      <c r="C72" s="18" t="s">
        <v>46</v>
      </c>
      <c r="D72" s="18" t="s">
        <v>43</v>
      </c>
      <c r="E72" s="61">
        <v>2021</v>
      </c>
      <c r="F72" s="62">
        <v>236925000</v>
      </c>
      <c r="G72" s="62">
        <v>525123000</v>
      </c>
      <c r="H72" s="62">
        <v>679015111</v>
      </c>
      <c r="I72" s="62">
        <v>1412323581</v>
      </c>
      <c r="J72" s="62">
        <f t="shared" si="11"/>
        <v>0.34892448807372711</v>
      </c>
      <c r="K72" s="62">
        <f t="shared" si="12"/>
        <v>0.37181493466828974</v>
      </c>
      <c r="L72" s="63">
        <f t="shared" si="13"/>
        <v>1.2164102564102564</v>
      </c>
      <c r="M72" s="63">
        <f t="shared" si="14"/>
        <v>1.0799589848892184</v>
      </c>
      <c r="N72" s="63">
        <f t="shared" si="15"/>
        <v>6.5602866456669906E-2</v>
      </c>
      <c r="O72" s="62">
        <f t="shared" si="16"/>
        <v>0.77335981407930698</v>
      </c>
      <c r="P72" s="62">
        <f t="shared" si="17"/>
        <v>0.42443532600557987</v>
      </c>
      <c r="Q72" s="62">
        <f t="shared" si="18"/>
        <v>-0.40154487941101724</v>
      </c>
      <c r="R72" s="63">
        <f t="shared" si="19"/>
        <v>1.2164102564102566</v>
      </c>
      <c r="S72" s="63">
        <f t="shared" si="20"/>
        <v>-1.1508073899535867</v>
      </c>
      <c r="T72" s="63">
        <f t="shared" si="21"/>
        <v>6.5602866456669906E-2</v>
      </c>
    </row>
    <row r="73" spans="1:20" x14ac:dyDescent="0.3">
      <c r="A73" s="18" t="s">
        <v>59</v>
      </c>
      <c r="B73" s="18" t="s">
        <v>60</v>
      </c>
      <c r="C73" s="18" t="s">
        <v>46</v>
      </c>
      <c r="D73" s="18" t="s">
        <v>43</v>
      </c>
      <c r="E73" s="61">
        <v>2022</v>
      </c>
      <c r="F73" s="62">
        <v>525123000</v>
      </c>
      <c r="G73" s="62">
        <v>1448975000</v>
      </c>
      <c r="H73" s="62">
        <v>1412323581</v>
      </c>
      <c r="I73" s="62">
        <v>1411912243</v>
      </c>
      <c r="J73" s="62">
        <f t="shared" si="11"/>
        <v>0.37181493466828974</v>
      </c>
      <c r="K73" s="62">
        <f t="shared" si="12"/>
        <v>1.026250042935565</v>
      </c>
      <c r="L73" s="63">
        <f t="shared" si="13"/>
        <v>1.7593059149951535</v>
      </c>
      <c r="M73" s="63">
        <f t="shared" si="14"/>
        <v>-2.9124911991397246E-4</v>
      </c>
      <c r="N73" s="63">
        <f t="shared" si="15"/>
        <v>1.7601097945436799</v>
      </c>
      <c r="O73" s="62">
        <f t="shared" si="16"/>
        <v>1.0259511485137485</v>
      </c>
      <c r="P73" s="62">
        <f t="shared" si="17"/>
        <v>0.65413621384545872</v>
      </c>
      <c r="Q73" s="62">
        <f t="shared" si="18"/>
        <v>2.9889442181652015E-4</v>
      </c>
      <c r="R73" s="63">
        <f t="shared" si="19"/>
        <v>1.7593059149951535</v>
      </c>
      <c r="S73" s="63">
        <f t="shared" si="20"/>
        <v>8.0387954852640666E-4</v>
      </c>
      <c r="T73" s="63">
        <f t="shared" si="21"/>
        <v>1.7601097945436799</v>
      </c>
    </row>
    <row r="74" spans="1:20" x14ac:dyDescent="0.3">
      <c r="A74" s="18" t="s">
        <v>59</v>
      </c>
      <c r="B74" s="18" t="s">
        <v>60</v>
      </c>
      <c r="C74" s="18" t="s">
        <v>46</v>
      </c>
      <c r="D74" s="18" t="s">
        <v>43</v>
      </c>
      <c r="E74" s="61">
        <v>2023</v>
      </c>
      <c r="F74" s="62">
        <v>1448975000</v>
      </c>
      <c r="G74" s="62">
        <v>1519496000</v>
      </c>
      <c r="H74" s="62">
        <v>1411912243</v>
      </c>
      <c r="I74" s="62">
        <v>1415172121</v>
      </c>
      <c r="J74" s="62">
        <f t="shared" si="11"/>
        <v>1.026250042935565</v>
      </c>
      <c r="K74" s="62">
        <f t="shared" si="12"/>
        <v>1.0737181558708786</v>
      </c>
      <c r="L74" s="63">
        <f t="shared" si="13"/>
        <v>4.866957676978554E-2</v>
      </c>
      <c r="M74" s="63">
        <f t="shared" si="14"/>
        <v>2.3088389637258779E-3</v>
      </c>
      <c r="N74" s="63">
        <f t="shared" si="15"/>
        <v>4.625394489585808E-2</v>
      </c>
      <c r="O74" s="62">
        <f t="shared" si="16"/>
        <v>1.0761971981852132</v>
      </c>
      <c r="P74" s="62">
        <f t="shared" si="17"/>
        <v>4.9947155249648212E-2</v>
      </c>
      <c r="Q74" s="62">
        <f t="shared" si="18"/>
        <v>-2.4790423143346008E-3</v>
      </c>
      <c r="R74" s="63">
        <f t="shared" si="19"/>
        <v>4.8669576769785568E-2</v>
      </c>
      <c r="S74" s="63">
        <f t="shared" si="20"/>
        <v>-2.4156318739274852E-3</v>
      </c>
      <c r="T74" s="63">
        <f t="shared" si="21"/>
        <v>4.625394489585808E-2</v>
      </c>
    </row>
    <row r="75" spans="1:20" x14ac:dyDescent="0.3">
      <c r="A75" s="18" t="s">
        <v>59</v>
      </c>
      <c r="B75" s="18" t="s">
        <v>60</v>
      </c>
      <c r="C75" s="18" t="s">
        <v>46</v>
      </c>
      <c r="D75" s="18" t="s">
        <v>43</v>
      </c>
      <c r="E75" s="61">
        <v>2024</v>
      </c>
      <c r="F75" s="62">
        <v>1519496000</v>
      </c>
      <c r="G75" s="62">
        <v>1402649000</v>
      </c>
      <c r="H75" s="62">
        <v>1415172121</v>
      </c>
      <c r="I75" s="62">
        <v>1414585000</v>
      </c>
      <c r="J75" s="62">
        <f t="shared" si="11"/>
        <v>1.0737181558708786</v>
      </c>
      <c r="K75" s="62">
        <f t="shared" si="12"/>
        <v>0.99156218961744969</v>
      </c>
      <c r="L75" s="63">
        <f t="shared" si="13"/>
        <v>-7.6898524247513644E-2</v>
      </c>
      <c r="M75" s="63">
        <f t="shared" si="14"/>
        <v>-4.1487603612847034E-4</v>
      </c>
      <c r="N75" s="63">
        <f t="shared" si="15"/>
        <v>-7.6515392614175642E-2</v>
      </c>
      <c r="O75" s="62">
        <f t="shared" si="16"/>
        <v>0.9911508142266463</v>
      </c>
      <c r="P75" s="62">
        <f t="shared" si="17"/>
        <v>-8.2567341644232295E-2</v>
      </c>
      <c r="Q75" s="62">
        <f t="shared" si="18"/>
        <v>4.1137539080338126E-4</v>
      </c>
      <c r="R75" s="63">
        <f t="shared" si="19"/>
        <v>-7.6898524247513547E-2</v>
      </c>
      <c r="S75" s="63">
        <f t="shared" si="20"/>
        <v>3.831316333379127E-4</v>
      </c>
      <c r="T75" s="63">
        <f t="shared" si="21"/>
        <v>-7.6515392614175629E-2</v>
      </c>
    </row>
    <row r="76" spans="1:20" x14ac:dyDescent="0.3">
      <c r="A76" s="18" t="s">
        <v>61</v>
      </c>
      <c r="B76" s="18" t="s">
        <v>62</v>
      </c>
      <c r="C76" s="18" t="s">
        <v>46</v>
      </c>
      <c r="D76" s="18" t="s">
        <v>43</v>
      </c>
      <c r="E76" s="61">
        <v>2016</v>
      </c>
      <c r="F76" s="62">
        <v>125330000</v>
      </c>
      <c r="G76" s="62">
        <v>145866000</v>
      </c>
      <c r="H76" s="62">
        <v>205531808</v>
      </c>
      <c r="I76" s="62">
        <v>205531808</v>
      </c>
      <c r="J76" s="62">
        <f t="shared" si="11"/>
        <v>0.60978396103049903</v>
      </c>
      <c r="K76" s="62">
        <f t="shared" si="12"/>
        <v>0.7097003691029663</v>
      </c>
      <c r="L76" s="63">
        <f t="shared" si="13"/>
        <v>0.16385542168674699</v>
      </c>
      <c r="M76" s="63">
        <f t="shared" si="14"/>
        <v>0</v>
      </c>
      <c r="N76" s="63">
        <f t="shared" si="15"/>
        <v>0.16385542168674691</v>
      </c>
      <c r="O76" s="62">
        <f t="shared" si="16"/>
        <v>0.7097003691029663</v>
      </c>
      <c r="P76" s="62">
        <f t="shared" si="17"/>
        <v>9.9916408072467267E-2</v>
      </c>
      <c r="Q76" s="62">
        <f t="shared" si="18"/>
        <v>0</v>
      </c>
      <c r="R76" s="63">
        <f t="shared" si="19"/>
        <v>0.16385542168674691</v>
      </c>
      <c r="S76" s="63">
        <f t="shared" si="20"/>
        <v>0</v>
      </c>
      <c r="T76" s="63">
        <f t="shared" si="21"/>
        <v>0.16385542168674691</v>
      </c>
    </row>
    <row r="77" spans="1:20" x14ac:dyDescent="0.3">
      <c r="A77" s="18" t="s">
        <v>61</v>
      </c>
      <c r="B77" s="18" t="s">
        <v>62</v>
      </c>
      <c r="C77" s="18" t="s">
        <v>46</v>
      </c>
      <c r="D77" s="18" t="s">
        <v>43</v>
      </c>
      <c r="E77" s="61">
        <v>2017</v>
      </c>
      <c r="F77" s="62">
        <v>145866000</v>
      </c>
      <c r="G77" s="62">
        <v>391622000</v>
      </c>
      <c r="H77" s="62">
        <v>205531808</v>
      </c>
      <c r="I77" s="62">
        <v>205806808</v>
      </c>
      <c r="J77" s="62">
        <f t="shared" si="11"/>
        <v>0.7097003691029663</v>
      </c>
      <c r="K77" s="62">
        <f t="shared" si="12"/>
        <v>1.9028622221282399</v>
      </c>
      <c r="L77" s="63">
        <f t="shared" si="13"/>
        <v>1.6848066033208562</v>
      </c>
      <c r="M77" s="63">
        <f t="shared" si="14"/>
        <v>1.3379924142933634E-3</v>
      </c>
      <c r="N77" s="63">
        <f t="shared" si="15"/>
        <v>1.6812191524338413</v>
      </c>
      <c r="O77" s="62">
        <f t="shared" si="16"/>
        <v>1.9054082373468928</v>
      </c>
      <c r="P77" s="62">
        <f t="shared" si="17"/>
        <v>1.1957078682439266</v>
      </c>
      <c r="Q77" s="62">
        <f t="shared" si="18"/>
        <v>-2.5460152186529417E-3</v>
      </c>
      <c r="R77" s="63">
        <f t="shared" si="19"/>
        <v>1.6848066033208562</v>
      </c>
      <c r="S77" s="63">
        <f t="shared" si="20"/>
        <v>-3.5874508870144821E-3</v>
      </c>
      <c r="T77" s="63">
        <f t="shared" si="21"/>
        <v>1.6812191524338418</v>
      </c>
    </row>
    <row r="78" spans="1:20" x14ac:dyDescent="0.3">
      <c r="A78" s="18" t="s">
        <v>61</v>
      </c>
      <c r="B78" s="18" t="s">
        <v>62</v>
      </c>
      <c r="C78" s="18" t="s">
        <v>46</v>
      </c>
      <c r="D78" s="18" t="s">
        <v>43</v>
      </c>
      <c r="E78" s="61">
        <v>2018</v>
      </c>
      <c r="F78" s="62">
        <v>391622000</v>
      </c>
      <c r="G78" s="62">
        <v>382133000</v>
      </c>
      <c r="H78" s="62">
        <v>205806808</v>
      </c>
      <c r="I78" s="62">
        <v>204756665</v>
      </c>
      <c r="J78" s="62">
        <f t="shared" si="11"/>
        <v>1.9028622221282399</v>
      </c>
      <c r="K78" s="62">
        <f t="shared" si="12"/>
        <v>1.866278687436133</v>
      </c>
      <c r="L78" s="63">
        <f t="shared" si="13"/>
        <v>-2.4229997293308343E-2</v>
      </c>
      <c r="M78" s="63">
        <f t="shared" si="14"/>
        <v>-5.1025668694108508E-3</v>
      </c>
      <c r="N78" s="63">
        <f t="shared" si="15"/>
        <v>-1.9225529976200958E-2</v>
      </c>
      <c r="O78" s="62">
        <f t="shared" si="16"/>
        <v>1.8567558756365339</v>
      </c>
      <c r="P78" s="62">
        <f t="shared" si="17"/>
        <v>-4.6106346491705974E-2</v>
      </c>
      <c r="Q78" s="62">
        <f t="shared" si="18"/>
        <v>9.522811799599129E-3</v>
      </c>
      <c r="R78" s="63">
        <f t="shared" si="19"/>
        <v>-2.4229997293308356E-2</v>
      </c>
      <c r="S78" s="63">
        <f t="shared" si="20"/>
        <v>5.0044673171073953E-3</v>
      </c>
      <c r="T78" s="63">
        <f t="shared" si="21"/>
        <v>-1.9225529976200962E-2</v>
      </c>
    </row>
    <row r="79" spans="1:20" x14ac:dyDescent="0.3">
      <c r="A79" s="18" t="s">
        <v>61</v>
      </c>
      <c r="B79" s="18" t="s">
        <v>62</v>
      </c>
      <c r="C79" s="18" t="s">
        <v>46</v>
      </c>
      <c r="D79" s="18" t="s">
        <v>43</v>
      </c>
      <c r="E79" s="61">
        <v>2019</v>
      </c>
      <c r="F79" s="62">
        <v>382133000</v>
      </c>
      <c r="G79" s="62">
        <v>385671000</v>
      </c>
      <c r="H79" s="62">
        <v>204756665</v>
      </c>
      <c r="I79" s="62">
        <v>204835151</v>
      </c>
      <c r="J79" s="62">
        <f t="shared" si="11"/>
        <v>1.866278687436133</v>
      </c>
      <c r="K79" s="62">
        <f t="shared" si="12"/>
        <v>1.8828360177301795</v>
      </c>
      <c r="L79" s="63">
        <f t="shared" si="13"/>
        <v>9.2585565758518638E-3</v>
      </c>
      <c r="M79" s="63">
        <f t="shared" si="14"/>
        <v>3.8331352974517338E-4</v>
      </c>
      <c r="N79" s="63">
        <f t="shared" si="15"/>
        <v>8.8718423489005886E-3</v>
      </c>
      <c r="O79" s="62">
        <f t="shared" si="16"/>
        <v>1.8835577342500671</v>
      </c>
      <c r="P79" s="62">
        <f t="shared" si="17"/>
        <v>1.7279046813934107E-2</v>
      </c>
      <c r="Q79" s="62">
        <f t="shared" si="18"/>
        <v>-7.2171651988761631E-4</v>
      </c>
      <c r="R79" s="63">
        <f t="shared" si="19"/>
        <v>9.2585565758519246E-3</v>
      </c>
      <c r="S79" s="63">
        <f t="shared" si="20"/>
        <v>-3.8671422695133497E-4</v>
      </c>
      <c r="T79" s="63">
        <f t="shared" si="21"/>
        <v>8.8718423489005903E-3</v>
      </c>
    </row>
    <row r="80" spans="1:20" x14ac:dyDescent="0.3">
      <c r="A80" s="18" t="s">
        <v>61</v>
      </c>
      <c r="B80" s="18" t="s">
        <v>62</v>
      </c>
      <c r="C80" s="18" t="s">
        <v>46</v>
      </c>
      <c r="D80" s="18" t="s">
        <v>43</v>
      </c>
      <c r="E80" s="61">
        <v>2020</v>
      </c>
      <c r="F80" s="62">
        <v>385671000</v>
      </c>
      <c r="G80" s="62">
        <v>560246000</v>
      </c>
      <c r="H80" s="62">
        <v>204835151</v>
      </c>
      <c r="I80" s="62">
        <v>205698335</v>
      </c>
      <c r="J80" s="62">
        <f t="shared" si="11"/>
        <v>1.8828360177301795</v>
      </c>
      <c r="K80" s="62">
        <f t="shared" si="12"/>
        <v>2.7236292408492271</v>
      </c>
      <c r="L80" s="63">
        <f t="shared" si="13"/>
        <v>0.45265264953807777</v>
      </c>
      <c r="M80" s="63">
        <f t="shared" si="14"/>
        <v>4.214042344714555E-3</v>
      </c>
      <c r="N80" s="63">
        <f t="shared" si="15"/>
        <v>0.44655679793753433</v>
      </c>
      <c r="O80" s="62">
        <f t="shared" si="16"/>
        <v>2.7351067298014686</v>
      </c>
      <c r="P80" s="62">
        <f t="shared" si="17"/>
        <v>0.85227071207128913</v>
      </c>
      <c r="Q80" s="62">
        <f t="shared" si="18"/>
        <v>-1.1477488952241544E-2</v>
      </c>
      <c r="R80" s="63">
        <f t="shared" si="19"/>
        <v>0.45265264953807788</v>
      </c>
      <c r="S80" s="63">
        <f t="shared" si="20"/>
        <v>-6.0958516005435422E-3</v>
      </c>
      <c r="T80" s="63">
        <f t="shared" si="21"/>
        <v>0.44655679793753433</v>
      </c>
    </row>
    <row r="81" spans="1:20" x14ac:dyDescent="0.3">
      <c r="A81" s="18" t="s">
        <v>61</v>
      </c>
      <c r="B81" s="18" t="s">
        <v>62</v>
      </c>
      <c r="C81" s="18" t="s">
        <v>46</v>
      </c>
      <c r="D81" s="18" t="s">
        <v>43</v>
      </c>
      <c r="E81" s="61">
        <v>2021</v>
      </c>
      <c r="F81" s="62">
        <v>560246000</v>
      </c>
      <c r="G81" s="62">
        <v>541903000</v>
      </c>
      <c r="H81" s="62">
        <v>205698335</v>
      </c>
      <c r="I81" s="62">
        <v>192131838</v>
      </c>
      <c r="J81" s="62">
        <f t="shared" si="11"/>
        <v>2.7236292408492271</v>
      </c>
      <c r="K81" s="62">
        <f t="shared" si="12"/>
        <v>2.8204747617102379</v>
      </c>
      <c r="L81" s="63">
        <f t="shared" si="13"/>
        <v>-3.2740974500487283E-2</v>
      </c>
      <c r="M81" s="63">
        <f t="shared" si="14"/>
        <v>-6.5953363210256424E-2</v>
      </c>
      <c r="N81" s="63">
        <f t="shared" si="15"/>
        <v>3.5557527217182625E-2</v>
      </c>
      <c r="O81" s="62">
        <f t="shared" si="16"/>
        <v>2.6344549653258009</v>
      </c>
      <c r="P81" s="62">
        <f t="shared" si="17"/>
        <v>-8.9174275523426161E-2</v>
      </c>
      <c r="Q81" s="62">
        <f t="shared" si="18"/>
        <v>0.186019796384437</v>
      </c>
      <c r="R81" s="63">
        <f t="shared" si="19"/>
        <v>-3.274097450048731E-2</v>
      </c>
      <c r="S81" s="63">
        <f t="shared" si="20"/>
        <v>6.8298501717669935E-2</v>
      </c>
      <c r="T81" s="63">
        <f t="shared" si="21"/>
        <v>3.5557527217182625E-2</v>
      </c>
    </row>
    <row r="82" spans="1:20" x14ac:dyDescent="0.3">
      <c r="A82" s="18" t="s">
        <v>61</v>
      </c>
      <c r="B82" s="18" t="s">
        <v>62</v>
      </c>
      <c r="C82" s="18" t="s">
        <v>46</v>
      </c>
      <c r="D82" s="18" t="s">
        <v>43</v>
      </c>
      <c r="E82" s="61">
        <v>2022</v>
      </c>
      <c r="F82" s="62">
        <v>541903000</v>
      </c>
      <c r="G82" s="62">
        <v>458786000</v>
      </c>
      <c r="H82" s="62">
        <v>192131838</v>
      </c>
      <c r="I82" s="62">
        <v>186377503</v>
      </c>
      <c r="J82" s="62">
        <f t="shared" si="11"/>
        <v>2.8204747617102379</v>
      </c>
      <c r="K82" s="62">
        <f t="shared" si="12"/>
        <v>2.4615953782791049</v>
      </c>
      <c r="L82" s="63">
        <f t="shared" si="13"/>
        <v>-0.15337984842305727</v>
      </c>
      <c r="M82" s="63">
        <f t="shared" si="14"/>
        <v>-2.9949929485398458E-2</v>
      </c>
      <c r="N82" s="63">
        <f t="shared" si="15"/>
        <v>-0.12724077105852952</v>
      </c>
      <c r="O82" s="62">
        <f t="shared" si="16"/>
        <v>2.387870770278063</v>
      </c>
      <c r="P82" s="62">
        <f t="shared" si="17"/>
        <v>-0.43260399143217487</v>
      </c>
      <c r="Q82" s="62">
        <f t="shared" si="18"/>
        <v>7.3724608001041858E-2</v>
      </c>
      <c r="R82" s="63">
        <f t="shared" si="19"/>
        <v>-0.15337984842305727</v>
      </c>
      <c r="S82" s="63">
        <f t="shared" si="20"/>
        <v>2.6139077364527741E-2</v>
      </c>
      <c r="T82" s="63">
        <f t="shared" si="21"/>
        <v>-0.12724077105852952</v>
      </c>
    </row>
    <row r="83" spans="1:20" x14ac:dyDescent="0.3">
      <c r="A83" s="18" t="s">
        <v>61</v>
      </c>
      <c r="B83" s="18" t="s">
        <v>62</v>
      </c>
      <c r="C83" s="18" t="s">
        <v>46</v>
      </c>
      <c r="D83" s="18" t="s">
        <v>43</v>
      </c>
      <c r="E83" s="61">
        <v>2023</v>
      </c>
      <c r="F83" s="62">
        <v>458786000</v>
      </c>
      <c r="G83" s="62">
        <v>966545000</v>
      </c>
      <c r="H83" s="62">
        <v>186377503</v>
      </c>
      <c r="I83" s="62">
        <v>185131873</v>
      </c>
      <c r="J83" s="62">
        <f t="shared" si="11"/>
        <v>2.4615953782791049</v>
      </c>
      <c r="K83" s="62">
        <f t="shared" si="12"/>
        <v>5.2208460074295253</v>
      </c>
      <c r="L83" s="63">
        <f t="shared" si="13"/>
        <v>1.1067447568147242</v>
      </c>
      <c r="M83" s="63">
        <f t="shared" si="14"/>
        <v>-6.6833710074976167E-3</v>
      </c>
      <c r="N83" s="63">
        <f t="shared" si="15"/>
        <v>1.1209196497108334</v>
      </c>
      <c r="O83" s="62">
        <f t="shared" si="16"/>
        <v>5.1859531565888615</v>
      </c>
      <c r="P83" s="62">
        <f t="shared" si="17"/>
        <v>2.7243577783097566</v>
      </c>
      <c r="Q83" s="62">
        <f t="shared" si="18"/>
        <v>3.4892850840663847E-2</v>
      </c>
      <c r="R83" s="63">
        <f t="shared" si="19"/>
        <v>1.106744756814724</v>
      </c>
      <c r="S83" s="63">
        <f t="shared" si="20"/>
        <v>1.4174892896109251E-2</v>
      </c>
      <c r="T83" s="63">
        <f t="shared" si="21"/>
        <v>1.1209196497108331</v>
      </c>
    </row>
    <row r="84" spans="1:20" x14ac:dyDescent="0.3">
      <c r="A84" s="18" t="s">
        <v>61</v>
      </c>
      <c r="B84" s="18" t="s">
        <v>62</v>
      </c>
      <c r="C84" s="18" t="s">
        <v>46</v>
      </c>
      <c r="D84" s="18" t="s">
        <v>43</v>
      </c>
      <c r="E84" s="61">
        <v>2024</v>
      </c>
      <c r="F84" s="62">
        <v>966545000</v>
      </c>
      <c r="G84" s="62">
        <v>942316000</v>
      </c>
      <c r="H84" s="62">
        <v>185131873</v>
      </c>
      <c r="I84" s="62">
        <v>183319589</v>
      </c>
      <c r="J84" s="62">
        <f t="shared" si="11"/>
        <v>5.2208460074295253</v>
      </c>
      <c r="K84" s="62">
        <f t="shared" si="12"/>
        <v>5.1402908174750488</v>
      </c>
      <c r="L84" s="63">
        <f t="shared" si="13"/>
        <v>-2.5067637823381218E-2</v>
      </c>
      <c r="M84" s="63">
        <f t="shared" si="14"/>
        <v>-9.7891517577851118E-3</v>
      </c>
      <c r="N84" s="63">
        <f t="shared" si="15"/>
        <v>-1.5429528057299996E-2</v>
      </c>
      <c r="O84" s="62">
        <f t="shared" si="16"/>
        <v>5.0899717305836365</v>
      </c>
      <c r="P84" s="62">
        <f t="shared" si="17"/>
        <v>-0.13087427684588882</v>
      </c>
      <c r="Q84" s="62">
        <f t="shared" si="18"/>
        <v>5.031908689141229E-2</v>
      </c>
      <c r="R84" s="63">
        <f t="shared" si="19"/>
        <v>-2.5067637823381148E-2</v>
      </c>
      <c r="S84" s="63">
        <f t="shared" si="20"/>
        <v>9.6381097660811505E-3</v>
      </c>
      <c r="T84" s="63">
        <f t="shared" si="21"/>
        <v>-1.5429528057299998E-2</v>
      </c>
    </row>
    <row r="85" spans="1:20" x14ac:dyDescent="0.3">
      <c r="A85" s="18" t="s">
        <v>63</v>
      </c>
      <c r="B85" s="18" t="s">
        <v>64</v>
      </c>
      <c r="C85" s="18" t="s">
        <v>46</v>
      </c>
      <c r="D85" s="18" t="s">
        <v>43</v>
      </c>
      <c r="E85" s="61">
        <v>2016</v>
      </c>
      <c r="F85" s="62">
        <v>175400000</v>
      </c>
      <c r="G85" s="62">
        <v>166300000</v>
      </c>
      <c r="H85" s="62">
        <v>1156034398</v>
      </c>
      <c r="I85" s="62">
        <v>1157508450</v>
      </c>
      <c r="J85" s="62">
        <f t="shared" si="11"/>
        <v>0.15172558905120054</v>
      </c>
      <c r="K85" s="62">
        <f t="shared" si="12"/>
        <v>0.14367065743666926</v>
      </c>
      <c r="L85" s="63">
        <f t="shared" si="13"/>
        <v>-5.1881413911060437E-2</v>
      </c>
      <c r="M85" s="63">
        <f t="shared" si="14"/>
        <v>1.2750935461351212E-3</v>
      </c>
      <c r="N85" s="63">
        <f t="shared" si="15"/>
        <v>-5.3088814252769838E-2</v>
      </c>
      <c r="O85" s="62">
        <f t="shared" si="16"/>
        <v>0.14385385096473574</v>
      </c>
      <c r="P85" s="62">
        <f t="shared" si="17"/>
        <v>-7.8717380864647968E-3</v>
      </c>
      <c r="Q85" s="62">
        <f t="shared" si="18"/>
        <v>-1.831935280664776E-4</v>
      </c>
      <c r="R85" s="63">
        <f t="shared" si="19"/>
        <v>-5.1881413911060451E-2</v>
      </c>
      <c r="S85" s="63">
        <f t="shared" si="20"/>
        <v>-1.2074003417093873E-3</v>
      </c>
      <c r="T85" s="63">
        <f t="shared" si="21"/>
        <v>-5.3088814252769838E-2</v>
      </c>
    </row>
    <row r="86" spans="1:20" x14ac:dyDescent="0.3">
      <c r="A86" s="18" t="s">
        <v>63</v>
      </c>
      <c r="B86" s="18" t="s">
        <v>64</v>
      </c>
      <c r="C86" s="18" t="s">
        <v>46</v>
      </c>
      <c r="D86" s="18" t="s">
        <v>43</v>
      </c>
      <c r="E86" s="61">
        <v>2017</v>
      </c>
      <c r="F86" s="62">
        <v>166300000</v>
      </c>
      <c r="G86" s="62">
        <v>356400000</v>
      </c>
      <c r="H86" s="62">
        <v>1157508450</v>
      </c>
      <c r="I86" s="62">
        <v>1160785339</v>
      </c>
      <c r="J86" s="62">
        <f t="shared" si="11"/>
        <v>0.14367065743666926</v>
      </c>
      <c r="K86" s="62">
        <f t="shared" si="12"/>
        <v>0.30703351259332196</v>
      </c>
      <c r="L86" s="63">
        <f t="shared" si="13"/>
        <v>1.143114852675887</v>
      </c>
      <c r="M86" s="63">
        <f t="shared" si="14"/>
        <v>2.8309849487491863E-3</v>
      </c>
      <c r="N86" s="63">
        <f t="shared" si="15"/>
        <v>1.1370648542390351</v>
      </c>
      <c r="O86" s="62">
        <f t="shared" si="16"/>
        <v>0.30790271984623524</v>
      </c>
      <c r="P86" s="62">
        <f t="shared" si="17"/>
        <v>0.16423206240956598</v>
      </c>
      <c r="Q86" s="62">
        <f t="shared" si="18"/>
        <v>-8.6920725291328438E-4</v>
      </c>
      <c r="R86" s="63">
        <f t="shared" si="19"/>
        <v>1.1431148526758868</v>
      </c>
      <c r="S86" s="63">
        <f t="shared" si="20"/>
        <v>-6.0499984368515558E-3</v>
      </c>
      <c r="T86" s="63">
        <f t="shared" si="21"/>
        <v>1.1370648542390351</v>
      </c>
    </row>
    <row r="87" spans="1:20" x14ac:dyDescent="0.3">
      <c r="A87" s="18" t="s">
        <v>63</v>
      </c>
      <c r="B87" s="18" t="s">
        <v>64</v>
      </c>
      <c r="C87" s="18" t="s">
        <v>46</v>
      </c>
      <c r="D87" s="18" t="s">
        <v>43</v>
      </c>
      <c r="E87" s="61">
        <v>2018</v>
      </c>
      <c r="F87" s="62">
        <v>356400000</v>
      </c>
      <c r="G87" s="62">
        <v>296300000</v>
      </c>
      <c r="H87" s="62">
        <v>1160785339</v>
      </c>
      <c r="I87" s="62">
        <v>1154903852</v>
      </c>
      <c r="J87" s="62">
        <f t="shared" si="11"/>
        <v>0.30703351259332196</v>
      </c>
      <c r="K87" s="62">
        <f t="shared" si="12"/>
        <v>0.25655815372585666</v>
      </c>
      <c r="L87" s="63">
        <f t="shared" si="13"/>
        <v>-0.16863075196408531</v>
      </c>
      <c r="M87" s="63">
        <f t="shared" si="14"/>
        <v>-5.0668170956283936E-3</v>
      </c>
      <c r="N87" s="63">
        <f t="shared" si="15"/>
        <v>-0.16439690391166487</v>
      </c>
      <c r="O87" s="62">
        <f t="shared" si="16"/>
        <v>0.25525822048653563</v>
      </c>
      <c r="P87" s="62">
        <f t="shared" si="17"/>
        <v>-5.177529210678633E-2</v>
      </c>
      <c r="Q87" s="62">
        <f t="shared" si="18"/>
        <v>1.2999332393210383E-3</v>
      </c>
      <c r="R87" s="63">
        <f t="shared" si="19"/>
        <v>-0.16863075196408528</v>
      </c>
      <c r="S87" s="63">
        <f t="shared" si="20"/>
        <v>4.2338480524204258E-3</v>
      </c>
      <c r="T87" s="63">
        <f t="shared" si="21"/>
        <v>-0.16439690391166487</v>
      </c>
    </row>
    <row r="88" spans="1:20" x14ac:dyDescent="0.3">
      <c r="A88" s="18" t="s">
        <v>63</v>
      </c>
      <c r="B88" s="18" t="s">
        <v>64</v>
      </c>
      <c r="C88" s="18" t="s">
        <v>46</v>
      </c>
      <c r="D88" s="18" t="s">
        <v>43</v>
      </c>
      <c r="E88" s="61">
        <v>2019</v>
      </c>
      <c r="F88" s="62">
        <v>296300000</v>
      </c>
      <c r="G88" s="62">
        <v>308400000</v>
      </c>
      <c r="H88" s="62">
        <v>1154903852</v>
      </c>
      <c r="I88" s="62">
        <v>1144315926</v>
      </c>
      <c r="J88" s="62">
        <f t="shared" si="11"/>
        <v>0.25655815372585666</v>
      </c>
      <c r="K88" s="62">
        <f t="shared" si="12"/>
        <v>0.26950599305038425</v>
      </c>
      <c r="L88" s="63">
        <f t="shared" si="13"/>
        <v>4.0836989537630777E-2</v>
      </c>
      <c r="M88" s="63">
        <f t="shared" si="14"/>
        <v>-9.1677986714343383E-3</v>
      </c>
      <c r="N88" s="63">
        <f t="shared" si="15"/>
        <v>5.0467463756240262E-2</v>
      </c>
      <c r="O88" s="62">
        <f t="shared" si="16"/>
        <v>0.26703521636535332</v>
      </c>
      <c r="P88" s="62">
        <f t="shared" si="17"/>
        <v>1.0477062639496659E-2</v>
      </c>
      <c r="Q88" s="62">
        <f t="shared" si="18"/>
        <v>2.4707766850309287E-3</v>
      </c>
      <c r="R88" s="63">
        <f t="shared" si="19"/>
        <v>4.0836989537630708E-2</v>
      </c>
      <c r="S88" s="63">
        <f t="shared" si="20"/>
        <v>9.6304742186095523E-3</v>
      </c>
      <c r="T88" s="63">
        <f t="shared" si="21"/>
        <v>5.0467463756240262E-2</v>
      </c>
    </row>
    <row r="89" spans="1:20" x14ac:dyDescent="0.3">
      <c r="A89" s="18" t="s">
        <v>63</v>
      </c>
      <c r="B89" s="18" t="s">
        <v>64</v>
      </c>
      <c r="C89" s="18" t="s">
        <v>46</v>
      </c>
      <c r="D89" s="18" t="s">
        <v>43</v>
      </c>
      <c r="E89" s="61">
        <v>2020</v>
      </c>
      <c r="F89" s="62">
        <v>308400000</v>
      </c>
      <c r="G89" s="62">
        <v>187900000</v>
      </c>
      <c r="H89" s="62">
        <v>1144315926</v>
      </c>
      <c r="I89" s="62">
        <v>1133816568</v>
      </c>
      <c r="J89" s="62">
        <f t="shared" si="11"/>
        <v>0.26950599305038425</v>
      </c>
      <c r="K89" s="62">
        <f t="shared" si="12"/>
        <v>0.16572345589502799</v>
      </c>
      <c r="L89" s="63">
        <f t="shared" si="13"/>
        <v>-0.39072632944228275</v>
      </c>
      <c r="M89" s="63">
        <f t="shared" si="14"/>
        <v>-9.1752266672551763E-3</v>
      </c>
      <c r="N89" s="63">
        <f t="shared" si="15"/>
        <v>-0.38508433887017152</v>
      </c>
      <c r="O89" s="62">
        <f t="shared" si="16"/>
        <v>0.16420290562311024</v>
      </c>
      <c r="P89" s="62">
        <f t="shared" si="17"/>
        <v>-0.10530308742727401</v>
      </c>
      <c r="Q89" s="62">
        <f t="shared" si="18"/>
        <v>1.5205502719177477E-3</v>
      </c>
      <c r="R89" s="63">
        <f t="shared" si="19"/>
        <v>-0.3907263294422828</v>
      </c>
      <c r="S89" s="63">
        <f t="shared" si="20"/>
        <v>5.6419905721112485E-3</v>
      </c>
      <c r="T89" s="63">
        <f t="shared" si="21"/>
        <v>-0.38508433887017157</v>
      </c>
    </row>
    <row r="90" spans="1:20" x14ac:dyDescent="0.3">
      <c r="A90" s="18" t="s">
        <v>63</v>
      </c>
      <c r="B90" s="18" t="s">
        <v>64</v>
      </c>
      <c r="C90" s="18" t="s">
        <v>46</v>
      </c>
      <c r="D90" s="18" t="s">
        <v>43</v>
      </c>
      <c r="E90" s="61">
        <v>2021</v>
      </c>
      <c r="F90" s="62">
        <v>187900000</v>
      </c>
      <c r="G90" s="62">
        <v>284800000</v>
      </c>
      <c r="H90" s="62">
        <v>1133816568</v>
      </c>
      <c r="I90" s="62">
        <v>1126588835</v>
      </c>
      <c r="J90" s="62">
        <f t="shared" si="11"/>
        <v>0.16572345589502799</v>
      </c>
      <c r="K90" s="62">
        <f t="shared" si="12"/>
        <v>0.25279852875516912</v>
      </c>
      <c r="L90" s="63">
        <f t="shared" si="13"/>
        <v>0.51569984034060667</v>
      </c>
      <c r="M90" s="63">
        <f t="shared" si="14"/>
        <v>-6.3746934063147326E-3</v>
      </c>
      <c r="N90" s="63">
        <f t="shared" si="15"/>
        <v>0.52542395033866507</v>
      </c>
      <c r="O90" s="62">
        <f t="shared" si="16"/>
        <v>0.25118701564078749</v>
      </c>
      <c r="P90" s="62">
        <f t="shared" si="17"/>
        <v>8.5463559745759504E-2</v>
      </c>
      <c r="Q90" s="62">
        <f t="shared" si="18"/>
        <v>1.6115131143816241E-3</v>
      </c>
      <c r="R90" s="63">
        <f t="shared" si="19"/>
        <v>0.51569984034060667</v>
      </c>
      <c r="S90" s="63">
        <f t="shared" si="20"/>
        <v>9.7241099980583529E-3</v>
      </c>
      <c r="T90" s="63">
        <f t="shared" si="21"/>
        <v>0.52542395033866507</v>
      </c>
    </row>
    <row r="91" spans="1:20" x14ac:dyDescent="0.3">
      <c r="A91" s="18" t="s">
        <v>63</v>
      </c>
      <c r="B91" s="18" t="s">
        <v>64</v>
      </c>
      <c r="C91" s="18" t="s">
        <v>46</v>
      </c>
      <c r="D91" s="18" t="s">
        <v>43</v>
      </c>
      <c r="E91" s="61">
        <v>2022</v>
      </c>
      <c r="F91" s="62">
        <v>284800000</v>
      </c>
      <c r="G91" s="62">
        <v>333000000</v>
      </c>
      <c r="H91" s="62">
        <v>1126588835</v>
      </c>
      <c r="I91" s="62">
        <v>1126061579</v>
      </c>
      <c r="J91" s="62">
        <f t="shared" si="11"/>
        <v>0.25279852875516912</v>
      </c>
      <c r="K91" s="62">
        <f t="shared" si="12"/>
        <v>0.2957209500884676</v>
      </c>
      <c r="L91" s="63">
        <f t="shared" si="13"/>
        <v>0.16924157303370788</v>
      </c>
      <c r="M91" s="63">
        <f t="shared" si="14"/>
        <v>-4.680110290636779E-4</v>
      </c>
      <c r="N91" s="63">
        <f t="shared" si="15"/>
        <v>0.16978904720947996</v>
      </c>
      <c r="O91" s="62">
        <f t="shared" si="16"/>
        <v>0.295582549422301</v>
      </c>
      <c r="P91" s="62">
        <f t="shared" si="17"/>
        <v>4.2784020667131883E-2</v>
      </c>
      <c r="Q91" s="62">
        <f t="shared" si="18"/>
        <v>1.3840066616660485E-4</v>
      </c>
      <c r="R91" s="63">
        <f t="shared" si="19"/>
        <v>0.16924157303370799</v>
      </c>
      <c r="S91" s="63">
        <f t="shared" si="20"/>
        <v>5.4747417577197786E-4</v>
      </c>
      <c r="T91" s="63">
        <f t="shared" si="21"/>
        <v>0.16978904720947996</v>
      </c>
    </row>
    <row r="92" spans="1:20" x14ac:dyDescent="0.3">
      <c r="A92" s="18" t="s">
        <v>63</v>
      </c>
      <c r="B92" s="18" t="s">
        <v>64</v>
      </c>
      <c r="C92" s="18" t="s">
        <v>46</v>
      </c>
      <c r="D92" s="18" t="s">
        <v>43</v>
      </c>
      <c r="E92" s="61">
        <v>2023</v>
      </c>
      <c r="F92" s="62">
        <v>333000000</v>
      </c>
      <c r="G92" s="62">
        <v>330500000</v>
      </c>
      <c r="H92" s="62">
        <v>1126061579</v>
      </c>
      <c r="I92" s="62">
        <v>1139659102</v>
      </c>
      <c r="J92" s="62">
        <f t="shared" si="11"/>
        <v>0.2957209500884676</v>
      </c>
      <c r="K92" s="62">
        <f t="shared" si="12"/>
        <v>0.28999900006940849</v>
      </c>
      <c r="L92" s="63">
        <f t="shared" si="13"/>
        <v>-7.5075075075075074E-3</v>
      </c>
      <c r="M92" s="63">
        <f t="shared" si="14"/>
        <v>1.2075292553783153E-2</v>
      </c>
      <c r="N92" s="63">
        <f t="shared" si="15"/>
        <v>-1.9349153373636008E-2</v>
      </c>
      <c r="O92" s="62">
        <f t="shared" si="16"/>
        <v>0.29350082283555118</v>
      </c>
      <c r="P92" s="62">
        <f t="shared" si="17"/>
        <v>-2.2201272529164262E-3</v>
      </c>
      <c r="Q92" s="62">
        <f t="shared" si="18"/>
        <v>-3.5018227661426926E-3</v>
      </c>
      <c r="R92" s="63">
        <f t="shared" si="19"/>
        <v>-7.507507507507517E-3</v>
      </c>
      <c r="S92" s="63">
        <f t="shared" si="20"/>
        <v>-1.1841645866128491E-2</v>
      </c>
      <c r="T92" s="63">
        <f t="shared" si="21"/>
        <v>-1.9349153373636008E-2</v>
      </c>
    </row>
    <row r="93" spans="1:20" x14ac:dyDescent="0.3">
      <c r="A93" s="18" t="s">
        <v>63</v>
      </c>
      <c r="B93" s="18" t="s">
        <v>64</v>
      </c>
      <c r="C93" s="18" t="s">
        <v>46</v>
      </c>
      <c r="D93" s="18" t="s">
        <v>43</v>
      </c>
      <c r="E93" s="61">
        <v>2024</v>
      </c>
      <c r="F93" s="62">
        <v>330500000</v>
      </c>
      <c r="G93" s="62">
        <v>201600000</v>
      </c>
      <c r="H93" s="62">
        <v>1139659102</v>
      </c>
      <c r="I93" s="62">
        <v>1200346949</v>
      </c>
      <c r="J93" s="62">
        <f t="shared" si="11"/>
        <v>0.28999900006940849</v>
      </c>
      <c r="K93" s="62">
        <f t="shared" si="12"/>
        <v>0.16795144117952851</v>
      </c>
      <c r="L93" s="63">
        <f t="shared" si="13"/>
        <v>-0.39001512859304083</v>
      </c>
      <c r="M93" s="63">
        <f t="shared" si="14"/>
        <v>5.3250877296112713E-2</v>
      </c>
      <c r="N93" s="63">
        <f t="shared" si="15"/>
        <v>-0.4208551024681777</v>
      </c>
      <c r="O93" s="62">
        <f t="shared" si="16"/>
        <v>0.17689500276548487</v>
      </c>
      <c r="P93" s="62">
        <f t="shared" si="17"/>
        <v>-0.11310399730392362</v>
      </c>
      <c r="Q93" s="62">
        <f t="shared" si="18"/>
        <v>-8.9435615859563555E-3</v>
      </c>
      <c r="R93" s="63">
        <f t="shared" si="19"/>
        <v>-0.39001512859304088</v>
      </c>
      <c r="S93" s="63">
        <f t="shared" si="20"/>
        <v>-3.083997387513681E-2</v>
      </c>
      <c r="T93" s="63">
        <f t="shared" si="21"/>
        <v>-0.4208551024681777</v>
      </c>
    </row>
    <row r="94" spans="1:20" x14ac:dyDescent="0.3">
      <c r="A94" s="18" t="s">
        <v>65</v>
      </c>
      <c r="B94" s="18" t="s">
        <v>66</v>
      </c>
      <c r="C94" s="18" t="s">
        <v>46</v>
      </c>
      <c r="D94" s="18" t="s">
        <v>43</v>
      </c>
      <c r="E94" s="61">
        <v>2016</v>
      </c>
      <c r="F94" s="62">
        <v>253000000</v>
      </c>
      <c r="G94" s="62">
        <v>-252000000</v>
      </c>
      <c r="H94" s="62">
        <v>1361000000</v>
      </c>
      <c r="I94" s="62">
        <v>1362004209</v>
      </c>
      <c r="J94" s="62">
        <f t="shared" si="11"/>
        <v>0.18589272593681117</v>
      </c>
      <c r="K94" s="62">
        <f t="shared" si="12"/>
        <v>-0.18502145465836808</v>
      </c>
      <c r="L94" s="63">
        <f t="shared" si="13"/>
        <v>-1.9960474308300395</v>
      </c>
      <c r="M94" s="63">
        <f t="shared" si="14"/>
        <v>7.3784643644379138E-4</v>
      </c>
      <c r="N94" s="63">
        <f t="shared" si="15"/>
        <v>-1.9953130426483752</v>
      </c>
      <c r="O94" s="62">
        <f t="shared" si="16"/>
        <v>-0.18515797207935342</v>
      </c>
      <c r="P94" s="62">
        <f t="shared" si="17"/>
        <v>-0.37105069801616458</v>
      </c>
      <c r="Q94" s="62">
        <f t="shared" si="18"/>
        <v>1.3651742098533259E-4</v>
      </c>
      <c r="R94" s="63">
        <f t="shared" si="19"/>
        <v>-1.9960474308300395</v>
      </c>
      <c r="S94" s="63">
        <f t="shared" si="20"/>
        <v>7.3438818166418043E-4</v>
      </c>
      <c r="T94" s="63">
        <f t="shared" si="21"/>
        <v>-1.9953130426483754</v>
      </c>
    </row>
    <row r="95" spans="1:20" x14ac:dyDescent="0.3">
      <c r="A95" s="18" t="s">
        <v>65</v>
      </c>
      <c r="B95" s="18" t="s">
        <v>66</v>
      </c>
      <c r="C95" s="18" t="s">
        <v>46</v>
      </c>
      <c r="D95" s="18" t="s">
        <v>43</v>
      </c>
      <c r="E95" s="61">
        <v>2017</v>
      </c>
      <c r="F95" s="62">
        <v>-252000000</v>
      </c>
      <c r="G95" s="62">
        <v>295000000</v>
      </c>
      <c r="H95" s="62">
        <v>1362004209</v>
      </c>
      <c r="I95" s="62">
        <v>1364000000</v>
      </c>
      <c r="J95" s="62">
        <f t="shared" si="11"/>
        <v>-0.18502145465836808</v>
      </c>
      <c r="K95" s="62">
        <f t="shared" si="12"/>
        <v>0.21627565982404692</v>
      </c>
      <c r="L95" s="63">
        <f t="shared" si="13"/>
        <v>2.1706349206349205</v>
      </c>
      <c r="M95" s="63">
        <f t="shared" si="14"/>
        <v>1.465333944500314E-3</v>
      </c>
      <c r="N95" s="63">
        <f t="shared" si="15"/>
        <v>2.168922059462715</v>
      </c>
      <c r="O95" s="62">
        <f t="shared" si="16"/>
        <v>0.21659257588975631</v>
      </c>
      <c r="P95" s="62">
        <f t="shared" si="17"/>
        <v>0.40161403054812439</v>
      </c>
      <c r="Q95" s="62">
        <f t="shared" si="18"/>
        <v>-3.169160657093828E-4</v>
      </c>
      <c r="R95" s="63">
        <f t="shared" si="19"/>
        <v>2.1706349206349209</v>
      </c>
      <c r="S95" s="63">
        <f t="shared" si="20"/>
        <v>-1.7128611722059522E-3</v>
      </c>
      <c r="T95" s="63">
        <f t="shared" si="21"/>
        <v>2.168922059462715</v>
      </c>
    </row>
    <row r="96" spans="1:20" x14ac:dyDescent="0.3">
      <c r="A96" s="18" t="s">
        <v>65</v>
      </c>
      <c r="B96" s="18" t="s">
        <v>66</v>
      </c>
      <c r="C96" s="18" t="s">
        <v>46</v>
      </c>
      <c r="D96" s="18" t="s">
        <v>43</v>
      </c>
      <c r="E96" s="61">
        <v>2018</v>
      </c>
      <c r="F96" s="62">
        <v>295000000</v>
      </c>
      <c r="G96" s="62">
        <v>1068000000</v>
      </c>
      <c r="H96" s="62">
        <v>1364000000</v>
      </c>
      <c r="I96" s="62">
        <v>1357000000</v>
      </c>
      <c r="J96" s="62">
        <f t="shared" si="11"/>
        <v>0.21627565982404692</v>
      </c>
      <c r="K96" s="62">
        <f t="shared" si="12"/>
        <v>0.78703021370670601</v>
      </c>
      <c r="L96" s="63">
        <f t="shared" si="13"/>
        <v>2.6203389830508477</v>
      </c>
      <c r="M96" s="63">
        <f t="shared" si="14"/>
        <v>-5.131964809384164E-3</v>
      </c>
      <c r="N96" s="63">
        <f t="shared" si="15"/>
        <v>2.6390142762574471</v>
      </c>
      <c r="O96" s="62">
        <f t="shared" si="16"/>
        <v>0.78299120234604103</v>
      </c>
      <c r="P96" s="62">
        <f t="shared" si="17"/>
        <v>0.56671554252199408</v>
      </c>
      <c r="Q96" s="62">
        <f t="shared" si="18"/>
        <v>4.0390113606649791E-3</v>
      </c>
      <c r="R96" s="63">
        <f t="shared" si="19"/>
        <v>2.6203389830508472</v>
      </c>
      <c r="S96" s="63">
        <f t="shared" si="20"/>
        <v>1.8675293206600108E-2</v>
      </c>
      <c r="T96" s="63">
        <f t="shared" si="21"/>
        <v>2.6390142762574476</v>
      </c>
    </row>
    <row r="97" spans="1:20" x14ac:dyDescent="0.3">
      <c r="A97" s="18" t="s">
        <v>65</v>
      </c>
      <c r="B97" s="18" t="s">
        <v>66</v>
      </c>
      <c r="C97" s="18" t="s">
        <v>46</v>
      </c>
      <c r="D97" s="18" t="s">
        <v>43</v>
      </c>
      <c r="E97" s="61">
        <v>2019</v>
      </c>
      <c r="F97" s="62">
        <v>1068000000</v>
      </c>
      <c r="G97" s="62">
        <v>1422000000</v>
      </c>
      <c r="H97" s="62">
        <v>1357000000</v>
      </c>
      <c r="I97" s="62">
        <v>1354285714</v>
      </c>
      <c r="J97" s="62">
        <f t="shared" si="11"/>
        <v>0.78703021370670601</v>
      </c>
      <c r="K97" s="62">
        <f t="shared" si="12"/>
        <v>1.0500000002215191</v>
      </c>
      <c r="L97" s="63">
        <f t="shared" si="13"/>
        <v>0.33146067415730335</v>
      </c>
      <c r="M97" s="63">
        <f t="shared" si="14"/>
        <v>-2.000210759027266E-3</v>
      </c>
      <c r="N97" s="63">
        <f t="shared" si="15"/>
        <v>0.33412921376460797</v>
      </c>
      <c r="O97" s="62">
        <f t="shared" si="16"/>
        <v>1.0478997789240974</v>
      </c>
      <c r="P97" s="62">
        <f t="shared" si="17"/>
        <v>0.26086956521739135</v>
      </c>
      <c r="Q97" s="62">
        <f t="shared" si="18"/>
        <v>2.1002212974217116E-3</v>
      </c>
      <c r="R97" s="63">
        <f t="shared" si="19"/>
        <v>0.3314606741573034</v>
      </c>
      <c r="S97" s="63">
        <f t="shared" si="20"/>
        <v>2.6685396073045527E-3</v>
      </c>
      <c r="T97" s="63">
        <f t="shared" si="21"/>
        <v>0.33412921376460797</v>
      </c>
    </row>
    <row r="98" spans="1:20" x14ac:dyDescent="0.3">
      <c r="A98" s="18" t="s">
        <v>65</v>
      </c>
      <c r="B98" s="18" t="s">
        <v>66</v>
      </c>
      <c r="C98" s="18" t="s">
        <v>46</v>
      </c>
      <c r="D98" s="18" t="s">
        <v>43</v>
      </c>
      <c r="E98" s="61">
        <v>2020</v>
      </c>
      <c r="F98" s="62">
        <v>1422000000</v>
      </c>
      <c r="G98" s="62">
        <v>-455000000</v>
      </c>
      <c r="H98" s="62">
        <v>1354285714</v>
      </c>
      <c r="I98" s="62">
        <v>1351000000</v>
      </c>
      <c r="J98" s="62">
        <f t="shared" si="11"/>
        <v>1.0500000002215191</v>
      </c>
      <c r="K98" s="62">
        <f t="shared" si="12"/>
        <v>-0.33678756476683935</v>
      </c>
      <c r="L98" s="63">
        <f t="shared" si="13"/>
        <v>-1.319971870604782</v>
      </c>
      <c r="M98" s="63">
        <f t="shared" si="14"/>
        <v>-2.4261601270941266E-3</v>
      </c>
      <c r="N98" s="63">
        <f t="shared" si="15"/>
        <v>-1.3207500616150352</v>
      </c>
      <c r="O98" s="62">
        <f t="shared" si="16"/>
        <v>-0.33597046420590093</v>
      </c>
      <c r="P98" s="62">
        <f t="shared" si="17"/>
        <v>-1.38597046442742</v>
      </c>
      <c r="Q98" s="62">
        <f t="shared" si="18"/>
        <v>-8.1710056093842187E-4</v>
      </c>
      <c r="R98" s="63">
        <f t="shared" si="19"/>
        <v>-1.319971870604782</v>
      </c>
      <c r="S98" s="63">
        <f t="shared" si="20"/>
        <v>-7.7819101025336924E-4</v>
      </c>
      <c r="T98" s="63">
        <f t="shared" si="21"/>
        <v>-1.3207500616150354</v>
      </c>
    </row>
    <row r="99" spans="1:20" x14ac:dyDescent="0.3">
      <c r="A99" s="18" t="s">
        <v>65</v>
      </c>
      <c r="B99" s="18" t="s">
        <v>66</v>
      </c>
      <c r="C99" s="18" t="s">
        <v>46</v>
      </c>
      <c r="D99" s="18" t="s">
        <v>43</v>
      </c>
      <c r="E99" s="61">
        <v>2021</v>
      </c>
      <c r="F99" s="62">
        <v>-455000000</v>
      </c>
      <c r="G99" s="62">
        <v>1723000000</v>
      </c>
      <c r="H99" s="62">
        <v>1351000000</v>
      </c>
      <c r="I99" s="62">
        <v>1354000000</v>
      </c>
      <c r="J99" s="62">
        <f t="shared" si="11"/>
        <v>-0.33678756476683935</v>
      </c>
      <c r="K99" s="62">
        <f t="shared" si="12"/>
        <v>1.2725258493353029</v>
      </c>
      <c r="L99" s="63">
        <f t="shared" si="13"/>
        <v>4.7868131868131867</v>
      </c>
      <c r="M99" s="63">
        <f t="shared" si="14"/>
        <v>2.2205773501110288E-3</v>
      </c>
      <c r="N99" s="63">
        <f t="shared" si="15"/>
        <v>4.7784229064878989</v>
      </c>
      <c r="O99" s="62">
        <f t="shared" si="16"/>
        <v>1.2753515914137676</v>
      </c>
      <c r="P99" s="62">
        <f t="shared" si="17"/>
        <v>1.6121391561806071</v>
      </c>
      <c r="Q99" s="62">
        <f t="shared" si="18"/>
        <v>-2.8257420784647547E-3</v>
      </c>
      <c r="R99" s="63">
        <f t="shared" si="19"/>
        <v>4.7868131868131876</v>
      </c>
      <c r="S99" s="63">
        <f t="shared" si="20"/>
        <v>-8.3902803252876561E-3</v>
      </c>
      <c r="T99" s="63">
        <f t="shared" si="21"/>
        <v>4.7784229064878998</v>
      </c>
    </row>
    <row r="100" spans="1:20" x14ac:dyDescent="0.3">
      <c r="A100" s="18" t="s">
        <v>65</v>
      </c>
      <c r="B100" s="18" t="s">
        <v>66</v>
      </c>
      <c r="C100" s="18" t="s">
        <v>46</v>
      </c>
      <c r="D100" s="18" t="s">
        <v>43</v>
      </c>
      <c r="E100" s="61">
        <v>2022</v>
      </c>
      <c r="F100" s="62">
        <v>1723000000</v>
      </c>
      <c r="G100" s="62">
        <v>2029000000</v>
      </c>
      <c r="H100" s="62">
        <v>1354000000</v>
      </c>
      <c r="I100" s="62">
        <v>1351000000</v>
      </c>
      <c r="J100" s="62">
        <f t="shared" si="11"/>
        <v>1.2725258493353029</v>
      </c>
      <c r="K100" s="62">
        <f t="shared" si="12"/>
        <v>1.5018504811250926</v>
      </c>
      <c r="L100" s="63">
        <f t="shared" si="13"/>
        <v>0.17759721416134649</v>
      </c>
      <c r="M100" s="63">
        <f t="shared" si="14"/>
        <v>-2.2156573116691287E-3</v>
      </c>
      <c r="N100" s="63">
        <f t="shared" si="15"/>
        <v>0.18021215986266698</v>
      </c>
      <c r="O100" s="62">
        <f t="shared" si="16"/>
        <v>1.4985228951255538</v>
      </c>
      <c r="P100" s="62">
        <f t="shared" si="17"/>
        <v>0.22599704579025093</v>
      </c>
      <c r="Q100" s="62">
        <f t="shared" si="18"/>
        <v>3.3275859995387513E-3</v>
      </c>
      <c r="R100" s="63">
        <f t="shared" si="19"/>
        <v>0.17759721416134633</v>
      </c>
      <c r="S100" s="63">
        <f t="shared" si="20"/>
        <v>2.6149457013206435E-3</v>
      </c>
      <c r="T100" s="63">
        <f t="shared" si="21"/>
        <v>0.18021215986266698</v>
      </c>
    </row>
    <row r="101" spans="1:20" x14ac:dyDescent="0.3">
      <c r="A101" s="18" t="s">
        <v>65</v>
      </c>
      <c r="B101" s="18" t="s">
        <v>66</v>
      </c>
      <c r="C101" s="18" t="s">
        <v>46</v>
      </c>
      <c r="D101" s="18" t="s">
        <v>43</v>
      </c>
      <c r="E101" s="61">
        <v>2023</v>
      </c>
      <c r="F101" s="62">
        <v>2029000000</v>
      </c>
      <c r="G101" s="62">
        <v>2275000000</v>
      </c>
      <c r="H101" s="62">
        <v>1351000000</v>
      </c>
      <c r="I101" s="62">
        <v>1332000000</v>
      </c>
      <c r="J101" s="62">
        <f t="shared" si="11"/>
        <v>1.5018504811250926</v>
      </c>
      <c r="K101" s="62">
        <f t="shared" si="12"/>
        <v>1.707957957957958</v>
      </c>
      <c r="L101" s="63">
        <f t="shared" si="13"/>
        <v>0.12124199112863479</v>
      </c>
      <c r="M101" s="63">
        <f t="shared" si="14"/>
        <v>-1.4063656550703183E-2</v>
      </c>
      <c r="N101" s="63">
        <f t="shared" si="15"/>
        <v>0.1372356831942835</v>
      </c>
      <c r="O101" s="62">
        <f t="shared" si="16"/>
        <v>1.6839378238341969</v>
      </c>
      <c r="P101" s="62">
        <f t="shared" si="17"/>
        <v>0.18208734270910432</v>
      </c>
      <c r="Q101" s="62">
        <f t="shared" si="18"/>
        <v>2.4020134123761139E-2</v>
      </c>
      <c r="R101" s="63">
        <f t="shared" si="19"/>
        <v>0.12124199112863476</v>
      </c>
      <c r="S101" s="63">
        <f t="shared" si="20"/>
        <v>1.5993692065648744E-2</v>
      </c>
      <c r="T101" s="63">
        <f t="shared" si="21"/>
        <v>0.1372356831942835</v>
      </c>
    </row>
    <row r="102" spans="1:20" x14ac:dyDescent="0.3">
      <c r="A102" s="18" t="s">
        <v>67</v>
      </c>
      <c r="B102" s="18" t="s">
        <v>68</v>
      </c>
      <c r="C102" s="18" t="s">
        <v>46</v>
      </c>
      <c r="D102" s="18" t="s">
        <v>43</v>
      </c>
      <c r="E102" s="61">
        <v>2016</v>
      </c>
      <c r="F102" s="62">
        <v>100420000</v>
      </c>
      <c r="G102" s="62">
        <v>112383000</v>
      </c>
      <c r="H102" s="62">
        <v>54883529</v>
      </c>
      <c r="I102" s="62">
        <v>54849893</v>
      </c>
      <c r="J102" s="62">
        <f t="shared" si="11"/>
        <v>1.8296928391758482</v>
      </c>
      <c r="K102" s="62">
        <f t="shared" si="12"/>
        <v>2.0489192203164373</v>
      </c>
      <c r="L102" s="63">
        <f t="shared" si="13"/>
        <v>0.11912965544712209</v>
      </c>
      <c r="M102" s="63">
        <f t="shared" si="14"/>
        <v>-6.1286146523121718E-4</v>
      </c>
      <c r="N102" s="63">
        <f t="shared" si="15"/>
        <v>0.11981594748948984</v>
      </c>
      <c r="O102" s="62">
        <f t="shared" si="16"/>
        <v>2.0476635166809336</v>
      </c>
      <c r="P102" s="62">
        <f t="shared" si="17"/>
        <v>0.21797067750508536</v>
      </c>
      <c r="Q102" s="62">
        <f t="shared" si="18"/>
        <v>1.2557036355036466E-3</v>
      </c>
      <c r="R102" s="63">
        <f t="shared" si="19"/>
        <v>0.11912965544712209</v>
      </c>
      <c r="S102" s="63">
        <f t="shared" si="20"/>
        <v>6.8629204236775364E-4</v>
      </c>
      <c r="T102" s="63">
        <f t="shared" si="21"/>
        <v>0.11981594748948984</v>
      </c>
    </row>
    <row r="103" spans="1:20" x14ac:dyDescent="0.3">
      <c r="A103" s="18" t="s">
        <v>67</v>
      </c>
      <c r="B103" s="18" t="s">
        <v>68</v>
      </c>
      <c r="C103" s="18" t="s">
        <v>46</v>
      </c>
      <c r="D103" s="18" t="s">
        <v>43</v>
      </c>
      <c r="E103" s="61">
        <v>2017</v>
      </c>
      <c r="F103" s="62">
        <v>112383000</v>
      </c>
      <c r="G103" s="62">
        <v>139878000</v>
      </c>
      <c r="H103" s="62">
        <v>54849893</v>
      </c>
      <c r="I103" s="62">
        <v>54997425</v>
      </c>
      <c r="J103" s="62">
        <f t="shared" si="11"/>
        <v>2.0489192203164373</v>
      </c>
      <c r="K103" s="62">
        <f t="shared" si="12"/>
        <v>2.5433554389137312</v>
      </c>
      <c r="L103" s="63">
        <f t="shared" si="13"/>
        <v>0.24465444061824299</v>
      </c>
      <c r="M103" s="63">
        <f t="shared" si="14"/>
        <v>2.68974088974066E-3</v>
      </c>
      <c r="N103" s="63">
        <f t="shared" si="15"/>
        <v>0.24131562322936903</v>
      </c>
      <c r="O103" s="62">
        <f t="shared" si="16"/>
        <v>2.5501964060349214</v>
      </c>
      <c r="P103" s="62">
        <f t="shared" si="17"/>
        <v>0.50127718571848412</v>
      </c>
      <c r="Q103" s="62">
        <f t="shared" si="18"/>
        <v>-6.8409671211902001E-3</v>
      </c>
      <c r="R103" s="63">
        <f t="shared" si="19"/>
        <v>0.24465444061824279</v>
      </c>
      <c r="S103" s="63">
        <f t="shared" si="20"/>
        <v>-3.3388173888737661E-3</v>
      </c>
      <c r="T103" s="63">
        <f t="shared" si="21"/>
        <v>0.24131562322936903</v>
      </c>
    </row>
    <row r="104" spans="1:20" x14ac:dyDescent="0.3">
      <c r="A104" s="18" t="s">
        <v>67</v>
      </c>
      <c r="B104" s="18" t="s">
        <v>68</v>
      </c>
      <c r="C104" s="18" t="s">
        <v>46</v>
      </c>
      <c r="D104" s="18" t="s">
        <v>43</v>
      </c>
      <c r="E104" s="61">
        <v>2018</v>
      </c>
      <c r="F104" s="62">
        <v>139878000</v>
      </c>
      <c r="G104" s="62">
        <v>158128000</v>
      </c>
      <c r="H104" s="62">
        <v>54997425</v>
      </c>
      <c r="I104" s="62">
        <v>55513113</v>
      </c>
      <c r="J104" s="62">
        <f t="shared" si="11"/>
        <v>2.5433554389137312</v>
      </c>
      <c r="K104" s="62">
        <f t="shared" si="12"/>
        <v>2.848480141980148</v>
      </c>
      <c r="L104" s="63">
        <f t="shared" si="13"/>
        <v>0.13047083887387581</v>
      </c>
      <c r="M104" s="63">
        <f t="shared" si="14"/>
        <v>9.3765844491810295E-3</v>
      </c>
      <c r="N104" s="63">
        <f t="shared" si="15"/>
        <v>0.11996935166747114</v>
      </c>
      <c r="O104" s="62">
        <f t="shared" si="16"/>
        <v>2.8751891565832399</v>
      </c>
      <c r="P104" s="62">
        <f t="shared" si="17"/>
        <v>0.33183371766950875</v>
      </c>
      <c r="Q104" s="62">
        <f t="shared" si="18"/>
        <v>-2.6709014603091941E-2</v>
      </c>
      <c r="R104" s="63">
        <f t="shared" si="19"/>
        <v>0.13047083887387567</v>
      </c>
      <c r="S104" s="63">
        <f t="shared" si="20"/>
        <v>-1.0501487206404536E-2</v>
      </c>
      <c r="T104" s="63">
        <f t="shared" si="21"/>
        <v>0.11996935166747114</v>
      </c>
    </row>
    <row r="105" spans="1:20" x14ac:dyDescent="0.3">
      <c r="A105" s="18" t="s">
        <v>67</v>
      </c>
      <c r="B105" s="18" t="s">
        <v>68</v>
      </c>
      <c r="C105" s="18" t="s">
        <v>46</v>
      </c>
      <c r="D105" s="18" t="s">
        <v>43</v>
      </c>
      <c r="E105" s="61">
        <v>2019</v>
      </c>
      <c r="F105" s="62">
        <v>158128000</v>
      </c>
      <c r="G105" s="62">
        <v>175735000</v>
      </c>
      <c r="H105" s="62">
        <v>55513113</v>
      </c>
      <c r="I105" s="62">
        <v>54711844</v>
      </c>
      <c r="J105" s="62">
        <f t="shared" si="11"/>
        <v>2.848480141980148</v>
      </c>
      <c r="K105" s="62">
        <f t="shared" si="12"/>
        <v>3.2120101819269697</v>
      </c>
      <c r="L105" s="63">
        <f t="shared" si="13"/>
        <v>0.11134650409794597</v>
      </c>
      <c r="M105" s="63">
        <f t="shared" si="14"/>
        <v>-1.4433868985153111E-2</v>
      </c>
      <c r="N105" s="63">
        <f t="shared" si="15"/>
        <v>0.12762245893492885</v>
      </c>
      <c r="O105" s="62">
        <f t="shared" si="16"/>
        <v>3.1656484477820581</v>
      </c>
      <c r="P105" s="62">
        <f t="shared" si="17"/>
        <v>0.31716830580191013</v>
      </c>
      <c r="Q105" s="62">
        <f t="shared" si="18"/>
        <v>4.6361734144911626E-2</v>
      </c>
      <c r="R105" s="63">
        <f t="shared" si="19"/>
        <v>0.11134650409794593</v>
      </c>
      <c r="S105" s="63">
        <f t="shared" si="20"/>
        <v>1.6275954836982933E-2</v>
      </c>
      <c r="T105" s="63">
        <f t="shared" si="21"/>
        <v>0.12762245893492885</v>
      </c>
    </row>
    <row r="106" spans="1:20" x14ac:dyDescent="0.3">
      <c r="A106" s="18" t="s">
        <v>67</v>
      </c>
      <c r="B106" s="18" t="s">
        <v>68</v>
      </c>
      <c r="C106" s="18" t="s">
        <v>46</v>
      </c>
      <c r="D106" s="18" t="s">
        <v>43</v>
      </c>
      <c r="E106" s="61">
        <v>2020</v>
      </c>
      <c r="F106" s="62">
        <v>175735000</v>
      </c>
      <c r="G106" s="62">
        <v>247871000</v>
      </c>
      <c r="H106" s="62">
        <v>54711844</v>
      </c>
      <c r="I106" s="62">
        <v>54757637</v>
      </c>
      <c r="J106" s="62">
        <f t="shared" si="11"/>
        <v>3.2120101819269697</v>
      </c>
      <c r="K106" s="62">
        <f t="shared" si="12"/>
        <v>4.5266927789451543</v>
      </c>
      <c r="L106" s="63">
        <f t="shared" si="13"/>
        <v>0.41048169118274674</v>
      </c>
      <c r="M106" s="63">
        <f t="shared" si="14"/>
        <v>8.3698513250622664E-4</v>
      </c>
      <c r="N106" s="63">
        <f t="shared" si="15"/>
        <v>0.40930212625586132</v>
      </c>
      <c r="O106" s="62">
        <f t="shared" si="16"/>
        <v>4.5304815535005547</v>
      </c>
      <c r="P106" s="62">
        <f t="shared" si="17"/>
        <v>1.318471371573585</v>
      </c>
      <c r="Q106" s="62">
        <f t="shared" si="18"/>
        <v>-3.7887745554003871E-3</v>
      </c>
      <c r="R106" s="63">
        <f t="shared" si="19"/>
        <v>0.41048169118274686</v>
      </c>
      <c r="S106" s="63">
        <f t="shared" si="20"/>
        <v>-1.1795649268855684E-3</v>
      </c>
      <c r="T106" s="63">
        <f t="shared" si="21"/>
        <v>0.40930212625586126</v>
      </c>
    </row>
    <row r="107" spans="1:20" x14ac:dyDescent="0.3">
      <c r="A107" s="18" t="s">
        <v>67</v>
      </c>
      <c r="B107" s="18" t="s">
        <v>68</v>
      </c>
      <c r="C107" s="18" t="s">
        <v>46</v>
      </c>
      <c r="D107" s="18" t="s">
        <v>43</v>
      </c>
      <c r="E107" s="61">
        <v>2021</v>
      </c>
      <c r="F107" s="62">
        <v>247871000</v>
      </c>
      <c r="G107" s="62">
        <v>310968000</v>
      </c>
      <c r="H107" s="62">
        <v>54757637</v>
      </c>
      <c r="I107" s="62">
        <v>57117998</v>
      </c>
      <c r="J107" s="62">
        <f t="shared" si="11"/>
        <v>4.5266927789451543</v>
      </c>
      <c r="K107" s="62">
        <f t="shared" si="12"/>
        <v>5.4443084647329547</v>
      </c>
      <c r="L107" s="63">
        <f t="shared" si="13"/>
        <v>0.25455579716868854</v>
      </c>
      <c r="M107" s="63">
        <f t="shared" si="14"/>
        <v>4.3105603698713295E-2</v>
      </c>
      <c r="N107" s="63">
        <f t="shared" si="15"/>
        <v>0.20271216329411038</v>
      </c>
      <c r="O107" s="62">
        <f t="shared" si="16"/>
        <v>5.6789886678272845</v>
      </c>
      <c r="P107" s="62">
        <f t="shared" si="17"/>
        <v>1.1522958888821302</v>
      </c>
      <c r="Q107" s="62">
        <f t="shared" si="18"/>
        <v>-0.2346802030943298</v>
      </c>
      <c r="R107" s="63">
        <f t="shared" si="19"/>
        <v>0.25455579716868865</v>
      </c>
      <c r="S107" s="63">
        <f t="shared" si="20"/>
        <v>-5.1843633874578257E-2</v>
      </c>
      <c r="T107" s="63">
        <f t="shared" si="21"/>
        <v>0.2027121632941104</v>
      </c>
    </row>
    <row r="108" spans="1:20" x14ac:dyDescent="0.3">
      <c r="A108" s="18" t="s">
        <v>67</v>
      </c>
      <c r="B108" s="18" t="s">
        <v>68</v>
      </c>
      <c r="C108" s="18" t="s">
        <v>46</v>
      </c>
      <c r="D108" s="18" t="s">
        <v>43</v>
      </c>
      <c r="E108" s="61">
        <v>2022</v>
      </c>
      <c r="F108" s="62">
        <v>310968000</v>
      </c>
      <c r="G108" s="62">
        <v>240907000</v>
      </c>
      <c r="H108" s="62">
        <v>57117998</v>
      </c>
      <c r="I108" s="62">
        <v>57750850</v>
      </c>
      <c r="J108" s="62">
        <f t="shared" si="11"/>
        <v>5.4443084647329547</v>
      </c>
      <c r="K108" s="62">
        <f t="shared" si="12"/>
        <v>4.1714883850194413</v>
      </c>
      <c r="L108" s="63">
        <f t="shared" si="13"/>
        <v>-0.22529970929484705</v>
      </c>
      <c r="M108" s="63">
        <f t="shared" si="14"/>
        <v>1.1079730070371163E-2</v>
      </c>
      <c r="N108" s="63">
        <f t="shared" si="15"/>
        <v>-0.23378911903294328</v>
      </c>
      <c r="O108" s="62">
        <f t="shared" si="16"/>
        <v>4.2177073503171449</v>
      </c>
      <c r="P108" s="62">
        <f t="shared" si="17"/>
        <v>-1.2266011144158098</v>
      </c>
      <c r="Q108" s="62">
        <f t="shared" si="18"/>
        <v>-4.621896529770364E-2</v>
      </c>
      <c r="R108" s="63">
        <f t="shared" si="19"/>
        <v>-0.22529970929484705</v>
      </c>
      <c r="S108" s="63">
        <f t="shared" si="20"/>
        <v>-8.4894097380962229E-3</v>
      </c>
      <c r="T108" s="63">
        <f t="shared" si="21"/>
        <v>-0.23378911903294328</v>
      </c>
    </row>
    <row r="109" spans="1:20" x14ac:dyDescent="0.3">
      <c r="A109" s="18" t="s">
        <v>67</v>
      </c>
      <c r="B109" s="18" t="s">
        <v>68</v>
      </c>
      <c r="C109" s="18" t="s">
        <v>46</v>
      </c>
      <c r="D109" s="18" t="s">
        <v>43</v>
      </c>
      <c r="E109" s="61">
        <v>2023</v>
      </c>
      <c r="F109" s="62">
        <v>240907000</v>
      </c>
      <c r="G109" s="62">
        <v>159849000</v>
      </c>
      <c r="H109" s="62">
        <v>57750850</v>
      </c>
      <c r="I109" s="62">
        <v>55745935</v>
      </c>
      <c r="J109" s="62">
        <f t="shared" si="11"/>
        <v>4.1714883850194413</v>
      </c>
      <c r="K109" s="62">
        <f t="shared" si="12"/>
        <v>2.8674557167262509</v>
      </c>
      <c r="L109" s="63">
        <f t="shared" si="13"/>
        <v>-0.3364700901177633</v>
      </c>
      <c r="M109" s="63">
        <f t="shared" si="14"/>
        <v>-3.4716631876413939E-2</v>
      </c>
      <c r="N109" s="63">
        <f t="shared" si="15"/>
        <v>-0.31260608874669393</v>
      </c>
      <c r="O109" s="62">
        <f t="shared" si="16"/>
        <v>2.7679073121867472</v>
      </c>
      <c r="P109" s="62">
        <f t="shared" si="17"/>
        <v>-1.4035810728326941</v>
      </c>
      <c r="Q109" s="62">
        <f t="shared" si="18"/>
        <v>9.9548404539503643E-2</v>
      </c>
      <c r="R109" s="63">
        <f t="shared" si="19"/>
        <v>-0.33647009011776324</v>
      </c>
      <c r="S109" s="63">
        <f t="shared" si="20"/>
        <v>2.386400137106931E-2</v>
      </c>
      <c r="T109" s="63">
        <f t="shared" si="21"/>
        <v>-0.31260608874669393</v>
      </c>
    </row>
    <row r="110" spans="1:20" x14ac:dyDescent="0.3">
      <c r="A110" s="18" t="s">
        <v>67</v>
      </c>
      <c r="B110" s="18" t="s">
        <v>68</v>
      </c>
      <c r="C110" s="18" t="s">
        <v>46</v>
      </c>
      <c r="D110" s="18" t="s">
        <v>43</v>
      </c>
      <c r="E110" s="61">
        <v>2024</v>
      </c>
      <c r="F110" s="62">
        <v>159849000</v>
      </c>
      <c r="G110" s="62">
        <v>188105000</v>
      </c>
      <c r="H110" s="62">
        <v>55745935</v>
      </c>
      <c r="I110" s="62">
        <v>55868709</v>
      </c>
      <c r="J110" s="62">
        <f t="shared" si="11"/>
        <v>2.8674557167262509</v>
      </c>
      <c r="K110" s="62">
        <f t="shared" si="12"/>
        <v>3.3669115210806106</v>
      </c>
      <c r="L110" s="63">
        <f t="shared" si="13"/>
        <v>0.1767668236898573</v>
      </c>
      <c r="M110" s="63">
        <f t="shared" si="14"/>
        <v>2.2023848016900246E-3</v>
      </c>
      <c r="N110" s="63">
        <f t="shared" si="15"/>
        <v>0.17418082568493301</v>
      </c>
      <c r="O110" s="62">
        <f t="shared" si="16"/>
        <v>3.3743267558432737</v>
      </c>
      <c r="P110" s="62">
        <f t="shared" si="17"/>
        <v>0.5068710391170228</v>
      </c>
      <c r="Q110" s="62">
        <f t="shared" si="18"/>
        <v>-7.4152347626630366E-3</v>
      </c>
      <c r="R110" s="63">
        <f t="shared" si="19"/>
        <v>0.17676682368985738</v>
      </c>
      <c r="S110" s="63">
        <f t="shared" si="20"/>
        <v>-2.5859980049243603E-3</v>
      </c>
      <c r="T110" s="63">
        <f t="shared" si="21"/>
        <v>0.17418082568493301</v>
      </c>
    </row>
    <row r="111" spans="1:20" x14ac:dyDescent="0.3">
      <c r="A111" s="18" t="s">
        <v>69</v>
      </c>
      <c r="B111" s="18" t="s">
        <v>70</v>
      </c>
      <c r="C111" s="18" t="s">
        <v>46</v>
      </c>
      <c r="D111" s="18" t="s">
        <v>43</v>
      </c>
      <c r="E111" s="61">
        <v>2016</v>
      </c>
      <c r="F111" s="62">
        <v>2196000000</v>
      </c>
      <c r="G111" s="62">
        <v>2570000000</v>
      </c>
      <c r="H111" s="62">
        <v>9403357795</v>
      </c>
      <c r="I111" s="62">
        <v>9975849408</v>
      </c>
      <c r="J111" s="62">
        <f t="shared" si="11"/>
        <v>0.23353360021753805</v>
      </c>
      <c r="K111" s="62">
        <f t="shared" si="12"/>
        <v>0.2576221727985411</v>
      </c>
      <c r="L111" s="63">
        <f t="shared" si="13"/>
        <v>0.17030965391621131</v>
      </c>
      <c r="M111" s="63">
        <f t="shared" si="14"/>
        <v>6.0881615427247494E-2</v>
      </c>
      <c r="N111" s="63">
        <f t="shared" si="15"/>
        <v>0.10314820890254933</v>
      </c>
      <c r="O111" s="62">
        <f t="shared" si="16"/>
        <v>0.2733066268483938</v>
      </c>
      <c r="P111" s="62">
        <f t="shared" si="17"/>
        <v>3.9773026630855746E-2</v>
      </c>
      <c r="Q111" s="62">
        <f t="shared" si="18"/>
        <v>-1.5684454049852692E-2</v>
      </c>
      <c r="R111" s="63">
        <f t="shared" si="19"/>
        <v>0.17030965391621128</v>
      </c>
      <c r="S111" s="63">
        <f t="shared" si="20"/>
        <v>-6.7161445013661947E-2</v>
      </c>
      <c r="T111" s="63">
        <f t="shared" si="21"/>
        <v>0.10314820890254933</v>
      </c>
    </row>
    <row r="112" spans="1:20" x14ac:dyDescent="0.3">
      <c r="A112" s="18" t="s">
        <v>69</v>
      </c>
      <c r="B112" s="18" t="s">
        <v>70</v>
      </c>
      <c r="C112" s="18" t="s">
        <v>46</v>
      </c>
      <c r="D112" s="18" t="s">
        <v>43</v>
      </c>
      <c r="E112" s="61">
        <v>2017</v>
      </c>
      <c r="F112" s="62">
        <v>2570000000</v>
      </c>
      <c r="G112" s="62">
        <v>3779000000</v>
      </c>
      <c r="H112" s="62">
        <v>9975849408</v>
      </c>
      <c r="I112" s="62">
        <v>10166679946</v>
      </c>
      <c r="J112" s="62">
        <f t="shared" si="11"/>
        <v>0.2576221727985411</v>
      </c>
      <c r="K112" s="62">
        <f t="shared" si="12"/>
        <v>0.37170443252586283</v>
      </c>
      <c r="L112" s="63">
        <f t="shared" si="13"/>
        <v>0.47042801556420233</v>
      </c>
      <c r="M112" s="63">
        <f t="shared" si="14"/>
        <v>1.9129252076215783E-2</v>
      </c>
      <c r="N112" s="63">
        <f t="shared" si="15"/>
        <v>0.44282779889653878</v>
      </c>
      <c r="O112" s="62">
        <f t="shared" si="16"/>
        <v>0.37881486031349682</v>
      </c>
      <c r="P112" s="62">
        <f t="shared" si="17"/>
        <v>0.12119268751495571</v>
      </c>
      <c r="Q112" s="62">
        <f t="shared" si="18"/>
        <v>-7.1104277876339883E-3</v>
      </c>
      <c r="R112" s="63">
        <f t="shared" si="19"/>
        <v>0.47042801556420233</v>
      </c>
      <c r="S112" s="63">
        <f t="shared" si="20"/>
        <v>-2.7600216667663529E-2</v>
      </c>
      <c r="T112" s="63">
        <f t="shared" si="21"/>
        <v>0.44282779889653878</v>
      </c>
    </row>
    <row r="113" spans="1:20" x14ac:dyDescent="0.3">
      <c r="A113" s="18" t="s">
        <v>69</v>
      </c>
      <c r="B113" s="18" t="s">
        <v>70</v>
      </c>
      <c r="C113" s="18" t="s">
        <v>46</v>
      </c>
      <c r="D113" s="18" t="s">
        <v>43</v>
      </c>
      <c r="E113" s="61">
        <v>2018</v>
      </c>
      <c r="F113" s="62">
        <v>3779000000</v>
      </c>
      <c r="G113" s="62">
        <v>4789000000</v>
      </c>
      <c r="H113" s="62">
        <v>10166679946</v>
      </c>
      <c r="I113" s="62">
        <v>10163621792</v>
      </c>
      <c r="J113" s="62">
        <f t="shared" si="11"/>
        <v>0.37170443252586283</v>
      </c>
      <c r="K113" s="62">
        <f t="shared" si="12"/>
        <v>0.4711902998761251</v>
      </c>
      <c r="L113" s="63">
        <f t="shared" si="13"/>
        <v>0.26726647261180209</v>
      </c>
      <c r="M113" s="63">
        <f t="shared" si="14"/>
        <v>-3.0080163989063181E-4</v>
      </c>
      <c r="N113" s="63">
        <f t="shared" si="15"/>
        <v>0.26764778314377552</v>
      </c>
      <c r="O113" s="62">
        <f t="shared" si="16"/>
        <v>0.47104856506122178</v>
      </c>
      <c r="P113" s="62">
        <f t="shared" si="17"/>
        <v>9.9344132535358953E-2</v>
      </c>
      <c r="Q113" s="62">
        <f t="shared" si="18"/>
        <v>1.4173481490331596E-4</v>
      </c>
      <c r="R113" s="63">
        <f t="shared" si="19"/>
        <v>0.26726647261180209</v>
      </c>
      <c r="S113" s="63">
        <f t="shared" si="20"/>
        <v>3.8131053197342272E-4</v>
      </c>
      <c r="T113" s="63">
        <f t="shared" si="21"/>
        <v>0.26764778314377552</v>
      </c>
    </row>
    <row r="114" spans="1:20" x14ac:dyDescent="0.3">
      <c r="A114" s="18" t="s">
        <v>69</v>
      </c>
      <c r="B114" s="18" t="s">
        <v>70</v>
      </c>
      <c r="C114" s="18" t="s">
        <v>46</v>
      </c>
      <c r="D114" s="18" t="s">
        <v>43</v>
      </c>
      <c r="E114" s="61">
        <v>2019</v>
      </c>
      <c r="F114" s="62">
        <v>4789000000</v>
      </c>
      <c r="G114" s="62">
        <v>2174000000</v>
      </c>
      <c r="H114" s="62">
        <v>10163621792</v>
      </c>
      <c r="I114" s="62">
        <v>10162072640</v>
      </c>
      <c r="J114" s="62">
        <f t="shared" si="11"/>
        <v>0.4711902998761251</v>
      </c>
      <c r="K114" s="62">
        <f t="shared" si="12"/>
        <v>0.21393273567467827</v>
      </c>
      <c r="L114" s="63">
        <f t="shared" si="13"/>
        <v>-0.54604301524326582</v>
      </c>
      <c r="M114" s="63">
        <f t="shared" si="14"/>
        <v>-1.5242125609390248E-4</v>
      </c>
      <c r="N114" s="63">
        <f t="shared" si="15"/>
        <v>-0.54597381200139161</v>
      </c>
      <c r="O114" s="62">
        <f t="shared" si="16"/>
        <v>0.21390012777838713</v>
      </c>
      <c r="P114" s="62">
        <f t="shared" si="17"/>
        <v>-0.25729017209773797</v>
      </c>
      <c r="Q114" s="62">
        <f t="shared" si="18"/>
        <v>3.2607896291142469E-5</v>
      </c>
      <c r="R114" s="63">
        <f t="shared" si="19"/>
        <v>-0.54604301524326582</v>
      </c>
      <c r="S114" s="63">
        <f t="shared" si="20"/>
        <v>6.9203241874280975E-5</v>
      </c>
      <c r="T114" s="63">
        <f t="shared" si="21"/>
        <v>-0.5459738120013915</v>
      </c>
    </row>
    <row r="115" spans="1:20" x14ac:dyDescent="0.3">
      <c r="A115" s="18" t="s">
        <v>69</v>
      </c>
      <c r="B115" s="18" t="s">
        <v>70</v>
      </c>
      <c r="C115" s="18" t="s">
        <v>46</v>
      </c>
      <c r="D115" s="18" t="s">
        <v>43</v>
      </c>
      <c r="E115" s="61">
        <v>2020</v>
      </c>
      <c r="F115" s="62">
        <v>2174000000</v>
      </c>
      <c r="G115" s="62">
        <v>2610000000</v>
      </c>
      <c r="H115" s="62">
        <v>10162072640</v>
      </c>
      <c r="I115" s="62">
        <v>10164612352</v>
      </c>
      <c r="J115" s="62">
        <f t="shared" si="11"/>
        <v>0.21393273567467827</v>
      </c>
      <c r="K115" s="62">
        <f t="shared" si="12"/>
        <v>0.25677319602714149</v>
      </c>
      <c r="L115" s="63">
        <f t="shared" si="13"/>
        <v>0.20055197792088317</v>
      </c>
      <c r="M115" s="63">
        <f t="shared" si="14"/>
        <v>2.4992066972668285E-4</v>
      </c>
      <c r="N115" s="63">
        <f t="shared" si="15"/>
        <v>0.20025201013466939</v>
      </c>
      <c r="O115" s="62">
        <f t="shared" si="16"/>
        <v>0.25683736895626047</v>
      </c>
      <c r="P115" s="62">
        <f t="shared" si="17"/>
        <v>4.29046332815822E-2</v>
      </c>
      <c r="Q115" s="62">
        <f t="shared" si="18"/>
        <v>-6.4172929118977429E-5</v>
      </c>
      <c r="R115" s="63">
        <f t="shared" si="19"/>
        <v>0.20055197792088311</v>
      </c>
      <c r="S115" s="63">
        <f t="shared" si="20"/>
        <v>-2.9996778621371658E-4</v>
      </c>
      <c r="T115" s="63">
        <f t="shared" si="21"/>
        <v>0.20025201013466939</v>
      </c>
    </row>
    <row r="116" spans="1:20" x14ac:dyDescent="0.3">
      <c r="A116" s="18" t="s">
        <v>69</v>
      </c>
      <c r="B116" s="18" t="s">
        <v>70</v>
      </c>
      <c r="C116" s="18" t="s">
        <v>46</v>
      </c>
      <c r="D116" s="18" t="s">
        <v>43</v>
      </c>
      <c r="E116" s="61">
        <v>2021</v>
      </c>
      <c r="F116" s="62">
        <v>2610000000</v>
      </c>
      <c r="G116" s="62">
        <v>3189000000</v>
      </c>
      <c r="H116" s="62">
        <v>10164612352</v>
      </c>
      <c r="I116" s="62">
        <v>10162568494</v>
      </c>
      <c r="J116" s="62">
        <f t="shared" si="11"/>
        <v>0.25677319602714149</v>
      </c>
      <c r="K116" s="62">
        <f t="shared" si="12"/>
        <v>0.3137986230432584</v>
      </c>
      <c r="L116" s="63">
        <f t="shared" si="13"/>
        <v>0.2218390804597701</v>
      </c>
      <c r="M116" s="63">
        <f t="shared" si="14"/>
        <v>-2.0107584325120361E-4</v>
      </c>
      <c r="N116" s="63">
        <f t="shared" si="15"/>
        <v>0.22208481219390669</v>
      </c>
      <c r="O116" s="62">
        <f t="shared" si="16"/>
        <v>0.31373552572051888</v>
      </c>
      <c r="P116" s="62">
        <f t="shared" si="17"/>
        <v>5.6962329693377389E-2</v>
      </c>
      <c r="Q116" s="62">
        <f t="shared" si="18"/>
        <v>6.3097322739513739E-5</v>
      </c>
      <c r="R116" s="63">
        <f t="shared" si="19"/>
        <v>0.22183908045977022</v>
      </c>
      <c r="S116" s="63">
        <f t="shared" si="20"/>
        <v>2.45731734136472E-4</v>
      </c>
      <c r="T116" s="63">
        <f t="shared" si="21"/>
        <v>0.22208481219390669</v>
      </c>
    </row>
    <row r="117" spans="1:20" x14ac:dyDescent="0.3">
      <c r="A117" s="18" t="s">
        <v>69</v>
      </c>
      <c r="B117" s="18" t="s">
        <v>70</v>
      </c>
      <c r="C117" s="18" t="s">
        <v>46</v>
      </c>
      <c r="D117" s="18" t="s">
        <v>43</v>
      </c>
      <c r="E117" s="61">
        <v>2022</v>
      </c>
      <c r="F117" s="62">
        <v>3189000000</v>
      </c>
      <c r="G117" s="62">
        <v>1682000000</v>
      </c>
      <c r="H117" s="62">
        <v>10162568494</v>
      </c>
      <c r="I117" s="62">
        <v>10160538038</v>
      </c>
      <c r="J117" s="62">
        <f t="shared" si="11"/>
        <v>0.3137986230432584</v>
      </c>
      <c r="K117" s="62">
        <f t="shared" si="12"/>
        <v>0.1655424145561375</v>
      </c>
      <c r="L117" s="63">
        <f t="shared" si="13"/>
        <v>-0.47256193164001253</v>
      </c>
      <c r="M117" s="63">
        <f t="shared" si="14"/>
        <v>-1.9979752177796246E-4</v>
      </c>
      <c r="N117" s="63">
        <f t="shared" si="15"/>
        <v>-0.4724565297620289</v>
      </c>
      <c r="O117" s="62">
        <f t="shared" si="16"/>
        <v>0.16550933959196004</v>
      </c>
      <c r="P117" s="62">
        <f t="shared" si="17"/>
        <v>-0.14828928345129835</v>
      </c>
      <c r="Q117" s="62">
        <f t="shared" si="18"/>
        <v>3.3074964177454147E-5</v>
      </c>
      <c r="R117" s="63">
        <f t="shared" si="19"/>
        <v>-0.47256193164001259</v>
      </c>
      <c r="S117" s="63">
        <f t="shared" si="20"/>
        <v>1.0540187798368584E-4</v>
      </c>
      <c r="T117" s="63">
        <f t="shared" si="21"/>
        <v>-0.4724565297620289</v>
      </c>
    </row>
    <row r="118" spans="1:20" x14ac:dyDescent="0.3">
      <c r="A118" s="18" t="s">
        <v>69</v>
      </c>
      <c r="B118" s="18" t="s">
        <v>70</v>
      </c>
      <c r="C118" s="18" t="s">
        <v>46</v>
      </c>
      <c r="D118" s="18" t="s">
        <v>43</v>
      </c>
      <c r="E118" s="61">
        <v>2023</v>
      </c>
      <c r="F118" s="62">
        <v>1682000000</v>
      </c>
      <c r="G118" s="62">
        <v>3438000000</v>
      </c>
      <c r="H118" s="62">
        <v>10160538038</v>
      </c>
      <c r="I118" s="62">
        <v>10159406558</v>
      </c>
      <c r="J118" s="62">
        <f t="shared" si="11"/>
        <v>0.1655424145561375</v>
      </c>
      <c r="K118" s="62">
        <f t="shared" si="12"/>
        <v>0.33840559292242867</v>
      </c>
      <c r="L118" s="63">
        <f t="shared" si="13"/>
        <v>1.0439952437574316</v>
      </c>
      <c r="M118" s="63">
        <f t="shared" si="14"/>
        <v>-1.1136024448393488E-4</v>
      </c>
      <c r="N118" s="63">
        <f t="shared" si="15"/>
        <v>1.0442228889181213</v>
      </c>
      <c r="O118" s="62">
        <f t="shared" si="16"/>
        <v>0.33836790799286609</v>
      </c>
      <c r="P118" s="62">
        <f t="shared" si="17"/>
        <v>0.17282549343672859</v>
      </c>
      <c r="Q118" s="62">
        <f t="shared" si="18"/>
        <v>3.7684929562575853E-5</v>
      </c>
      <c r="R118" s="63">
        <f t="shared" si="19"/>
        <v>1.0439952437574318</v>
      </c>
      <c r="S118" s="63">
        <f t="shared" si="20"/>
        <v>2.276451606895973E-4</v>
      </c>
      <c r="T118" s="63">
        <f t="shared" si="21"/>
        <v>1.0442228889181213</v>
      </c>
    </row>
    <row r="119" spans="1:20" x14ac:dyDescent="0.3">
      <c r="A119" s="18" t="s">
        <v>69</v>
      </c>
      <c r="B119" s="18" t="s">
        <v>70</v>
      </c>
      <c r="C119" s="18" t="s">
        <v>46</v>
      </c>
      <c r="D119" s="18" t="s">
        <v>43</v>
      </c>
      <c r="E119" s="61">
        <v>2024</v>
      </c>
      <c r="F119" s="62">
        <v>3438000000</v>
      </c>
      <c r="G119" s="62">
        <v>7016000000</v>
      </c>
      <c r="H119" s="62">
        <v>10159406558</v>
      </c>
      <c r="I119" s="62">
        <v>10156151000</v>
      </c>
      <c r="J119" s="62">
        <f t="shared" si="11"/>
        <v>0.33840559292242867</v>
      </c>
      <c r="K119" s="62">
        <f t="shared" si="12"/>
        <v>0.69081288767762516</v>
      </c>
      <c r="L119" s="63">
        <f t="shared" si="13"/>
        <v>1.0407213496218732</v>
      </c>
      <c r="M119" s="63">
        <f t="shared" si="14"/>
        <v>-3.2044765424181384E-4</v>
      </c>
      <c r="N119" s="63">
        <f t="shared" si="15"/>
        <v>1.0413755036134329</v>
      </c>
      <c r="O119" s="62">
        <f t="shared" si="16"/>
        <v>0.69059151830824883</v>
      </c>
      <c r="P119" s="62">
        <f t="shared" si="17"/>
        <v>0.35218592538582016</v>
      </c>
      <c r="Q119" s="62">
        <f t="shared" si="18"/>
        <v>2.2136936937633411E-4</v>
      </c>
      <c r="R119" s="63">
        <f t="shared" si="19"/>
        <v>1.0407213496218732</v>
      </c>
      <c r="S119" s="63">
        <f t="shared" si="20"/>
        <v>6.541539915597013E-4</v>
      </c>
      <c r="T119" s="63">
        <f t="shared" si="21"/>
        <v>1.0413755036134329</v>
      </c>
    </row>
    <row r="120" spans="1:20" x14ac:dyDescent="0.3">
      <c r="A120" s="18" t="s">
        <v>71</v>
      </c>
      <c r="B120" s="18" t="s">
        <v>72</v>
      </c>
      <c r="C120" s="18" t="s">
        <v>46</v>
      </c>
      <c r="D120" s="18" t="s">
        <v>43</v>
      </c>
      <c r="E120" s="61">
        <v>2016</v>
      </c>
      <c r="F120" s="62">
        <v>-8778000000</v>
      </c>
      <c r="G120" s="62">
        <v>-1464000000</v>
      </c>
      <c r="H120" s="62">
        <v>3598190045</v>
      </c>
      <c r="I120" s="62">
        <v>3601100000</v>
      </c>
      <c r="J120" s="62">
        <f t="shared" si="11"/>
        <v>-2.4395598593236616</v>
      </c>
      <c r="K120" s="62">
        <f t="shared" si="12"/>
        <v>-0.40654244536391659</v>
      </c>
      <c r="L120" s="63">
        <f t="shared" si="13"/>
        <v>0.83321941216678064</v>
      </c>
      <c r="M120" s="63">
        <f t="shared" si="14"/>
        <v>8.0872743340603618E-4</v>
      </c>
      <c r="N120" s="63">
        <f t="shared" si="15"/>
        <v>0.83335418321048049</v>
      </c>
      <c r="O120" s="62">
        <f t="shared" si="16"/>
        <v>-0.40687122739232634</v>
      </c>
      <c r="P120" s="62">
        <f t="shared" si="17"/>
        <v>2.0326886319313351</v>
      </c>
      <c r="Q120" s="62">
        <f t="shared" si="18"/>
        <v>3.2878202840974646E-4</v>
      </c>
      <c r="R120" s="63">
        <f t="shared" si="19"/>
        <v>0.83321941216678053</v>
      </c>
      <c r="S120" s="63">
        <f t="shared" si="20"/>
        <v>1.3477104370002927E-4</v>
      </c>
      <c r="T120" s="63">
        <f t="shared" si="21"/>
        <v>0.8333541832104806</v>
      </c>
    </row>
    <row r="121" spans="1:20" x14ac:dyDescent="0.3">
      <c r="A121" s="18" t="s">
        <v>71</v>
      </c>
      <c r="B121" s="18" t="s">
        <v>72</v>
      </c>
      <c r="C121" s="18" t="s">
        <v>46</v>
      </c>
      <c r="D121" s="18" t="s">
        <v>43</v>
      </c>
      <c r="E121" s="61">
        <v>2017</v>
      </c>
      <c r="F121" s="62">
        <v>-1464000000</v>
      </c>
      <c r="G121" s="62">
        <v>3374000000</v>
      </c>
      <c r="H121" s="62">
        <v>3601100000</v>
      </c>
      <c r="I121" s="62">
        <v>3601140133</v>
      </c>
      <c r="J121" s="62">
        <f t="shared" si="11"/>
        <v>-0.40654244536391659</v>
      </c>
      <c r="K121" s="62">
        <f t="shared" si="12"/>
        <v>0.93692549453476104</v>
      </c>
      <c r="L121" s="63">
        <f t="shared" si="13"/>
        <v>3.3046448087431695</v>
      </c>
      <c r="M121" s="63">
        <f t="shared" si="14"/>
        <v>1.1144650245758241E-5</v>
      </c>
      <c r="N121" s="63">
        <f t="shared" si="15"/>
        <v>3.3046191245690761</v>
      </c>
      <c r="O121" s="62">
        <f t="shared" si="16"/>
        <v>0.9369359362417039</v>
      </c>
      <c r="P121" s="62">
        <f t="shared" si="17"/>
        <v>1.3434783816056206</v>
      </c>
      <c r="Q121" s="62">
        <f t="shared" si="18"/>
        <v>-1.0441706942865281E-5</v>
      </c>
      <c r="R121" s="63">
        <f t="shared" si="19"/>
        <v>3.3046448087431695</v>
      </c>
      <c r="S121" s="63">
        <f t="shared" si="20"/>
        <v>-2.5684174092863498E-5</v>
      </c>
      <c r="T121" s="63">
        <f t="shared" si="21"/>
        <v>3.3046191245690766</v>
      </c>
    </row>
    <row r="122" spans="1:20" x14ac:dyDescent="0.3">
      <c r="A122" s="18" t="s">
        <v>71</v>
      </c>
      <c r="B122" s="18" t="s">
        <v>72</v>
      </c>
      <c r="C122" s="18" t="s">
        <v>46</v>
      </c>
      <c r="D122" s="18" t="s">
        <v>43</v>
      </c>
      <c r="E122" s="61">
        <v>2018</v>
      </c>
      <c r="F122" s="62">
        <v>3374000000</v>
      </c>
      <c r="G122" s="62">
        <v>4126000000</v>
      </c>
      <c r="H122" s="62">
        <v>3601140133</v>
      </c>
      <c r="I122" s="62">
        <v>3601140133</v>
      </c>
      <c r="J122" s="62">
        <f t="shared" si="11"/>
        <v>0.93692549453476104</v>
      </c>
      <c r="K122" s="62">
        <f t="shared" si="12"/>
        <v>1.1457482485033859</v>
      </c>
      <c r="L122" s="63">
        <f t="shared" si="13"/>
        <v>0.22288085358624779</v>
      </c>
      <c r="M122" s="63">
        <f t="shared" si="14"/>
        <v>0</v>
      </c>
      <c r="N122" s="63">
        <f t="shared" si="15"/>
        <v>0.22288085358624773</v>
      </c>
      <c r="O122" s="62">
        <f t="shared" si="16"/>
        <v>1.1457482485033859</v>
      </c>
      <c r="P122" s="62">
        <f t="shared" si="17"/>
        <v>0.20882275396862482</v>
      </c>
      <c r="Q122" s="62">
        <f t="shared" si="18"/>
        <v>0</v>
      </c>
      <c r="R122" s="63">
        <f t="shared" si="19"/>
        <v>0.22288085358624773</v>
      </c>
      <c r="S122" s="63">
        <f t="shared" si="20"/>
        <v>0</v>
      </c>
      <c r="T122" s="63">
        <f t="shared" si="21"/>
        <v>0.22288085358624773</v>
      </c>
    </row>
    <row r="123" spans="1:20" x14ac:dyDescent="0.3">
      <c r="A123" s="18" t="s">
        <v>71</v>
      </c>
      <c r="B123" s="18" t="s">
        <v>72</v>
      </c>
      <c r="C123" s="18" t="s">
        <v>46</v>
      </c>
      <c r="D123" s="18" t="s">
        <v>43</v>
      </c>
      <c r="E123" s="61">
        <v>2019</v>
      </c>
      <c r="F123" s="62">
        <v>4126000000</v>
      </c>
      <c r="G123" s="62">
        <v>148000000</v>
      </c>
      <c r="H123" s="62">
        <v>3601140133</v>
      </c>
      <c r="I123" s="62">
        <v>3592249603</v>
      </c>
      <c r="J123" s="62">
        <f t="shared" si="11"/>
        <v>1.1457482485033859</v>
      </c>
      <c r="K123" s="62">
        <f t="shared" si="12"/>
        <v>4.119980968928233E-2</v>
      </c>
      <c r="L123" s="63">
        <f t="shared" si="13"/>
        <v>-0.96412990790111486</v>
      </c>
      <c r="M123" s="63">
        <f t="shared" si="14"/>
        <v>-2.4688097856923916E-3</v>
      </c>
      <c r="N123" s="63">
        <f t="shared" si="15"/>
        <v>-0.96404113229664645</v>
      </c>
      <c r="O123" s="62">
        <f t="shared" si="16"/>
        <v>4.1098095195952762E-2</v>
      </c>
      <c r="P123" s="62">
        <f t="shared" si="17"/>
        <v>-1.1046501533074331</v>
      </c>
      <c r="Q123" s="62">
        <f t="shared" si="18"/>
        <v>1.0171449332956745E-4</v>
      </c>
      <c r="R123" s="63">
        <f t="shared" si="19"/>
        <v>-0.96412990790111486</v>
      </c>
      <c r="S123" s="63">
        <f t="shared" si="20"/>
        <v>8.8775604468460044E-5</v>
      </c>
      <c r="T123" s="63">
        <f t="shared" si="21"/>
        <v>-0.96404113229664645</v>
      </c>
    </row>
    <row r="124" spans="1:20" x14ac:dyDescent="0.3">
      <c r="A124" s="18" t="s">
        <v>71</v>
      </c>
      <c r="B124" s="18" t="s">
        <v>72</v>
      </c>
      <c r="C124" s="18" t="s">
        <v>46</v>
      </c>
      <c r="D124" s="18" t="s">
        <v>43</v>
      </c>
      <c r="E124" s="61">
        <v>2020</v>
      </c>
      <c r="F124" s="62">
        <v>148000000</v>
      </c>
      <c r="G124" s="62">
        <v>-8635000000</v>
      </c>
      <c r="H124" s="62">
        <v>3592249603</v>
      </c>
      <c r="I124" s="62">
        <v>3572550000</v>
      </c>
      <c r="J124" s="62">
        <f t="shared" si="11"/>
        <v>4.119980968928233E-2</v>
      </c>
      <c r="K124" s="62">
        <f t="shared" si="12"/>
        <v>-2.4170410491105794</v>
      </c>
      <c r="L124" s="63">
        <f t="shared" si="13"/>
        <v>-59.344594594594597</v>
      </c>
      <c r="M124" s="63">
        <f t="shared" si="14"/>
        <v>-5.4839182064487513E-3</v>
      </c>
      <c r="N124" s="63">
        <f t="shared" si="15"/>
        <v>-59.666315872312047</v>
      </c>
      <c r="O124" s="62">
        <f t="shared" si="16"/>
        <v>-2.4037861936956277</v>
      </c>
      <c r="P124" s="62">
        <f t="shared" si="17"/>
        <v>-2.4449860033849102</v>
      </c>
      <c r="Q124" s="62">
        <f t="shared" si="18"/>
        <v>-1.3254855414951638E-2</v>
      </c>
      <c r="R124" s="63">
        <f t="shared" si="19"/>
        <v>-59.344594594594597</v>
      </c>
      <c r="S124" s="63">
        <f t="shared" si="20"/>
        <v>-0.32172127771744879</v>
      </c>
      <c r="T124" s="63">
        <f t="shared" si="21"/>
        <v>-59.666315872312047</v>
      </c>
    </row>
    <row r="125" spans="1:20" x14ac:dyDescent="0.3">
      <c r="A125" s="18" t="s">
        <v>71</v>
      </c>
      <c r="B125" s="18" t="s">
        <v>72</v>
      </c>
      <c r="C125" s="18" t="s">
        <v>46</v>
      </c>
      <c r="D125" s="18" t="s">
        <v>43</v>
      </c>
      <c r="E125" s="61">
        <v>2021</v>
      </c>
      <c r="F125" s="62">
        <v>-8635000000</v>
      </c>
      <c r="G125" s="62">
        <v>5821000000</v>
      </c>
      <c r="H125" s="62">
        <v>3572550000</v>
      </c>
      <c r="I125" s="62">
        <v>3565974000</v>
      </c>
      <c r="J125" s="62">
        <f t="shared" si="11"/>
        <v>-2.4170410491105794</v>
      </c>
      <c r="K125" s="62">
        <f t="shared" si="12"/>
        <v>1.6323730907740774</v>
      </c>
      <c r="L125" s="63">
        <f t="shared" si="13"/>
        <v>1.674116965836711</v>
      </c>
      <c r="M125" s="63">
        <f t="shared" si="14"/>
        <v>-1.8407020195658564E-3</v>
      </c>
      <c r="N125" s="63">
        <f t="shared" si="15"/>
        <v>1.6753601025413933</v>
      </c>
      <c r="O125" s="62">
        <f t="shared" si="16"/>
        <v>1.6293683783292046</v>
      </c>
      <c r="P125" s="62">
        <f t="shared" si="17"/>
        <v>4.0464094274397837</v>
      </c>
      <c r="Q125" s="62">
        <f t="shared" si="18"/>
        <v>3.0047124448728812E-3</v>
      </c>
      <c r="R125" s="63">
        <f t="shared" si="19"/>
        <v>1.674116965836711</v>
      </c>
      <c r="S125" s="63">
        <f t="shared" si="20"/>
        <v>1.2431367046821784E-3</v>
      </c>
      <c r="T125" s="63">
        <f t="shared" si="21"/>
        <v>1.6753601025413931</v>
      </c>
    </row>
    <row r="126" spans="1:20" x14ac:dyDescent="0.3">
      <c r="A126" s="18" t="s">
        <v>71</v>
      </c>
      <c r="B126" s="18" t="s">
        <v>72</v>
      </c>
      <c r="C126" s="18" t="s">
        <v>46</v>
      </c>
      <c r="D126" s="18" t="s">
        <v>43</v>
      </c>
      <c r="E126" s="61">
        <v>2022</v>
      </c>
      <c r="F126" s="62">
        <v>5821000000</v>
      </c>
      <c r="G126" s="62">
        <v>13887000000</v>
      </c>
      <c r="H126" s="62">
        <v>3565974000</v>
      </c>
      <c r="I126" s="62">
        <v>3483634000</v>
      </c>
      <c r="J126" s="62">
        <f t="shared" si="11"/>
        <v>1.6323730907740774</v>
      </c>
      <c r="K126" s="62">
        <f t="shared" si="12"/>
        <v>3.9863544792593024</v>
      </c>
      <c r="L126" s="63">
        <f t="shared" si="13"/>
        <v>1.3856725648514001</v>
      </c>
      <c r="M126" s="63">
        <f t="shared" si="14"/>
        <v>-2.3090465606311207E-2</v>
      </c>
      <c r="N126" s="63">
        <f t="shared" si="15"/>
        <v>1.4420608877894197</v>
      </c>
      <c r="O126" s="62">
        <f t="shared" si="16"/>
        <v>3.8943076982614007</v>
      </c>
      <c r="P126" s="62">
        <f t="shared" si="17"/>
        <v>2.2619346074873232</v>
      </c>
      <c r="Q126" s="62">
        <f t="shared" si="18"/>
        <v>9.2046780997901756E-2</v>
      </c>
      <c r="R126" s="63">
        <f t="shared" si="19"/>
        <v>1.3856725648514001</v>
      </c>
      <c r="S126" s="63">
        <f t="shared" si="20"/>
        <v>5.6388322938019535E-2</v>
      </c>
      <c r="T126" s="63">
        <f t="shared" si="21"/>
        <v>1.4420608877894197</v>
      </c>
    </row>
    <row r="127" spans="1:20" x14ac:dyDescent="0.3">
      <c r="A127" s="18" t="s">
        <v>71</v>
      </c>
      <c r="B127" s="18" t="s">
        <v>72</v>
      </c>
      <c r="C127" s="18" t="s">
        <v>46</v>
      </c>
      <c r="D127" s="18" t="s">
        <v>43</v>
      </c>
      <c r="E127" s="61">
        <v>2023</v>
      </c>
      <c r="F127" s="62">
        <v>13887000000</v>
      </c>
      <c r="G127" s="62">
        <v>4771000000</v>
      </c>
      <c r="H127" s="62">
        <v>3483634000</v>
      </c>
      <c r="I127" s="62">
        <v>3303800000</v>
      </c>
      <c r="J127" s="62">
        <f t="shared" si="11"/>
        <v>3.9863544792593024</v>
      </c>
      <c r="K127" s="62">
        <f t="shared" si="12"/>
        <v>1.4440946788546523</v>
      </c>
      <c r="L127" s="63">
        <f t="shared" si="13"/>
        <v>-0.65644127601353786</v>
      </c>
      <c r="M127" s="63">
        <f t="shared" si="14"/>
        <v>-5.1622529806518137E-2</v>
      </c>
      <c r="N127" s="63">
        <f t="shared" si="15"/>
        <v>-0.63774052549311244</v>
      </c>
      <c r="O127" s="62">
        <f t="shared" si="16"/>
        <v>1.3695468582520438</v>
      </c>
      <c r="P127" s="62">
        <f t="shared" si="17"/>
        <v>-2.6168076210072586</v>
      </c>
      <c r="Q127" s="62">
        <f t="shared" si="18"/>
        <v>7.454782060260845E-2</v>
      </c>
      <c r="R127" s="63">
        <f t="shared" si="19"/>
        <v>-0.65644127601353786</v>
      </c>
      <c r="S127" s="63">
        <f t="shared" si="20"/>
        <v>1.8700750520425382E-2</v>
      </c>
      <c r="T127" s="63">
        <f t="shared" si="21"/>
        <v>-0.63774052549311244</v>
      </c>
    </row>
    <row r="128" spans="1:20" x14ac:dyDescent="0.3">
      <c r="A128" s="18" t="s">
        <v>71</v>
      </c>
      <c r="B128" s="18" t="s">
        <v>72</v>
      </c>
      <c r="C128" s="18" t="s">
        <v>46</v>
      </c>
      <c r="D128" s="18" t="s">
        <v>43</v>
      </c>
      <c r="E128" s="61">
        <v>2024</v>
      </c>
      <c r="F128" s="62">
        <v>4771000000</v>
      </c>
      <c r="G128" s="62">
        <v>2624000000</v>
      </c>
      <c r="H128" s="62">
        <v>3303800000</v>
      </c>
      <c r="I128" s="62">
        <v>3167006000</v>
      </c>
      <c r="J128" s="62">
        <f t="shared" si="11"/>
        <v>1.4440946788546523</v>
      </c>
      <c r="K128" s="62">
        <f t="shared" si="12"/>
        <v>0.82854279404585907</v>
      </c>
      <c r="L128" s="63">
        <f t="shared" si="13"/>
        <v>-0.45001047998323201</v>
      </c>
      <c r="M128" s="63">
        <f t="shared" si="14"/>
        <v>-4.1405048731763421E-2</v>
      </c>
      <c r="N128" s="63">
        <f t="shared" si="15"/>
        <v>-0.42625452044252587</v>
      </c>
      <c r="O128" s="62">
        <f t="shared" si="16"/>
        <v>0.79423693928203887</v>
      </c>
      <c r="P128" s="62">
        <f t="shared" si="17"/>
        <v>-0.64985773957261339</v>
      </c>
      <c r="Q128" s="62">
        <f t="shared" si="18"/>
        <v>3.4305854763820198E-2</v>
      </c>
      <c r="R128" s="63">
        <f t="shared" si="19"/>
        <v>-0.45001047998323201</v>
      </c>
      <c r="S128" s="63">
        <f t="shared" si="20"/>
        <v>2.3755959540706178E-2</v>
      </c>
      <c r="T128" s="63">
        <f t="shared" si="21"/>
        <v>-0.42625452044252582</v>
      </c>
    </row>
    <row r="129" spans="1:20" x14ac:dyDescent="0.3">
      <c r="A129" s="18" t="s">
        <v>75</v>
      </c>
      <c r="B129" s="18" t="s">
        <v>76</v>
      </c>
      <c r="C129" s="18" t="s">
        <v>46</v>
      </c>
      <c r="D129" s="18" t="s">
        <v>43</v>
      </c>
      <c r="E129" s="61">
        <v>2018</v>
      </c>
      <c r="F129" s="62">
        <v>535393000</v>
      </c>
      <c r="G129" s="62">
        <v>784678000</v>
      </c>
      <c r="H129" s="62">
        <v>188606000</v>
      </c>
      <c r="I129" s="62">
        <v>188606000</v>
      </c>
      <c r="J129" s="62">
        <f t="shared" si="11"/>
        <v>2.8386848774694338</v>
      </c>
      <c r="K129" s="62">
        <f t="shared" si="12"/>
        <v>4.1604084705682745</v>
      </c>
      <c r="L129" s="63">
        <f t="shared" si="13"/>
        <v>0.46561124258255149</v>
      </c>
      <c r="M129" s="63">
        <f t="shared" si="14"/>
        <v>0</v>
      </c>
      <c r="N129" s="63">
        <f t="shared" si="15"/>
        <v>0.46561124258255138</v>
      </c>
      <c r="O129" s="62">
        <f t="shared" si="16"/>
        <v>4.1604084705682745</v>
      </c>
      <c r="P129" s="62">
        <f t="shared" si="17"/>
        <v>1.3217235930988407</v>
      </c>
      <c r="Q129" s="62">
        <f t="shared" si="18"/>
        <v>0</v>
      </c>
      <c r="R129" s="63">
        <f t="shared" si="19"/>
        <v>0.46561124258255138</v>
      </c>
      <c r="S129" s="63">
        <f t="shared" si="20"/>
        <v>0</v>
      </c>
      <c r="T129" s="63">
        <f t="shared" si="21"/>
        <v>0.46561124258255138</v>
      </c>
    </row>
    <row r="130" spans="1:20" x14ac:dyDescent="0.3">
      <c r="A130" s="18" t="s">
        <v>75</v>
      </c>
      <c r="B130" s="18" t="s">
        <v>76</v>
      </c>
      <c r="C130" s="18" t="s">
        <v>46</v>
      </c>
      <c r="D130" s="18" t="s">
        <v>43</v>
      </c>
      <c r="E130" s="61">
        <v>2019</v>
      </c>
      <c r="F130" s="62">
        <v>784678000</v>
      </c>
      <c r="G130" s="62">
        <v>695818000</v>
      </c>
      <c r="H130" s="62">
        <v>188606000</v>
      </c>
      <c r="I130" s="62">
        <v>186767000</v>
      </c>
      <c r="J130" s="62">
        <f t="shared" si="11"/>
        <v>4.1604084705682745</v>
      </c>
      <c r="K130" s="62">
        <f t="shared" si="12"/>
        <v>3.7255939218384406</v>
      </c>
      <c r="L130" s="63">
        <f t="shared" si="13"/>
        <v>-0.11324390386884811</v>
      </c>
      <c r="M130" s="63">
        <f t="shared" si="14"/>
        <v>-9.7504851383307008E-3</v>
      </c>
      <c r="N130" s="63">
        <f t="shared" si="15"/>
        <v>-0.10451246597679435</v>
      </c>
      <c r="O130" s="62">
        <f t="shared" si="16"/>
        <v>3.6892675736720997</v>
      </c>
      <c r="P130" s="62">
        <f t="shared" si="17"/>
        <v>-0.47114089689617478</v>
      </c>
      <c r="Q130" s="62">
        <f t="shared" si="18"/>
        <v>3.6326348166340949E-2</v>
      </c>
      <c r="R130" s="63">
        <f t="shared" si="19"/>
        <v>-0.11324390386884804</v>
      </c>
      <c r="S130" s="63">
        <f t="shared" si="20"/>
        <v>8.7314378920536843E-3</v>
      </c>
      <c r="T130" s="63">
        <f t="shared" si="21"/>
        <v>-0.10451246597679435</v>
      </c>
    </row>
    <row r="131" spans="1:20" x14ac:dyDescent="0.3">
      <c r="A131" s="18" t="s">
        <v>75</v>
      </c>
      <c r="B131" s="18" t="s">
        <v>76</v>
      </c>
      <c r="C131" s="18" t="s">
        <v>46</v>
      </c>
      <c r="D131" s="18" t="s">
        <v>43</v>
      </c>
      <c r="E131" s="61">
        <v>2020</v>
      </c>
      <c r="F131" s="62">
        <v>695818000</v>
      </c>
      <c r="G131" s="62">
        <v>607817000</v>
      </c>
      <c r="H131" s="62">
        <v>186767000</v>
      </c>
      <c r="I131" s="62">
        <v>184806000</v>
      </c>
      <c r="J131" s="62">
        <f t="shared" si="11"/>
        <v>3.7255939218384406</v>
      </c>
      <c r="K131" s="62">
        <f t="shared" si="12"/>
        <v>3.2889462463339934</v>
      </c>
      <c r="L131" s="63">
        <f t="shared" si="13"/>
        <v>-0.1264712899062686</v>
      </c>
      <c r="M131" s="63">
        <f t="shared" si="14"/>
        <v>-1.0499713546825724E-2</v>
      </c>
      <c r="N131" s="63">
        <f t="shared" si="15"/>
        <v>-0.11720216552451805</v>
      </c>
      <c r="O131" s="62">
        <f t="shared" si="16"/>
        <v>3.2544132528765788</v>
      </c>
      <c r="P131" s="62">
        <f t="shared" si="17"/>
        <v>-0.47118066896186184</v>
      </c>
      <c r="Q131" s="62">
        <f t="shared" si="18"/>
        <v>3.4532993457414562E-2</v>
      </c>
      <c r="R131" s="63">
        <f t="shared" si="19"/>
        <v>-0.12647128990626866</v>
      </c>
      <c r="S131" s="63">
        <f t="shared" si="20"/>
        <v>9.2691243817506087E-3</v>
      </c>
      <c r="T131" s="63">
        <f t="shared" si="21"/>
        <v>-0.11720216552451805</v>
      </c>
    </row>
    <row r="132" spans="1:20" x14ac:dyDescent="0.3">
      <c r="A132" s="18" t="s">
        <v>75</v>
      </c>
      <c r="B132" s="18" t="s">
        <v>76</v>
      </c>
      <c r="C132" s="18" t="s">
        <v>46</v>
      </c>
      <c r="D132" s="18" t="s">
        <v>43</v>
      </c>
      <c r="E132" s="61">
        <v>2021</v>
      </c>
      <c r="F132" s="62">
        <v>607817000</v>
      </c>
      <c r="G132" s="62">
        <v>830767000</v>
      </c>
      <c r="H132" s="62">
        <v>184806000</v>
      </c>
      <c r="I132" s="62">
        <v>184446000</v>
      </c>
      <c r="J132" s="62">
        <f t="shared" si="11"/>
        <v>3.2889462463339934</v>
      </c>
      <c r="K132" s="62">
        <f t="shared" si="12"/>
        <v>4.5041204471769518</v>
      </c>
      <c r="L132" s="63">
        <f t="shared" si="13"/>
        <v>0.366804482270157</v>
      </c>
      <c r="M132" s="63">
        <f t="shared" si="14"/>
        <v>-1.9479887016655303E-3</v>
      </c>
      <c r="N132" s="63">
        <f t="shared" si="15"/>
        <v>0.36947219864035358</v>
      </c>
      <c r="O132" s="62">
        <f t="shared" si="16"/>
        <v>4.4953464714349103</v>
      </c>
      <c r="P132" s="62">
        <f t="shared" si="17"/>
        <v>1.2064002251009169</v>
      </c>
      <c r="Q132" s="62">
        <f t="shared" si="18"/>
        <v>8.7739757420415287E-3</v>
      </c>
      <c r="R132" s="63">
        <f t="shared" si="19"/>
        <v>0.36680448227015705</v>
      </c>
      <c r="S132" s="63">
        <f t="shared" si="20"/>
        <v>2.6677163701965012E-3</v>
      </c>
      <c r="T132" s="63">
        <f t="shared" si="21"/>
        <v>0.36947219864035358</v>
      </c>
    </row>
    <row r="133" spans="1:20" x14ac:dyDescent="0.3">
      <c r="A133" s="18" t="s">
        <v>75</v>
      </c>
      <c r="B133" s="18" t="s">
        <v>76</v>
      </c>
      <c r="C133" s="18" t="s">
        <v>46</v>
      </c>
      <c r="D133" s="18" t="s">
        <v>43</v>
      </c>
      <c r="E133" s="61">
        <v>2022</v>
      </c>
      <c r="F133" s="62">
        <v>830767000</v>
      </c>
      <c r="G133" s="62">
        <v>932614000</v>
      </c>
      <c r="H133" s="62">
        <v>184446000</v>
      </c>
      <c r="I133" s="62">
        <v>182836000</v>
      </c>
      <c r="J133" s="62">
        <f t="shared" ref="J133:J196" si="22">F133/H133</f>
        <v>4.5041204471769518</v>
      </c>
      <c r="K133" s="62">
        <f t="shared" ref="K133:K196" si="23">G133/I133</f>
        <v>5.1008225951125601</v>
      </c>
      <c r="L133" s="63">
        <f t="shared" ref="L133:L196" si="24">IF(F133=0,"",((G133-F133)/ABS(F133)))</f>
        <v>0.1225939402985434</v>
      </c>
      <c r="M133" s="63">
        <f t="shared" ref="M133:M196" si="25">(I133-H133)/H133</f>
        <v>-8.7288420459104565E-3</v>
      </c>
      <c r="N133" s="63">
        <f t="shared" ref="N133:N196" si="26">IF(J133=0,"",((K133-J133)/ABS(J133)))</f>
        <v>0.13247917211219415</v>
      </c>
      <c r="O133" s="62">
        <f t="shared" ref="O133:O196" si="27">G133/H133</f>
        <v>5.0562983203756113</v>
      </c>
      <c r="P133" s="62">
        <f t="shared" ref="P133:P196" si="28">O133-J133</f>
        <v>0.55217787319865952</v>
      </c>
      <c r="Q133" s="62">
        <f t="shared" ref="Q133:Q196" si="29">K133-O133</f>
        <v>4.4524274736948755E-2</v>
      </c>
      <c r="R133" s="63">
        <f t="shared" ref="R133:R196" si="30">IF(J133=0,"",P133/ABS(J133))</f>
        <v>0.12259394029854333</v>
      </c>
      <c r="S133" s="63">
        <f t="shared" ref="S133:S196" si="31">IF(J133=0,"",Q133/ABS(J133))</f>
        <v>9.8852318136508181E-3</v>
      </c>
      <c r="T133" s="63">
        <f t="shared" ref="T133:T196" si="32">R133+S133</f>
        <v>0.13247917211219415</v>
      </c>
    </row>
    <row r="134" spans="1:20" x14ac:dyDescent="0.3">
      <c r="A134" s="18" t="s">
        <v>75</v>
      </c>
      <c r="B134" s="18" t="s">
        <v>76</v>
      </c>
      <c r="C134" s="18" t="s">
        <v>46</v>
      </c>
      <c r="D134" s="18" t="s">
        <v>43</v>
      </c>
      <c r="E134" s="61">
        <v>2023</v>
      </c>
      <c r="F134" s="62">
        <v>932614000</v>
      </c>
      <c r="G134" s="62">
        <v>1252048000</v>
      </c>
      <c r="H134" s="62">
        <v>182836000</v>
      </c>
      <c r="I134" s="62">
        <v>181220000</v>
      </c>
      <c r="J134" s="62">
        <f t="shared" si="22"/>
        <v>5.1008225951125601</v>
      </c>
      <c r="K134" s="62">
        <f t="shared" si="23"/>
        <v>6.9089945922083658</v>
      </c>
      <c r="L134" s="63">
        <f t="shared" si="24"/>
        <v>0.34251469525441391</v>
      </c>
      <c r="M134" s="63">
        <f t="shared" si="25"/>
        <v>-8.8385219541009426E-3</v>
      </c>
      <c r="N134" s="63">
        <f t="shared" si="26"/>
        <v>0.35448635261856321</v>
      </c>
      <c r="O134" s="62">
        <f t="shared" si="27"/>
        <v>6.847929291824367</v>
      </c>
      <c r="P134" s="62">
        <f t="shared" si="28"/>
        <v>1.747106696711807</v>
      </c>
      <c r="Q134" s="62">
        <f t="shared" si="29"/>
        <v>6.1065300383998711E-2</v>
      </c>
      <c r="R134" s="63">
        <f t="shared" si="30"/>
        <v>0.34251469525441386</v>
      </c>
      <c r="S134" s="63">
        <f t="shared" si="31"/>
        <v>1.1971657364149357E-2</v>
      </c>
      <c r="T134" s="63">
        <f t="shared" si="32"/>
        <v>0.35448635261856321</v>
      </c>
    </row>
    <row r="135" spans="1:20" x14ac:dyDescent="0.3">
      <c r="A135" s="18" t="s">
        <v>75</v>
      </c>
      <c r="B135" s="18" t="s">
        <v>76</v>
      </c>
      <c r="C135" s="18" t="s">
        <v>46</v>
      </c>
      <c r="D135" s="18" t="s">
        <v>43</v>
      </c>
      <c r="E135" s="61">
        <v>2024</v>
      </c>
      <c r="F135" s="62">
        <v>1252048000</v>
      </c>
      <c r="G135" s="62">
        <v>1521877000</v>
      </c>
      <c r="H135" s="62">
        <v>181220000</v>
      </c>
      <c r="I135" s="62">
        <v>179743000</v>
      </c>
      <c r="J135" s="62">
        <f t="shared" si="22"/>
        <v>6.9089945922083658</v>
      </c>
      <c r="K135" s="62">
        <f t="shared" si="23"/>
        <v>8.4669611612135096</v>
      </c>
      <c r="L135" s="63">
        <f t="shared" si="24"/>
        <v>0.21551010823866176</v>
      </c>
      <c r="M135" s="63">
        <f t="shared" si="25"/>
        <v>-8.1503145348195555E-3</v>
      </c>
      <c r="N135" s="63">
        <f t="shared" si="26"/>
        <v>0.22549830488536554</v>
      </c>
      <c r="O135" s="62">
        <f t="shared" si="27"/>
        <v>8.3979527645955194</v>
      </c>
      <c r="P135" s="62">
        <f t="shared" si="28"/>
        <v>1.4889581723871537</v>
      </c>
      <c r="Q135" s="62">
        <f t="shared" si="29"/>
        <v>6.9008396617990186E-2</v>
      </c>
      <c r="R135" s="63">
        <f t="shared" si="30"/>
        <v>0.21551010823866176</v>
      </c>
      <c r="S135" s="63">
        <f t="shared" si="31"/>
        <v>9.9881966467037855E-3</v>
      </c>
      <c r="T135" s="63">
        <f t="shared" si="32"/>
        <v>0.22549830488536554</v>
      </c>
    </row>
    <row r="136" spans="1:20" x14ac:dyDescent="0.3">
      <c r="A136" s="18" t="s">
        <v>77</v>
      </c>
      <c r="B136" s="18" t="s">
        <v>78</v>
      </c>
      <c r="C136" s="18" t="s">
        <v>46</v>
      </c>
      <c r="D136" s="18" t="s">
        <v>43</v>
      </c>
      <c r="E136" s="61">
        <v>2016</v>
      </c>
      <c r="F136" s="62">
        <v>191052791</v>
      </c>
      <c r="G136" s="62">
        <v>211843794</v>
      </c>
      <c r="H136" s="62">
        <v>606101380</v>
      </c>
      <c r="I136" s="62">
        <v>605659378</v>
      </c>
      <c r="J136" s="62">
        <f t="shared" si="22"/>
        <v>0.31521589837000535</v>
      </c>
      <c r="K136" s="62">
        <f t="shared" si="23"/>
        <v>0.34977381956760523</v>
      </c>
      <c r="L136" s="63">
        <f t="shared" si="24"/>
        <v>0.10882334087440784</v>
      </c>
      <c r="M136" s="63">
        <f t="shared" si="25"/>
        <v>-7.292542379626326E-4</v>
      </c>
      <c r="N136" s="63">
        <f t="shared" si="26"/>
        <v>0.10963254511051103</v>
      </c>
      <c r="O136" s="62">
        <f t="shared" si="27"/>
        <v>0.34951874552735718</v>
      </c>
      <c r="P136" s="62">
        <f t="shared" si="28"/>
        <v>3.4302847157351823E-2</v>
      </c>
      <c r="Q136" s="62">
        <f t="shared" si="29"/>
        <v>2.5507404024804892E-4</v>
      </c>
      <c r="R136" s="63">
        <f t="shared" si="30"/>
        <v>0.10882334087440794</v>
      </c>
      <c r="S136" s="63">
        <f t="shared" si="31"/>
        <v>8.0920423610308836E-4</v>
      </c>
      <c r="T136" s="63">
        <f t="shared" si="32"/>
        <v>0.10963254511051103</v>
      </c>
    </row>
    <row r="137" spans="1:20" x14ac:dyDescent="0.3">
      <c r="A137" s="18" t="s">
        <v>77</v>
      </c>
      <c r="B137" s="18" t="s">
        <v>78</v>
      </c>
      <c r="C137" s="18" t="s">
        <v>46</v>
      </c>
      <c r="D137" s="18" t="s">
        <v>43</v>
      </c>
      <c r="E137" s="61">
        <v>2017</v>
      </c>
      <c r="F137" s="62">
        <v>211843794</v>
      </c>
      <c r="G137" s="62">
        <v>214120370</v>
      </c>
      <c r="H137" s="62">
        <v>605659378</v>
      </c>
      <c r="I137" s="62">
        <v>607158443</v>
      </c>
      <c r="J137" s="62">
        <f t="shared" si="22"/>
        <v>0.34977381956760523</v>
      </c>
      <c r="K137" s="62">
        <f t="shared" si="23"/>
        <v>0.35265979163860528</v>
      </c>
      <c r="L137" s="63">
        <f t="shared" si="24"/>
        <v>1.0746484270386509E-2</v>
      </c>
      <c r="M137" s="63">
        <f t="shared" si="25"/>
        <v>2.4750958285335097E-3</v>
      </c>
      <c r="N137" s="63">
        <f t="shared" si="26"/>
        <v>8.250966509064997E-3</v>
      </c>
      <c r="O137" s="62">
        <f t="shared" si="27"/>
        <v>0.35353265841778148</v>
      </c>
      <c r="P137" s="62">
        <f t="shared" si="28"/>
        <v>3.7588388501762493E-3</v>
      </c>
      <c r="Q137" s="62">
        <f t="shared" si="29"/>
        <v>-8.7286677917619571E-4</v>
      </c>
      <c r="R137" s="63">
        <f t="shared" si="30"/>
        <v>1.0746484270386426E-2</v>
      </c>
      <c r="S137" s="63">
        <f t="shared" si="31"/>
        <v>-2.4955177613214291E-3</v>
      </c>
      <c r="T137" s="63">
        <f t="shared" si="32"/>
        <v>8.250966509064997E-3</v>
      </c>
    </row>
    <row r="138" spans="1:20" x14ac:dyDescent="0.3">
      <c r="A138" s="18" t="s">
        <v>77</v>
      </c>
      <c r="B138" s="18" t="s">
        <v>78</v>
      </c>
      <c r="C138" s="18" t="s">
        <v>46</v>
      </c>
      <c r="D138" s="18" t="s">
        <v>43</v>
      </c>
      <c r="E138" s="61">
        <v>2018</v>
      </c>
      <c r="F138" s="62">
        <v>214120370</v>
      </c>
      <c r="G138" s="62">
        <v>241219000</v>
      </c>
      <c r="H138" s="62">
        <v>607158443</v>
      </c>
      <c r="I138" s="62">
        <v>607575060</v>
      </c>
      <c r="J138" s="62">
        <f t="shared" si="22"/>
        <v>0.35265979163860528</v>
      </c>
      <c r="K138" s="62">
        <f t="shared" si="23"/>
        <v>0.39701925882211164</v>
      </c>
      <c r="L138" s="63">
        <f t="shared" si="24"/>
        <v>0.12655792627296505</v>
      </c>
      <c r="M138" s="63">
        <f t="shared" si="25"/>
        <v>6.861750912026764E-4</v>
      </c>
      <c r="N138" s="63">
        <f t="shared" si="26"/>
        <v>0.12578544034576122</v>
      </c>
      <c r="O138" s="62">
        <f t="shared" si="27"/>
        <v>0.39729168354824312</v>
      </c>
      <c r="P138" s="62">
        <f t="shared" si="28"/>
        <v>4.4631891909637844E-2</v>
      </c>
      <c r="Q138" s="62">
        <f t="shared" si="29"/>
        <v>-2.7242472613148161E-4</v>
      </c>
      <c r="R138" s="63">
        <f t="shared" si="30"/>
        <v>0.12655792627296511</v>
      </c>
      <c r="S138" s="63">
        <f t="shared" si="31"/>
        <v>-7.7248592720389835E-4</v>
      </c>
      <c r="T138" s="63">
        <f t="shared" si="32"/>
        <v>0.12578544034576122</v>
      </c>
    </row>
    <row r="139" spans="1:20" x14ac:dyDescent="0.3">
      <c r="A139" s="18" t="s">
        <v>77</v>
      </c>
      <c r="B139" s="18" t="s">
        <v>78</v>
      </c>
      <c r="C139" s="18" t="s">
        <v>46</v>
      </c>
      <c r="D139" s="18" t="s">
        <v>43</v>
      </c>
      <c r="E139" s="61">
        <v>2019</v>
      </c>
      <c r="F139" s="62">
        <v>241219000</v>
      </c>
      <c r="G139" s="62">
        <v>288365000</v>
      </c>
      <c r="H139" s="62">
        <v>607575060</v>
      </c>
      <c r="I139" s="62">
        <v>607720344</v>
      </c>
      <c r="J139" s="62">
        <f t="shared" si="22"/>
        <v>0.39701925882211164</v>
      </c>
      <c r="K139" s="62">
        <f t="shared" si="23"/>
        <v>0.47450279202764356</v>
      </c>
      <c r="L139" s="63">
        <f t="shared" si="24"/>
        <v>0.1954489488804779</v>
      </c>
      <c r="M139" s="63">
        <f t="shared" si="25"/>
        <v>2.3912107254698704E-4</v>
      </c>
      <c r="N139" s="63">
        <f t="shared" si="26"/>
        <v>0.19516316018374608</v>
      </c>
      <c r="O139" s="62">
        <f t="shared" si="27"/>
        <v>0.47461625564419974</v>
      </c>
      <c r="P139" s="62">
        <f t="shared" si="28"/>
        <v>7.7596996822088093E-2</v>
      </c>
      <c r="Q139" s="62">
        <f t="shared" si="29"/>
        <v>-1.1346361655617532E-4</v>
      </c>
      <c r="R139" s="63">
        <f t="shared" si="30"/>
        <v>0.19544894888047781</v>
      </c>
      <c r="S139" s="63">
        <f t="shared" si="31"/>
        <v>-2.8578869673174671E-4</v>
      </c>
      <c r="T139" s="63">
        <f t="shared" si="32"/>
        <v>0.19516316018374608</v>
      </c>
    </row>
    <row r="140" spans="1:20" x14ac:dyDescent="0.3">
      <c r="A140" s="18" t="s">
        <v>77</v>
      </c>
      <c r="B140" s="18" t="s">
        <v>78</v>
      </c>
      <c r="C140" s="18" t="s">
        <v>46</v>
      </c>
      <c r="D140" s="18" t="s">
        <v>43</v>
      </c>
      <c r="E140" s="61">
        <v>2020</v>
      </c>
      <c r="F140" s="62">
        <v>288365000</v>
      </c>
      <c r="G140" s="62">
        <v>323571000</v>
      </c>
      <c r="H140" s="62">
        <v>607720344</v>
      </c>
      <c r="I140" s="62">
        <v>608966126</v>
      </c>
      <c r="J140" s="62">
        <f t="shared" si="22"/>
        <v>0.47450279202764356</v>
      </c>
      <c r="K140" s="62">
        <f t="shared" si="23"/>
        <v>0.53134482557409113</v>
      </c>
      <c r="L140" s="63">
        <f t="shared" si="24"/>
        <v>0.12208832555962063</v>
      </c>
      <c r="M140" s="63">
        <f t="shared" si="25"/>
        <v>2.0499264378748524E-3</v>
      </c>
      <c r="N140" s="63">
        <f t="shared" si="26"/>
        <v>0.1197928326270756</v>
      </c>
      <c r="O140" s="62">
        <f t="shared" si="27"/>
        <v>0.53243404337966349</v>
      </c>
      <c r="P140" s="62">
        <f t="shared" si="28"/>
        <v>5.793125135201993E-2</v>
      </c>
      <c r="Q140" s="62">
        <f t="shared" si="29"/>
        <v>-1.0892178055723623E-3</v>
      </c>
      <c r="R140" s="63">
        <f t="shared" si="30"/>
        <v>0.12208832555962068</v>
      </c>
      <c r="S140" s="63">
        <f t="shared" si="31"/>
        <v>-2.2954929325450769E-3</v>
      </c>
      <c r="T140" s="63">
        <f t="shared" si="32"/>
        <v>0.1197928326270756</v>
      </c>
    </row>
    <row r="141" spans="1:20" x14ac:dyDescent="0.3">
      <c r="A141" s="18" t="s">
        <v>77</v>
      </c>
      <c r="B141" s="18" t="s">
        <v>78</v>
      </c>
      <c r="C141" s="18" t="s">
        <v>46</v>
      </c>
      <c r="D141" s="18" t="s">
        <v>43</v>
      </c>
      <c r="E141" s="61">
        <v>2021</v>
      </c>
      <c r="F141" s="62">
        <v>323571000</v>
      </c>
      <c r="G141" s="62">
        <v>380711000</v>
      </c>
      <c r="H141" s="62">
        <v>608966126</v>
      </c>
      <c r="I141" s="62">
        <v>609692634</v>
      </c>
      <c r="J141" s="62">
        <f t="shared" si="22"/>
        <v>0.53134482557409113</v>
      </c>
      <c r="K141" s="62">
        <f t="shared" si="23"/>
        <v>0.62443103093156282</v>
      </c>
      <c r="L141" s="63">
        <f t="shared" si="24"/>
        <v>0.17659184537551265</v>
      </c>
      <c r="M141" s="63">
        <f t="shared" si="25"/>
        <v>1.1930187394364198E-3</v>
      </c>
      <c r="N141" s="63">
        <f t="shared" si="26"/>
        <v>0.17518982189559629</v>
      </c>
      <c r="O141" s="62">
        <f t="shared" si="27"/>
        <v>0.62517598885294978</v>
      </c>
      <c r="P141" s="62">
        <f t="shared" si="28"/>
        <v>9.3831163278858654E-2</v>
      </c>
      <c r="Q141" s="62">
        <f t="shared" si="29"/>
        <v>-7.4495792138695727E-4</v>
      </c>
      <c r="R141" s="63">
        <f t="shared" si="30"/>
        <v>0.17659184537551267</v>
      </c>
      <c r="S141" s="63">
        <f t="shared" si="31"/>
        <v>-1.4020234799163951E-3</v>
      </c>
      <c r="T141" s="63">
        <f t="shared" si="32"/>
        <v>0.17518982189559629</v>
      </c>
    </row>
    <row r="142" spans="1:20" x14ac:dyDescent="0.3">
      <c r="A142" s="18" t="s">
        <v>77</v>
      </c>
      <c r="B142" s="18" t="s">
        <v>78</v>
      </c>
      <c r="C142" s="18" t="s">
        <v>46</v>
      </c>
      <c r="D142" s="18" t="s">
        <v>43</v>
      </c>
      <c r="E142" s="61">
        <v>2022</v>
      </c>
      <c r="F142" s="62">
        <v>380711000</v>
      </c>
      <c r="G142" s="62">
        <v>428505000</v>
      </c>
      <c r="H142" s="62">
        <v>609692634</v>
      </c>
      <c r="I142" s="62">
        <v>609932199</v>
      </c>
      <c r="J142" s="62">
        <f t="shared" si="22"/>
        <v>0.62443103093156282</v>
      </c>
      <c r="K142" s="62">
        <f t="shared" si="23"/>
        <v>0.70254530044904218</v>
      </c>
      <c r="L142" s="63">
        <f t="shared" si="24"/>
        <v>0.12553879451867689</v>
      </c>
      <c r="M142" s="63">
        <f t="shared" si="25"/>
        <v>3.9292749598808502E-4</v>
      </c>
      <c r="N142" s="63">
        <f t="shared" si="26"/>
        <v>0.1250967130844601</v>
      </c>
      <c r="O142" s="62">
        <f t="shared" si="27"/>
        <v>0.70282134981476585</v>
      </c>
      <c r="P142" s="62">
        <f t="shared" si="28"/>
        <v>7.8390318883203025E-2</v>
      </c>
      <c r="Q142" s="62">
        <f t="shared" si="29"/>
        <v>-2.76049365723674E-4</v>
      </c>
      <c r="R142" s="63">
        <f t="shared" si="30"/>
        <v>0.12553879451867686</v>
      </c>
      <c r="S142" s="63">
        <f t="shared" si="31"/>
        <v>-4.4208143421675791E-4</v>
      </c>
      <c r="T142" s="63">
        <f t="shared" si="32"/>
        <v>0.1250967130844601</v>
      </c>
    </row>
    <row r="143" spans="1:20" x14ac:dyDescent="0.3">
      <c r="A143" s="18" t="s">
        <v>77</v>
      </c>
      <c r="B143" s="18" t="s">
        <v>78</v>
      </c>
      <c r="C143" s="18" t="s">
        <v>46</v>
      </c>
      <c r="D143" s="18" t="s">
        <v>43</v>
      </c>
      <c r="E143" s="61">
        <v>2023</v>
      </c>
      <c r="F143" s="62">
        <v>428505000</v>
      </c>
      <c r="G143" s="62">
        <v>609101000</v>
      </c>
      <c r="H143" s="62">
        <v>609932199</v>
      </c>
      <c r="I143" s="62">
        <v>611547802</v>
      </c>
      <c r="J143" s="62">
        <f t="shared" si="22"/>
        <v>0.70254530044904218</v>
      </c>
      <c r="K143" s="62">
        <f t="shared" si="23"/>
        <v>0.99599900123588381</v>
      </c>
      <c r="L143" s="63">
        <f t="shared" si="24"/>
        <v>0.4214559923454802</v>
      </c>
      <c r="M143" s="63">
        <f t="shared" si="25"/>
        <v>2.6488239228045739E-3</v>
      </c>
      <c r="N143" s="63">
        <f t="shared" si="26"/>
        <v>0.41770075267641299</v>
      </c>
      <c r="O143" s="62">
        <f t="shared" si="27"/>
        <v>0.99863722721744685</v>
      </c>
      <c r="P143" s="62">
        <f t="shared" si="28"/>
        <v>0.29609192676840468</v>
      </c>
      <c r="Q143" s="62">
        <f t="shared" si="29"/>
        <v>-2.6382259815630471E-3</v>
      </c>
      <c r="R143" s="63">
        <f t="shared" si="30"/>
        <v>0.42145599234548031</v>
      </c>
      <c r="S143" s="63">
        <f t="shared" si="31"/>
        <v>-3.7552396690672986E-3</v>
      </c>
      <c r="T143" s="63">
        <f t="shared" si="32"/>
        <v>0.41770075267641299</v>
      </c>
    </row>
    <row r="144" spans="1:20" x14ac:dyDescent="0.3">
      <c r="A144" s="18" t="s">
        <v>77</v>
      </c>
      <c r="B144" s="18" t="s">
        <v>78</v>
      </c>
      <c r="C144" s="18" t="s">
        <v>46</v>
      </c>
      <c r="D144" s="18" t="s">
        <v>43</v>
      </c>
      <c r="E144" s="61">
        <v>2024</v>
      </c>
      <c r="F144" s="62">
        <v>609101000</v>
      </c>
      <c r="G144" s="62">
        <v>652285000</v>
      </c>
      <c r="H144" s="62">
        <v>611547802</v>
      </c>
      <c r="I144" s="62">
        <v>610829690</v>
      </c>
      <c r="J144" s="62">
        <f t="shared" si="22"/>
        <v>0.99599900123588381</v>
      </c>
      <c r="K144" s="62">
        <f t="shared" si="23"/>
        <v>1.0678672151643447</v>
      </c>
      <c r="L144" s="63">
        <f t="shared" si="24"/>
        <v>7.0897929899967335E-2</v>
      </c>
      <c r="M144" s="63">
        <f t="shared" si="25"/>
        <v>-1.1742532597639849E-3</v>
      </c>
      <c r="N144" s="63">
        <f t="shared" si="26"/>
        <v>7.2156913650800167E-2</v>
      </c>
      <c r="O144" s="62">
        <f t="shared" si="27"/>
        <v>1.0666132686059429</v>
      </c>
      <c r="P144" s="62">
        <f t="shared" si="28"/>
        <v>7.0614267370059047E-2</v>
      </c>
      <c r="Q144" s="62">
        <f t="shared" si="29"/>
        <v>1.2539465584018306E-3</v>
      </c>
      <c r="R144" s="63">
        <f t="shared" si="30"/>
        <v>7.089792989996721E-2</v>
      </c>
      <c r="S144" s="63">
        <f t="shared" si="31"/>
        <v>1.2589837508329557E-3</v>
      </c>
      <c r="T144" s="63">
        <f t="shared" si="32"/>
        <v>7.2156913650800167E-2</v>
      </c>
    </row>
    <row r="145" spans="1:20" x14ac:dyDescent="0.3">
      <c r="A145" s="18" t="s">
        <v>79</v>
      </c>
      <c r="B145" s="18" t="s">
        <v>80</v>
      </c>
      <c r="C145" s="18" t="s">
        <v>46</v>
      </c>
      <c r="D145" s="18" t="s">
        <v>43</v>
      </c>
      <c r="E145" s="61">
        <v>2016</v>
      </c>
      <c r="F145" s="62">
        <v>180000000</v>
      </c>
      <c r="G145" s="62">
        <v>207300000</v>
      </c>
      <c r="H145" s="62">
        <v>1473737913</v>
      </c>
      <c r="I145" s="62">
        <v>1471822892</v>
      </c>
      <c r="J145" s="62">
        <f t="shared" si="22"/>
        <v>0.12213840630155519</v>
      </c>
      <c r="K145" s="62">
        <f t="shared" si="23"/>
        <v>0.1408457506176633</v>
      </c>
      <c r="L145" s="63">
        <f t="shared" si="24"/>
        <v>0.15166666666666667</v>
      </c>
      <c r="M145" s="63">
        <f t="shared" si="25"/>
        <v>-1.2994311831889473E-3</v>
      </c>
      <c r="N145" s="63">
        <f t="shared" si="26"/>
        <v>0.15316512538996435</v>
      </c>
      <c r="O145" s="62">
        <f t="shared" si="27"/>
        <v>0.14066273125729106</v>
      </c>
      <c r="P145" s="62">
        <f t="shared" si="28"/>
        <v>1.8524324955735874E-2</v>
      </c>
      <c r="Q145" s="62">
        <f t="shared" si="29"/>
        <v>1.8301936037223854E-4</v>
      </c>
      <c r="R145" s="63">
        <f t="shared" si="30"/>
        <v>0.1516666666666667</v>
      </c>
      <c r="S145" s="63">
        <f t="shared" si="31"/>
        <v>1.498458723297654E-3</v>
      </c>
      <c r="T145" s="63">
        <f t="shared" si="32"/>
        <v>0.15316512538996435</v>
      </c>
    </row>
    <row r="146" spans="1:20" x14ac:dyDescent="0.3">
      <c r="A146" s="18" t="s">
        <v>79</v>
      </c>
      <c r="B146" s="18" t="s">
        <v>80</v>
      </c>
      <c r="C146" s="18" t="s">
        <v>46</v>
      </c>
      <c r="D146" s="18" t="s">
        <v>43</v>
      </c>
      <c r="E146" s="61">
        <v>2017</v>
      </c>
      <c r="F146" s="62">
        <v>207300000</v>
      </c>
      <c r="G146" s="62">
        <v>251400000</v>
      </c>
      <c r="H146" s="62">
        <v>1471822892</v>
      </c>
      <c r="I146" s="62">
        <v>1471004233</v>
      </c>
      <c r="J146" s="62">
        <f t="shared" si="22"/>
        <v>0.1408457506176633</v>
      </c>
      <c r="K146" s="62">
        <f t="shared" si="23"/>
        <v>0.17090365504067179</v>
      </c>
      <c r="L146" s="63">
        <f t="shared" si="24"/>
        <v>0.21273516642547033</v>
      </c>
      <c r="M146" s="63">
        <f t="shared" si="25"/>
        <v>-5.5622113533480768E-4</v>
      </c>
      <c r="N146" s="63">
        <f t="shared" si="26"/>
        <v>0.21341009076378167</v>
      </c>
      <c r="O146" s="62">
        <f t="shared" si="27"/>
        <v>0.17080859481563221</v>
      </c>
      <c r="P146" s="62">
        <f t="shared" si="28"/>
        <v>2.9962844197968908E-2</v>
      </c>
      <c r="Q146" s="62">
        <f t="shared" si="29"/>
        <v>9.5060225039578228E-5</v>
      </c>
      <c r="R146" s="63">
        <f t="shared" si="30"/>
        <v>0.21273516642547044</v>
      </c>
      <c r="S146" s="63">
        <f t="shared" si="31"/>
        <v>6.749243383112535E-4</v>
      </c>
      <c r="T146" s="63">
        <f t="shared" si="32"/>
        <v>0.2134100907637817</v>
      </c>
    </row>
    <row r="147" spans="1:20" x14ac:dyDescent="0.3">
      <c r="A147" s="18" t="s">
        <v>79</v>
      </c>
      <c r="B147" s="18" t="s">
        <v>80</v>
      </c>
      <c r="C147" s="18" t="s">
        <v>46</v>
      </c>
      <c r="D147" s="18" t="s">
        <v>43</v>
      </c>
      <c r="E147" s="61">
        <v>2018</v>
      </c>
      <c r="F147" s="62">
        <v>251400000</v>
      </c>
      <c r="G147" s="62">
        <v>281900000</v>
      </c>
      <c r="H147" s="62">
        <v>1471004233</v>
      </c>
      <c r="I147" s="62">
        <v>1467966686</v>
      </c>
      <c r="J147" s="62">
        <f t="shared" si="22"/>
        <v>0.17090365504067179</v>
      </c>
      <c r="K147" s="62">
        <f t="shared" si="23"/>
        <v>0.1920343306755396</v>
      </c>
      <c r="L147" s="63">
        <f t="shared" si="24"/>
        <v>0.12132060461416071</v>
      </c>
      <c r="M147" s="63">
        <f t="shared" si="25"/>
        <v>-2.0649478307789479E-3</v>
      </c>
      <c r="N147" s="63">
        <f t="shared" si="26"/>
        <v>0.1236408643796361</v>
      </c>
      <c r="O147" s="62">
        <f t="shared" si="27"/>
        <v>0.19163778980097604</v>
      </c>
      <c r="P147" s="62">
        <f t="shared" si="28"/>
        <v>2.0734134760304251E-2</v>
      </c>
      <c r="Q147" s="62">
        <f t="shared" si="29"/>
        <v>3.9654087456356124E-4</v>
      </c>
      <c r="R147" s="63">
        <f t="shared" si="30"/>
        <v>0.12132060461416068</v>
      </c>
      <c r="S147" s="63">
        <f t="shared" si="31"/>
        <v>2.3202597654754203E-3</v>
      </c>
      <c r="T147" s="63">
        <f t="shared" si="32"/>
        <v>0.1236408643796361</v>
      </c>
    </row>
    <row r="148" spans="1:20" x14ac:dyDescent="0.3">
      <c r="A148" s="18" t="s">
        <v>79</v>
      </c>
      <c r="B148" s="18" t="s">
        <v>80</v>
      </c>
      <c r="C148" s="18" t="s">
        <v>46</v>
      </c>
      <c r="D148" s="18" t="s">
        <v>43</v>
      </c>
      <c r="E148" s="61">
        <v>2019</v>
      </c>
      <c r="F148" s="62">
        <v>281900000</v>
      </c>
      <c r="G148" s="62">
        <v>385700000</v>
      </c>
      <c r="H148" s="62">
        <v>1467966686</v>
      </c>
      <c r="I148" s="62">
        <v>1472516974</v>
      </c>
      <c r="J148" s="62">
        <f t="shared" si="22"/>
        <v>0.1920343306755396</v>
      </c>
      <c r="K148" s="62">
        <f t="shared" si="23"/>
        <v>0.2619324644878423</v>
      </c>
      <c r="L148" s="63">
        <f t="shared" si="24"/>
        <v>0.36821567931890742</v>
      </c>
      <c r="M148" s="63">
        <f t="shared" si="25"/>
        <v>3.0997215695670087E-3</v>
      </c>
      <c r="N148" s="63">
        <f t="shared" si="26"/>
        <v>0.3639876972331697</v>
      </c>
      <c r="O148" s="62">
        <f t="shared" si="27"/>
        <v>0.26274438219778512</v>
      </c>
      <c r="P148" s="62">
        <f t="shared" si="28"/>
        <v>7.0710051522245521E-2</v>
      </c>
      <c r="Q148" s="62">
        <f t="shared" si="29"/>
        <v>-8.1191770994282209E-4</v>
      </c>
      <c r="R148" s="63">
        <f t="shared" si="30"/>
        <v>0.36821567931890747</v>
      </c>
      <c r="S148" s="63">
        <f t="shared" si="31"/>
        <v>-4.2279820857377571E-3</v>
      </c>
      <c r="T148" s="63">
        <f t="shared" si="32"/>
        <v>0.3639876972331697</v>
      </c>
    </row>
    <row r="149" spans="1:20" x14ac:dyDescent="0.3">
      <c r="A149" s="18" t="s">
        <v>79</v>
      </c>
      <c r="B149" s="18" t="s">
        <v>80</v>
      </c>
      <c r="C149" s="18" t="s">
        <v>46</v>
      </c>
      <c r="D149" s="18" t="s">
        <v>43</v>
      </c>
      <c r="E149" s="61">
        <v>2020</v>
      </c>
      <c r="F149" s="62">
        <v>385700000</v>
      </c>
      <c r="G149" s="62">
        <v>302700000</v>
      </c>
      <c r="H149" s="62">
        <v>1472516974</v>
      </c>
      <c r="I149" s="62">
        <v>1467973723</v>
      </c>
      <c r="J149" s="62">
        <f t="shared" si="22"/>
        <v>0.2619324644878423</v>
      </c>
      <c r="K149" s="62">
        <f t="shared" si="23"/>
        <v>0.20620260108021021</v>
      </c>
      <c r="L149" s="63">
        <f t="shared" si="24"/>
        <v>-0.21519315530204822</v>
      </c>
      <c r="M149" s="63">
        <f t="shared" si="25"/>
        <v>-3.0853640944175629E-3</v>
      </c>
      <c r="N149" s="63">
        <f t="shared" si="26"/>
        <v>-0.21276424637396871</v>
      </c>
      <c r="O149" s="62">
        <f t="shared" si="27"/>
        <v>0.20556639097866181</v>
      </c>
      <c r="P149" s="62">
        <f t="shared" si="28"/>
        <v>-5.6366073509180492E-2</v>
      </c>
      <c r="Q149" s="62">
        <f t="shared" si="29"/>
        <v>6.3621010154840674E-4</v>
      </c>
      <c r="R149" s="63">
        <f t="shared" si="30"/>
        <v>-0.21519315530204827</v>
      </c>
      <c r="S149" s="63">
        <f t="shared" si="31"/>
        <v>2.4289089280795763E-3</v>
      </c>
      <c r="T149" s="63">
        <f t="shared" si="32"/>
        <v>-0.21276424637396871</v>
      </c>
    </row>
    <row r="150" spans="1:20" x14ac:dyDescent="0.3">
      <c r="A150" s="18" t="s">
        <v>79</v>
      </c>
      <c r="B150" s="18" t="s">
        <v>80</v>
      </c>
      <c r="C150" s="18" t="s">
        <v>46</v>
      </c>
      <c r="D150" s="18" t="s">
        <v>43</v>
      </c>
      <c r="E150" s="61">
        <v>2021</v>
      </c>
      <c r="F150" s="62">
        <v>302700000</v>
      </c>
      <c r="G150" s="62">
        <v>333500000</v>
      </c>
      <c r="H150" s="62">
        <v>1467973723</v>
      </c>
      <c r="I150" s="62">
        <v>1461238457</v>
      </c>
      <c r="J150" s="62">
        <f t="shared" si="22"/>
        <v>0.20620260108021021</v>
      </c>
      <c r="K150" s="62">
        <f t="shared" si="23"/>
        <v>0.22823105866286408</v>
      </c>
      <c r="L150" s="63">
        <f t="shared" si="24"/>
        <v>0.10175090849025438</v>
      </c>
      <c r="M150" s="63">
        <f t="shared" si="25"/>
        <v>-4.5881379853554777E-3</v>
      </c>
      <c r="N150" s="63">
        <f t="shared" si="26"/>
        <v>0.10682919355651134</v>
      </c>
      <c r="O150" s="62">
        <f t="shared" si="27"/>
        <v>0.2271839030731751</v>
      </c>
      <c r="P150" s="62">
        <f t="shared" si="28"/>
        <v>2.0981301992964885E-2</v>
      </c>
      <c r="Q150" s="62">
        <f t="shared" si="29"/>
        <v>1.0471555896889861E-3</v>
      </c>
      <c r="R150" s="63">
        <f t="shared" si="30"/>
        <v>0.10175090849025431</v>
      </c>
      <c r="S150" s="63">
        <f t="shared" si="31"/>
        <v>5.0782850662570243E-3</v>
      </c>
      <c r="T150" s="63">
        <f t="shared" si="32"/>
        <v>0.10682919355651134</v>
      </c>
    </row>
    <row r="151" spans="1:20" x14ac:dyDescent="0.3">
      <c r="A151" s="18" t="s">
        <v>79</v>
      </c>
      <c r="B151" s="18" t="s">
        <v>80</v>
      </c>
      <c r="C151" s="18" t="s">
        <v>46</v>
      </c>
      <c r="D151" s="18" t="s">
        <v>43</v>
      </c>
      <c r="E151" s="61">
        <v>2022</v>
      </c>
      <c r="F151" s="62">
        <v>333500000</v>
      </c>
      <c r="G151" s="62">
        <v>255200000</v>
      </c>
      <c r="H151" s="62">
        <v>1461238457</v>
      </c>
      <c r="I151" s="62">
        <v>1454636032</v>
      </c>
      <c r="J151" s="62">
        <f t="shared" si="22"/>
        <v>0.22823105866286408</v>
      </c>
      <c r="K151" s="62">
        <f t="shared" si="23"/>
        <v>0.175439075057918</v>
      </c>
      <c r="L151" s="63">
        <f t="shared" si="24"/>
        <v>-0.23478260869565218</v>
      </c>
      <c r="M151" s="63">
        <f t="shared" si="25"/>
        <v>-4.5183761543992817E-3</v>
      </c>
      <c r="N151" s="63">
        <f t="shared" si="26"/>
        <v>-0.23130937530692866</v>
      </c>
      <c r="O151" s="62">
        <f t="shared" si="27"/>
        <v>0.17464637532462643</v>
      </c>
      <c r="P151" s="62">
        <f t="shared" si="28"/>
        <v>-5.3584683338237654E-2</v>
      </c>
      <c r="Q151" s="62">
        <f t="shared" si="29"/>
        <v>7.9269973329157417E-4</v>
      </c>
      <c r="R151" s="63">
        <f t="shared" si="30"/>
        <v>-0.23478260869565218</v>
      </c>
      <c r="S151" s="63">
        <f t="shared" si="31"/>
        <v>3.4732333887235122E-3</v>
      </c>
      <c r="T151" s="63">
        <f t="shared" si="32"/>
        <v>-0.23130937530692866</v>
      </c>
    </row>
    <row r="152" spans="1:20" x14ac:dyDescent="0.3">
      <c r="A152" s="18" t="s">
        <v>79</v>
      </c>
      <c r="B152" s="18" t="s">
        <v>80</v>
      </c>
      <c r="C152" s="18" t="s">
        <v>46</v>
      </c>
      <c r="D152" s="18" t="s">
        <v>43</v>
      </c>
      <c r="E152" s="61">
        <v>2023</v>
      </c>
      <c r="F152" s="62">
        <v>255200000</v>
      </c>
      <c r="G152" s="62">
        <v>441400000</v>
      </c>
      <c r="H152" s="62">
        <v>1454636032</v>
      </c>
      <c r="I152" s="62">
        <v>1446069736</v>
      </c>
      <c r="J152" s="62">
        <f t="shared" si="22"/>
        <v>0.175439075057918</v>
      </c>
      <c r="K152" s="62">
        <f t="shared" si="23"/>
        <v>0.30524115747070718</v>
      </c>
      <c r="L152" s="63">
        <f t="shared" si="24"/>
        <v>0.72962382445141061</v>
      </c>
      <c r="M152" s="63">
        <f t="shared" si="25"/>
        <v>-5.8889617825718761E-3</v>
      </c>
      <c r="N152" s="63">
        <f t="shared" si="26"/>
        <v>0.73986985151362317</v>
      </c>
      <c r="O152" s="62">
        <f t="shared" si="27"/>
        <v>0.30344360395989423</v>
      </c>
      <c r="P152" s="62">
        <f t="shared" si="28"/>
        <v>0.12800452890197622</v>
      </c>
      <c r="Q152" s="62">
        <f t="shared" si="29"/>
        <v>1.7975535108129548E-3</v>
      </c>
      <c r="R152" s="63">
        <f t="shared" si="30"/>
        <v>0.72962382445141061</v>
      </c>
      <c r="S152" s="63">
        <f t="shared" si="31"/>
        <v>1.0246027062212483E-2</v>
      </c>
      <c r="T152" s="63">
        <f t="shared" si="32"/>
        <v>0.73986985151362306</v>
      </c>
    </row>
    <row r="153" spans="1:20" x14ac:dyDescent="0.3">
      <c r="A153" s="18" t="s">
        <v>79</v>
      </c>
      <c r="B153" s="18" t="s">
        <v>80</v>
      </c>
      <c r="C153" s="18" t="s">
        <v>46</v>
      </c>
      <c r="D153" s="18" t="s">
        <v>43</v>
      </c>
      <c r="E153" s="61">
        <v>2024</v>
      </c>
      <c r="F153" s="62">
        <v>441400000</v>
      </c>
      <c r="G153" s="62">
        <v>494500000</v>
      </c>
      <c r="H153" s="62">
        <v>1446069736</v>
      </c>
      <c r="I153" s="62">
        <v>1441926307</v>
      </c>
      <c r="J153" s="62">
        <f t="shared" si="22"/>
        <v>0.30524115747070718</v>
      </c>
      <c r="K153" s="62">
        <f t="shared" si="23"/>
        <v>0.34294401704122596</v>
      </c>
      <c r="L153" s="63">
        <f t="shared" si="24"/>
        <v>0.12029904848210241</v>
      </c>
      <c r="M153" s="63">
        <f t="shared" si="25"/>
        <v>-2.8653037241905188E-3</v>
      </c>
      <c r="N153" s="63">
        <f t="shared" si="26"/>
        <v>0.12351826956408057</v>
      </c>
      <c r="O153" s="62">
        <f t="shared" si="27"/>
        <v>0.34196137827200884</v>
      </c>
      <c r="P153" s="62">
        <f t="shared" si="28"/>
        <v>3.6720220801301662E-2</v>
      </c>
      <c r="Q153" s="62">
        <f t="shared" si="29"/>
        <v>9.8263876921711457E-4</v>
      </c>
      <c r="R153" s="63">
        <f t="shared" si="30"/>
        <v>0.12029904848210242</v>
      </c>
      <c r="S153" s="63">
        <f t="shared" si="31"/>
        <v>3.2192210819781556E-3</v>
      </c>
      <c r="T153" s="63">
        <f t="shared" si="32"/>
        <v>0.12351826956408057</v>
      </c>
    </row>
    <row r="154" spans="1:20" x14ac:dyDescent="0.3">
      <c r="A154" s="18" t="s">
        <v>81</v>
      </c>
      <c r="B154" s="18" t="s">
        <v>82</v>
      </c>
      <c r="C154" s="18" t="s">
        <v>46</v>
      </c>
      <c r="D154" s="18" t="s">
        <v>43</v>
      </c>
      <c r="E154" s="61">
        <v>2017</v>
      </c>
      <c r="F154" s="62">
        <v>97924833</v>
      </c>
      <c r="G154" s="62">
        <v>126740774</v>
      </c>
      <c r="H154" s="62">
        <v>600000000</v>
      </c>
      <c r="I154" s="62">
        <v>600000000</v>
      </c>
      <c r="J154" s="62">
        <f t="shared" si="22"/>
        <v>0.16320805499999999</v>
      </c>
      <c r="K154" s="62">
        <f t="shared" si="23"/>
        <v>0.21123462333333334</v>
      </c>
      <c r="L154" s="63">
        <f t="shared" si="24"/>
        <v>0.29426591924849133</v>
      </c>
      <c r="M154" s="63">
        <f t="shared" si="25"/>
        <v>0</v>
      </c>
      <c r="N154" s="63">
        <f t="shared" si="26"/>
        <v>0.29426591924849149</v>
      </c>
      <c r="O154" s="62">
        <f t="shared" si="27"/>
        <v>0.21123462333333334</v>
      </c>
      <c r="P154" s="62">
        <f t="shared" si="28"/>
        <v>4.8026568333333353E-2</v>
      </c>
      <c r="Q154" s="62">
        <f t="shared" si="29"/>
        <v>0</v>
      </c>
      <c r="R154" s="63">
        <f t="shared" si="30"/>
        <v>0.29426591924849149</v>
      </c>
      <c r="S154" s="63">
        <f t="shared" si="31"/>
        <v>0</v>
      </c>
      <c r="T154" s="63">
        <f t="shared" si="32"/>
        <v>0.29426591924849149</v>
      </c>
    </row>
    <row r="155" spans="1:20" x14ac:dyDescent="0.3">
      <c r="A155" s="18" t="s">
        <v>81</v>
      </c>
      <c r="B155" s="18" t="s">
        <v>82</v>
      </c>
      <c r="C155" s="18" t="s">
        <v>46</v>
      </c>
      <c r="D155" s="18" t="s">
        <v>43</v>
      </c>
      <c r="E155" s="61">
        <v>2018</v>
      </c>
      <c r="F155" s="62">
        <v>126740774</v>
      </c>
      <c r="G155" s="62">
        <v>140760895</v>
      </c>
      <c r="H155" s="62">
        <v>600000000</v>
      </c>
      <c r="I155" s="62">
        <v>599966889</v>
      </c>
      <c r="J155" s="62">
        <f t="shared" si="22"/>
        <v>0.21123462333333334</v>
      </c>
      <c r="K155" s="62">
        <f t="shared" si="23"/>
        <v>0.23461443886447542</v>
      </c>
      <c r="L155" s="63">
        <f t="shared" si="24"/>
        <v>0.11062044642397402</v>
      </c>
      <c r="M155" s="63">
        <f t="shared" si="25"/>
        <v>-5.5185000000000001E-5</v>
      </c>
      <c r="N155" s="63">
        <f t="shared" si="26"/>
        <v>0.11068173939576259</v>
      </c>
      <c r="O155" s="62">
        <f t="shared" si="27"/>
        <v>0.23460149166666666</v>
      </c>
      <c r="P155" s="62">
        <f t="shared" si="28"/>
        <v>2.3366868333333318E-2</v>
      </c>
      <c r="Q155" s="62">
        <f t="shared" si="29"/>
        <v>1.2947197808754751E-5</v>
      </c>
      <c r="R155" s="63">
        <f t="shared" si="30"/>
        <v>0.11062044642397395</v>
      </c>
      <c r="S155" s="63">
        <f t="shared" si="31"/>
        <v>6.1292971788643569E-5</v>
      </c>
      <c r="T155" s="63">
        <f t="shared" si="32"/>
        <v>0.11068173939576259</v>
      </c>
    </row>
    <row r="156" spans="1:20" x14ac:dyDescent="0.3">
      <c r="A156" s="18" t="s">
        <v>81</v>
      </c>
      <c r="B156" s="18" t="s">
        <v>82</v>
      </c>
      <c r="C156" s="18" t="s">
        <v>46</v>
      </c>
      <c r="D156" s="18" t="s">
        <v>43</v>
      </c>
      <c r="E156" s="61">
        <v>2019</v>
      </c>
      <c r="F156" s="62">
        <v>140760895</v>
      </c>
      <c r="G156" s="62">
        <v>139313769</v>
      </c>
      <c r="H156" s="62">
        <v>599966889</v>
      </c>
      <c r="I156" s="62">
        <v>599777882</v>
      </c>
      <c r="J156" s="62">
        <f t="shared" si="22"/>
        <v>0.23461443886447542</v>
      </c>
      <c r="K156" s="62">
        <f t="shared" si="23"/>
        <v>0.23227560265385044</v>
      </c>
      <c r="L156" s="63">
        <f t="shared" si="24"/>
        <v>-1.0280738837302789E-2</v>
      </c>
      <c r="M156" s="63">
        <f t="shared" si="25"/>
        <v>-3.1502905154487615E-4</v>
      </c>
      <c r="N156" s="63">
        <f t="shared" si="26"/>
        <v>-9.9688502632013926E-3</v>
      </c>
      <c r="O156" s="62">
        <f t="shared" si="27"/>
        <v>0.23220242909104938</v>
      </c>
      <c r="P156" s="62">
        <f t="shared" si="28"/>
        <v>-2.4120097734260382E-3</v>
      </c>
      <c r="Q156" s="62">
        <f t="shared" si="29"/>
        <v>7.3173562801065462E-5</v>
      </c>
      <c r="R156" s="63">
        <f t="shared" si="30"/>
        <v>-1.0280738837302895E-2</v>
      </c>
      <c r="S156" s="63">
        <f t="shared" si="31"/>
        <v>3.118885741015029E-4</v>
      </c>
      <c r="T156" s="63">
        <f t="shared" si="32"/>
        <v>-9.9688502632013926E-3</v>
      </c>
    </row>
    <row r="157" spans="1:20" x14ac:dyDescent="0.3">
      <c r="A157" s="18" t="s">
        <v>81</v>
      </c>
      <c r="B157" s="18" t="s">
        <v>82</v>
      </c>
      <c r="C157" s="18" t="s">
        <v>46</v>
      </c>
      <c r="D157" s="18" t="s">
        <v>43</v>
      </c>
      <c r="E157" s="61">
        <v>2020</v>
      </c>
      <c r="F157" s="62">
        <v>139313769</v>
      </c>
      <c r="G157" s="62">
        <v>156666767</v>
      </c>
      <c r="H157" s="62">
        <v>599777882</v>
      </c>
      <c r="I157" s="62">
        <v>871314724</v>
      </c>
      <c r="J157" s="62">
        <f t="shared" si="22"/>
        <v>0.23227560265385044</v>
      </c>
      <c r="K157" s="62">
        <f t="shared" si="23"/>
        <v>0.17980502645563007</v>
      </c>
      <c r="L157" s="63">
        <f t="shared" si="24"/>
        <v>0.12456053787475953</v>
      </c>
      <c r="M157" s="63">
        <f t="shared" si="25"/>
        <v>0.4527290021008144</v>
      </c>
      <c r="N157" s="63">
        <f t="shared" si="26"/>
        <v>-0.22589792297908637</v>
      </c>
      <c r="O157" s="62">
        <f t="shared" si="27"/>
        <v>0.26120797665559797</v>
      </c>
      <c r="P157" s="62">
        <f t="shared" si="28"/>
        <v>2.8932374001747529E-2</v>
      </c>
      <c r="Q157" s="62">
        <f t="shared" si="29"/>
        <v>-8.1402950199967905E-2</v>
      </c>
      <c r="R157" s="63">
        <f t="shared" si="30"/>
        <v>0.12456053787475951</v>
      </c>
      <c r="S157" s="63">
        <f t="shared" si="31"/>
        <v>-0.35045846085384585</v>
      </c>
      <c r="T157" s="63">
        <f t="shared" si="32"/>
        <v>-0.22589792297908634</v>
      </c>
    </row>
    <row r="158" spans="1:20" x14ac:dyDescent="0.3">
      <c r="A158" s="18" t="s">
        <v>81</v>
      </c>
      <c r="B158" s="18" t="s">
        <v>82</v>
      </c>
      <c r="C158" s="18" t="s">
        <v>46</v>
      </c>
      <c r="D158" s="18" t="s">
        <v>43</v>
      </c>
      <c r="E158" s="61">
        <v>2021</v>
      </c>
      <c r="F158" s="62">
        <v>156666767</v>
      </c>
      <c r="G158" s="62">
        <v>191395676</v>
      </c>
      <c r="H158" s="62">
        <v>871314724</v>
      </c>
      <c r="I158" s="62">
        <v>960115529</v>
      </c>
      <c r="J158" s="62">
        <f t="shared" si="22"/>
        <v>0.17980502645563007</v>
      </c>
      <c r="K158" s="62">
        <f t="shared" si="23"/>
        <v>0.19934650593491235</v>
      </c>
      <c r="L158" s="63">
        <f t="shared" si="24"/>
        <v>0.22167374526851633</v>
      </c>
      <c r="M158" s="63">
        <f t="shared" si="25"/>
        <v>0.10191587787284999</v>
      </c>
      <c r="N158" s="63">
        <f t="shared" si="26"/>
        <v>0.1086814971999933</v>
      </c>
      <c r="O158" s="62">
        <f t="shared" si="27"/>
        <v>0.21966308008815424</v>
      </c>
      <c r="P158" s="62">
        <f t="shared" si="28"/>
        <v>3.9858053632524176E-2</v>
      </c>
      <c r="Q158" s="62">
        <f t="shared" si="29"/>
        <v>-2.0316574153241895E-2</v>
      </c>
      <c r="R158" s="63">
        <f t="shared" si="30"/>
        <v>0.22167374526851633</v>
      </c>
      <c r="S158" s="63">
        <f t="shared" si="31"/>
        <v>-0.11299224806852301</v>
      </c>
      <c r="T158" s="63">
        <f t="shared" si="32"/>
        <v>0.10868149719999332</v>
      </c>
    </row>
    <row r="159" spans="1:20" x14ac:dyDescent="0.3">
      <c r="A159" s="18" t="s">
        <v>81</v>
      </c>
      <c r="B159" s="18" t="s">
        <v>82</v>
      </c>
      <c r="C159" s="18" t="s">
        <v>46</v>
      </c>
      <c r="D159" s="18" t="s">
        <v>43</v>
      </c>
      <c r="E159" s="61">
        <v>2022</v>
      </c>
      <c r="F159" s="62">
        <v>191395676</v>
      </c>
      <c r="G159" s="62">
        <v>293339000</v>
      </c>
      <c r="H159" s="62">
        <v>960115529</v>
      </c>
      <c r="I159" s="62">
        <v>959914631</v>
      </c>
      <c r="J159" s="62">
        <f t="shared" si="22"/>
        <v>0.19934650593491235</v>
      </c>
      <c r="K159" s="62">
        <f t="shared" si="23"/>
        <v>0.3055886331208551</v>
      </c>
      <c r="L159" s="63">
        <f t="shared" si="24"/>
        <v>0.53263128055202247</v>
      </c>
      <c r="M159" s="63">
        <f t="shared" si="25"/>
        <v>-2.0924356906219772E-4</v>
      </c>
      <c r="N159" s="63">
        <f t="shared" si="26"/>
        <v>0.53295204090826331</v>
      </c>
      <c r="O159" s="62">
        <f t="shared" si="27"/>
        <v>0.30552469066459603</v>
      </c>
      <c r="P159" s="62">
        <f t="shared" si="28"/>
        <v>0.10617818472968368</v>
      </c>
      <c r="Q159" s="62">
        <f t="shared" si="29"/>
        <v>6.394245625906958E-5</v>
      </c>
      <c r="R159" s="63">
        <f t="shared" si="30"/>
        <v>0.53263128055202236</v>
      </c>
      <c r="S159" s="63">
        <f t="shared" si="31"/>
        <v>3.2076035624094219E-4</v>
      </c>
      <c r="T159" s="63">
        <f t="shared" si="32"/>
        <v>0.53295204090826331</v>
      </c>
    </row>
    <row r="160" spans="1:20" x14ac:dyDescent="0.3">
      <c r="A160" s="18" t="s">
        <v>81</v>
      </c>
      <c r="B160" s="18" t="s">
        <v>82</v>
      </c>
      <c r="C160" s="18" t="s">
        <v>46</v>
      </c>
      <c r="D160" s="18" t="s">
        <v>43</v>
      </c>
      <c r="E160" s="61">
        <v>2023</v>
      </c>
      <c r="F160" s="62">
        <v>293339000</v>
      </c>
      <c r="G160" s="62">
        <v>339497000</v>
      </c>
      <c r="H160" s="62">
        <v>959914631</v>
      </c>
      <c r="I160" s="62">
        <v>956019333</v>
      </c>
      <c r="J160" s="62">
        <f t="shared" si="22"/>
        <v>0.3055886331208551</v>
      </c>
      <c r="K160" s="62">
        <f t="shared" si="23"/>
        <v>0.35511520351231224</v>
      </c>
      <c r="L160" s="63">
        <f t="shared" si="24"/>
        <v>0.15735377839291742</v>
      </c>
      <c r="M160" s="63">
        <f t="shared" si="25"/>
        <v>-4.0579629419149879E-3</v>
      </c>
      <c r="N160" s="63">
        <f t="shared" si="26"/>
        <v>0.16206941300683203</v>
      </c>
      <c r="O160" s="62">
        <f t="shared" si="27"/>
        <v>0.35367415917634865</v>
      </c>
      <c r="P160" s="62">
        <f t="shared" si="28"/>
        <v>4.8085526055493544E-2</v>
      </c>
      <c r="Q160" s="62">
        <f t="shared" si="29"/>
        <v>1.4410443359635927E-3</v>
      </c>
      <c r="R160" s="63">
        <f t="shared" si="30"/>
        <v>0.15735377839291731</v>
      </c>
      <c r="S160" s="63">
        <f t="shared" si="31"/>
        <v>4.715634613914727E-3</v>
      </c>
      <c r="T160" s="63">
        <f t="shared" si="32"/>
        <v>0.16206941300683203</v>
      </c>
    </row>
    <row r="161" spans="1:20" x14ac:dyDescent="0.3">
      <c r="A161" s="18" t="s">
        <v>81</v>
      </c>
      <c r="B161" s="18" t="s">
        <v>82</v>
      </c>
      <c r="C161" s="18" t="s">
        <v>46</v>
      </c>
      <c r="D161" s="18" t="s">
        <v>43</v>
      </c>
      <c r="E161" s="61">
        <v>2024</v>
      </c>
      <c r="F161" s="62">
        <v>339497000</v>
      </c>
      <c r="G161" s="62">
        <v>353900000</v>
      </c>
      <c r="H161" s="62">
        <v>956019333</v>
      </c>
      <c r="I161" s="62">
        <v>932386614</v>
      </c>
      <c r="J161" s="62">
        <f t="shared" si="22"/>
        <v>0.35511520351231224</v>
      </c>
      <c r="K161" s="62">
        <f t="shared" si="23"/>
        <v>0.37956357876240382</v>
      </c>
      <c r="L161" s="63">
        <f t="shared" si="24"/>
        <v>4.2424528051794273E-2</v>
      </c>
      <c r="M161" s="63">
        <f t="shared" si="25"/>
        <v>-2.4719917457987222E-2</v>
      </c>
      <c r="N161" s="63">
        <f t="shared" si="26"/>
        <v>6.8846320879201464E-2</v>
      </c>
      <c r="O161" s="62">
        <f t="shared" si="27"/>
        <v>0.37018079842533896</v>
      </c>
      <c r="P161" s="62">
        <f t="shared" si="28"/>
        <v>1.5065594913026725E-2</v>
      </c>
      <c r="Q161" s="62">
        <f t="shared" si="29"/>
        <v>9.3827803370648555E-3</v>
      </c>
      <c r="R161" s="63">
        <f t="shared" si="30"/>
        <v>4.242452805179428E-2</v>
      </c>
      <c r="S161" s="63">
        <f t="shared" si="31"/>
        <v>2.6421792827407187E-2</v>
      </c>
      <c r="T161" s="63">
        <f t="shared" si="32"/>
        <v>6.8846320879201464E-2</v>
      </c>
    </row>
    <row r="162" spans="1:20" x14ac:dyDescent="0.3">
      <c r="A162" s="18" t="s">
        <v>83</v>
      </c>
      <c r="B162" s="18" t="s">
        <v>84</v>
      </c>
      <c r="C162" s="18" t="s">
        <v>46</v>
      </c>
      <c r="D162" s="18" t="s">
        <v>43</v>
      </c>
      <c r="E162" s="61">
        <v>2016</v>
      </c>
      <c r="F162" s="62">
        <v>117639000</v>
      </c>
      <c r="G162" s="62">
        <v>93850000</v>
      </c>
      <c r="H162" s="62">
        <v>106854067</v>
      </c>
      <c r="I162" s="62">
        <v>106196360</v>
      </c>
      <c r="J162" s="62">
        <f t="shared" si="22"/>
        <v>1.1009314226663922</v>
      </c>
      <c r="K162" s="62">
        <f t="shared" si="23"/>
        <v>0.88374027132380051</v>
      </c>
      <c r="L162" s="63">
        <f t="shared" si="24"/>
        <v>-0.20222035209411846</v>
      </c>
      <c r="M162" s="63">
        <f t="shared" si="25"/>
        <v>-6.1551892077257109E-3</v>
      </c>
      <c r="N162" s="63">
        <f t="shared" si="26"/>
        <v>-0.19727945526031704</v>
      </c>
      <c r="O162" s="62">
        <f t="shared" si="27"/>
        <v>0.87830068274331574</v>
      </c>
      <c r="P162" s="62">
        <f t="shared" si="28"/>
        <v>-0.22263073992307647</v>
      </c>
      <c r="Q162" s="62">
        <f t="shared" si="29"/>
        <v>5.4395885804847666E-3</v>
      </c>
      <c r="R162" s="63">
        <f t="shared" si="30"/>
        <v>-0.20222035209411837</v>
      </c>
      <c r="S162" s="63">
        <f t="shared" si="31"/>
        <v>4.9408968338013259E-3</v>
      </c>
      <c r="T162" s="63">
        <f t="shared" si="32"/>
        <v>-0.19727945526031704</v>
      </c>
    </row>
    <row r="163" spans="1:20" x14ac:dyDescent="0.3">
      <c r="A163" s="18" t="s">
        <v>83</v>
      </c>
      <c r="B163" s="18" t="s">
        <v>84</v>
      </c>
      <c r="C163" s="18" t="s">
        <v>46</v>
      </c>
      <c r="D163" s="18" t="s">
        <v>43</v>
      </c>
      <c r="E163" s="61">
        <v>2017</v>
      </c>
      <c r="F163" s="62">
        <v>93850000</v>
      </c>
      <c r="G163" s="62">
        <v>134442000</v>
      </c>
      <c r="H163" s="62">
        <v>106196360</v>
      </c>
      <c r="I163" s="62">
        <v>106973877</v>
      </c>
      <c r="J163" s="62">
        <f t="shared" si="22"/>
        <v>0.88374027132380051</v>
      </c>
      <c r="K163" s="62">
        <f t="shared" si="23"/>
        <v>1.256774118787898</v>
      </c>
      <c r="L163" s="63">
        <f t="shared" si="24"/>
        <v>0.43251997868939795</v>
      </c>
      <c r="M163" s="63">
        <f t="shared" si="25"/>
        <v>7.3215032982298072E-3</v>
      </c>
      <c r="N163" s="63">
        <f t="shared" si="26"/>
        <v>0.42210801020226307</v>
      </c>
      <c r="O163" s="62">
        <f t="shared" si="27"/>
        <v>1.2659755946437337</v>
      </c>
      <c r="P163" s="62">
        <f t="shared" si="28"/>
        <v>0.38223532331993315</v>
      </c>
      <c r="Q163" s="62">
        <f t="shared" si="29"/>
        <v>-9.2014758558356391E-3</v>
      </c>
      <c r="R163" s="63">
        <f t="shared" si="30"/>
        <v>0.43251997868939818</v>
      </c>
      <c r="S163" s="63">
        <f t="shared" si="31"/>
        <v>-1.0411968487135105E-2</v>
      </c>
      <c r="T163" s="63">
        <f t="shared" si="32"/>
        <v>0.42210801020226307</v>
      </c>
    </row>
    <row r="164" spans="1:20" x14ac:dyDescent="0.3">
      <c r="A164" s="18" t="s">
        <v>83</v>
      </c>
      <c r="B164" s="18" t="s">
        <v>84</v>
      </c>
      <c r="C164" s="18" t="s">
        <v>46</v>
      </c>
      <c r="D164" s="18" t="s">
        <v>43</v>
      </c>
      <c r="E164" s="61">
        <v>2018</v>
      </c>
      <c r="F164" s="62">
        <v>134442000</v>
      </c>
      <c r="G164" s="62">
        <v>172905000</v>
      </c>
      <c r="H164" s="62">
        <v>106973877</v>
      </c>
      <c r="I164" s="62">
        <v>106766319</v>
      </c>
      <c r="J164" s="62">
        <f t="shared" si="22"/>
        <v>1.256774118787898</v>
      </c>
      <c r="K164" s="62">
        <f t="shared" si="23"/>
        <v>1.6194713990280025</v>
      </c>
      <c r="L164" s="63">
        <f t="shared" si="24"/>
        <v>0.28609363145445621</v>
      </c>
      <c r="M164" s="63">
        <f t="shared" si="25"/>
        <v>-1.9402680899375088E-3</v>
      </c>
      <c r="N164" s="63">
        <f t="shared" si="26"/>
        <v>0.28859384898052298</v>
      </c>
      <c r="O164" s="62">
        <f t="shared" si="27"/>
        <v>1.616329190349902</v>
      </c>
      <c r="P164" s="62">
        <f t="shared" si="28"/>
        <v>0.35955507156200395</v>
      </c>
      <c r="Q164" s="62">
        <f t="shared" si="29"/>
        <v>3.1422086781005554E-3</v>
      </c>
      <c r="R164" s="63">
        <f t="shared" si="30"/>
        <v>0.28609363145445627</v>
      </c>
      <c r="S164" s="63">
        <f t="shared" si="31"/>
        <v>2.5002175260667161E-3</v>
      </c>
      <c r="T164" s="63">
        <f t="shared" si="32"/>
        <v>0.28859384898052298</v>
      </c>
    </row>
    <row r="165" spans="1:20" x14ac:dyDescent="0.3">
      <c r="A165" s="18" t="s">
        <v>83</v>
      </c>
      <c r="B165" s="18" t="s">
        <v>84</v>
      </c>
      <c r="C165" s="18" t="s">
        <v>46</v>
      </c>
      <c r="D165" s="18" t="s">
        <v>43</v>
      </c>
      <c r="E165" s="61">
        <v>2019</v>
      </c>
      <c r="F165" s="62">
        <v>172905000</v>
      </c>
      <c r="G165" s="62">
        <v>179170000</v>
      </c>
      <c r="H165" s="62">
        <v>106766319</v>
      </c>
      <c r="I165" s="62">
        <v>105452384</v>
      </c>
      <c r="J165" s="62">
        <f t="shared" si="22"/>
        <v>1.6194713990280025</v>
      </c>
      <c r="K165" s="62">
        <f t="shared" si="23"/>
        <v>1.6990606869542182</v>
      </c>
      <c r="L165" s="63">
        <f t="shared" si="24"/>
        <v>3.6233769989300481E-2</v>
      </c>
      <c r="M165" s="63">
        <f t="shared" si="25"/>
        <v>-1.2306643258910144E-2</v>
      </c>
      <c r="N165" s="63">
        <f t="shared" si="26"/>
        <v>4.9145226012626532E-2</v>
      </c>
      <c r="O165" s="62">
        <f t="shared" si="27"/>
        <v>1.6781509532046337</v>
      </c>
      <c r="P165" s="62">
        <f t="shared" si="28"/>
        <v>5.8679554176631177E-2</v>
      </c>
      <c r="Q165" s="62">
        <f t="shared" si="29"/>
        <v>2.0909733749584491E-2</v>
      </c>
      <c r="R165" s="63">
        <f t="shared" si="30"/>
        <v>3.6233769989300404E-2</v>
      </c>
      <c r="S165" s="63">
        <f t="shared" si="31"/>
        <v>1.2911456023326126E-2</v>
      </c>
      <c r="T165" s="63">
        <f t="shared" si="32"/>
        <v>4.9145226012626532E-2</v>
      </c>
    </row>
    <row r="166" spans="1:20" x14ac:dyDescent="0.3">
      <c r="A166" s="18" t="s">
        <v>83</v>
      </c>
      <c r="B166" s="18" t="s">
        <v>84</v>
      </c>
      <c r="C166" s="18" t="s">
        <v>46</v>
      </c>
      <c r="D166" s="18" t="s">
        <v>43</v>
      </c>
      <c r="E166" s="61">
        <v>2020</v>
      </c>
      <c r="F166" s="62">
        <v>179170000</v>
      </c>
      <c r="G166" s="62">
        <v>170980000</v>
      </c>
      <c r="H166" s="62">
        <v>105452384</v>
      </c>
      <c r="I166" s="62">
        <v>107104047</v>
      </c>
      <c r="J166" s="62">
        <f t="shared" si="22"/>
        <v>1.6990606869542182</v>
      </c>
      <c r="K166" s="62">
        <f t="shared" si="23"/>
        <v>1.5963915910665822</v>
      </c>
      <c r="L166" s="63">
        <f t="shared" si="24"/>
        <v>-4.5710777473907463E-2</v>
      </c>
      <c r="M166" s="63">
        <f t="shared" si="25"/>
        <v>1.5662642581887955E-2</v>
      </c>
      <c r="N166" s="63">
        <f t="shared" si="26"/>
        <v>-6.0426973960349427E-2</v>
      </c>
      <c r="O166" s="62">
        <f t="shared" si="27"/>
        <v>1.6213953019781895</v>
      </c>
      <c r="P166" s="62">
        <f t="shared" si="28"/>
        <v>-7.7665384976028706E-2</v>
      </c>
      <c r="Q166" s="62">
        <f t="shared" si="29"/>
        <v>-2.5003710911607246E-2</v>
      </c>
      <c r="R166" s="63">
        <f t="shared" si="30"/>
        <v>-4.5710777473907518E-2</v>
      </c>
      <c r="S166" s="63">
        <f t="shared" si="31"/>
        <v>-1.4716196486441912E-2</v>
      </c>
      <c r="T166" s="63">
        <f t="shared" si="32"/>
        <v>-6.0426973960349434E-2</v>
      </c>
    </row>
    <row r="167" spans="1:20" x14ac:dyDescent="0.3">
      <c r="A167" s="18" t="s">
        <v>83</v>
      </c>
      <c r="B167" s="18" t="s">
        <v>84</v>
      </c>
      <c r="C167" s="18" t="s">
        <v>46</v>
      </c>
      <c r="D167" s="18" t="s">
        <v>43</v>
      </c>
      <c r="E167" s="61">
        <v>2021</v>
      </c>
      <c r="F167" s="62">
        <v>170980000</v>
      </c>
      <c r="G167" s="62">
        <v>195882000</v>
      </c>
      <c r="H167" s="62">
        <v>107104047</v>
      </c>
      <c r="I167" s="62">
        <v>106664662</v>
      </c>
      <c r="J167" s="62">
        <f t="shared" si="22"/>
        <v>1.5963915910665822</v>
      </c>
      <c r="K167" s="62">
        <f t="shared" si="23"/>
        <v>1.8364282633736748</v>
      </c>
      <c r="L167" s="63">
        <f t="shared" si="24"/>
        <v>0.14564276523570008</v>
      </c>
      <c r="M167" s="63">
        <f t="shared" si="25"/>
        <v>-4.1024126754052532E-3</v>
      </c>
      <c r="N167" s="63">
        <f t="shared" si="26"/>
        <v>0.15036202498831699</v>
      </c>
      <c r="O167" s="62">
        <f t="shared" si="27"/>
        <v>1.8288944767885382</v>
      </c>
      <c r="P167" s="62">
        <f t="shared" si="28"/>
        <v>0.23250288572195599</v>
      </c>
      <c r="Q167" s="62">
        <f t="shared" si="29"/>
        <v>7.5337865851365926E-3</v>
      </c>
      <c r="R167" s="63">
        <f t="shared" si="30"/>
        <v>0.14564276523570011</v>
      </c>
      <c r="S167" s="63">
        <f t="shared" si="31"/>
        <v>4.7192597526169089E-3</v>
      </c>
      <c r="T167" s="63">
        <f t="shared" si="32"/>
        <v>0.15036202498831702</v>
      </c>
    </row>
    <row r="168" spans="1:20" x14ac:dyDescent="0.3">
      <c r="A168" s="18" t="s">
        <v>83</v>
      </c>
      <c r="B168" s="18" t="s">
        <v>84</v>
      </c>
      <c r="C168" s="18" t="s">
        <v>46</v>
      </c>
      <c r="D168" s="18" t="s">
        <v>43</v>
      </c>
      <c r="E168" s="61">
        <v>2022</v>
      </c>
      <c r="F168" s="62">
        <v>195882000</v>
      </c>
      <c r="G168" s="62">
        <v>266497000</v>
      </c>
      <c r="H168" s="62">
        <v>106664662</v>
      </c>
      <c r="I168" s="62">
        <v>105593321</v>
      </c>
      <c r="J168" s="62">
        <f t="shared" si="22"/>
        <v>1.8364282633736748</v>
      </c>
      <c r="K168" s="62">
        <f t="shared" si="23"/>
        <v>2.5238054592486963</v>
      </c>
      <c r="L168" s="63">
        <f t="shared" si="24"/>
        <v>0.36049764654230609</v>
      </c>
      <c r="M168" s="63">
        <f t="shared" si="25"/>
        <v>-1.0044010639624958E-2</v>
      </c>
      <c r="N168" s="63">
        <f t="shared" si="26"/>
        <v>0.37430114183292468</v>
      </c>
      <c r="O168" s="62">
        <f t="shared" si="27"/>
        <v>2.4984563303636587</v>
      </c>
      <c r="P168" s="62">
        <f t="shared" si="28"/>
        <v>0.66202806698998384</v>
      </c>
      <c r="Q168" s="62">
        <f t="shared" si="29"/>
        <v>2.5349128885037597E-2</v>
      </c>
      <c r="R168" s="63">
        <f t="shared" si="30"/>
        <v>0.36049764654230598</v>
      </c>
      <c r="S168" s="63">
        <f t="shared" si="31"/>
        <v>1.38034952906187E-2</v>
      </c>
      <c r="T168" s="63">
        <f t="shared" si="32"/>
        <v>0.37430114183292468</v>
      </c>
    </row>
    <row r="169" spans="1:20" x14ac:dyDescent="0.3">
      <c r="A169" s="18" t="s">
        <v>83</v>
      </c>
      <c r="B169" s="18" t="s">
        <v>84</v>
      </c>
      <c r="C169" s="18" t="s">
        <v>46</v>
      </c>
      <c r="D169" s="18" t="s">
        <v>43</v>
      </c>
      <c r="E169" s="61">
        <v>2023</v>
      </c>
      <c r="F169" s="62">
        <v>266497000</v>
      </c>
      <c r="G169" s="62">
        <v>274269000</v>
      </c>
      <c r="H169" s="62">
        <v>105593321</v>
      </c>
      <c r="I169" s="62">
        <v>106927485</v>
      </c>
      <c r="J169" s="62">
        <f t="shared" si="22"/>
        <v>2.5238054592486963</v>
      </c>
      <c r="K169" s="62">
        <f t="shared" si="23"/>
        <v>2.5650000091183291</v>
      </c>
      <c r="L169" s="63">
        <f t="shared" si="24"/>
        <v>2.9163555312067303E-2</v>
      </c>
      <c r="M169" s="63">
        <f t="shared" si="25"/>
        <v>1.2634927923140138E-2</v>
      </c>
      <c r="N169" s="63">
        <f t="shared" si="26"/>
        <v>1.6322395103264404E-2</v>
      </c>
      <c r="O169" s="62">
        <f t="shared" si="27"/>
        <v>2.5974085993563931</v>
      </c>
      <c r="P169" s="62">
        <f t="shared" si="28"/>
        <v>7.3603140107696863E-2</v>
      </c>
      <c r="Q169" s="62">
        <f t="shared" si="29"/>
        <v>-3.2408590238063972E-2</v>
      </c>
      <c r="R169" s="63">
        <f t="shared" si="30"/>
        <v>2.9163555312067338E-2</v>
      </c>
      <c r="S169" s="63">
        <f t="shared" si="31"/>
        <v>-1.2841160208802934E-2</v>
      </c>
      <c r="T169" s="63">
        <f t="shared" si="32"/>
        <v>1.6322395103264404E-2</v>
      </c>
    </row>
    <row r="170" spans="1:20" x14ac:dyDescent="0.3">
      <c r="A170" s="18" t="s">
        <v>83</v>
      </c>
      <c r="B170" s="18" t="s">
        <v>84</v>
      </c>
      <c r="C170" s="18" t="s">
        <v>46</v>
      </c>
      <c r="D170" s="18" t="s">
        <v>43</v>
      </c>
      <c r="E170" s="61">
        <v>2024</v>
      </c>
      <c r="F170" s="62">
        <v>274269000</v>
      </c>
      <c r="G170" s="62">
        <v>227063000</v>
      </c>
      <c r="H170" s="62">
        <v>106927485</v>
      </c>
      <c r="I170" s="62">
        <v>107104891</v>
      </c>
      <c r="J170" s="62">
        <f t="shared" si="22"/>
        <v>2.5650000091183291</v>
      </c>
      <c r="K170" s="62">
        <f t="shared" si="23"/>
        <v>2.1200058921678937</v>
      </c>
      <c r="L170" s="63">
        <f t="shared" si="24"/>
        <v>-0.17211569663359694</v>
      </c>
      <c r="M170" s="63">
        <f t="shared" si="25"/>
        <v>1.659124405666139E-3</v>
      </c>
      <c r="N170" s="63">
        <f t="shared" si="26"/>
        <v>-0.17348698454913217</v>
      </c>
      <c r="O170" s="62">
        <f t="shared" si="27"/>
        <v>2.1235232456837454</v>
      </c>
      <c r="P170" s="62">
        <f t="shared" si="28"/>
        <v>-0.44147676343458375</v>
      </c>
      <c r="Q170" s="62">
        <f t="shared" si="29"/>
        <v>-3.5173535158516955E-3</v>
      </c>
      <c r="R170" s="63">
        <f t="shared" si="30"/>
        <v>-0.17211569663359694</v>
      </c>
      <c r="S170" s="63">
        <f t="shared" si="31"/>
        <v>-1.3712879155352207E-3</v>
      </c>
      <c r="T170" s="63">
        <f t="shared" si="32"/>
        <v>-0.17348698454913217</v>
      </c>
    </row>
    <row r="171" spans="1:20" x14ac:dyDescent="0.3">
      <c r="A171" s="18" t="s">
        <v>85</v>
      </c>
      <c r="B171" s="18" t="s">
        <v>86</v>
      </c>
      <c r="C171" s="18" t="s">
        <v>46</v>
      </c>
      <c r="D171" s="18" t="s">
        <v>43</v>
      </c>
      <c r="E171" s="61">
        <v>2016</v>
      </c>
      <c r="F171" s="62">
        <v>2739000000</v>
      </c>
      <c r="G171" s="62">
        <v>3111000000</v>
      </c>
      <c r="H171" s="62">
        <v>15832484936</v>
      </c>
      <c r="I171" s="62">
        <v>15841479283</v>
      </c>
      <c r="J171" s="62">
        <f t="shared" si="22"/>
        <v>0.17299874347406105</v>
      </c>
      <c r="K171" s="62">
        <f t="shared" si="23"/>
        <v>0.19638317510780157</v>
      </c>
      <c r="L171" s="63">
        <f t="shared" si="24"/>
        <v>0.13581599123767799</v>
      </c>
      <c r="M171" s="63">
        <f t="shared" si="25"/>
        <v>5.6809446125216895E-4</v>
      </c>
      <c r="N171" s="63">
        <f t="shared" si="26"/>
        <v>0.1351711068193204</v>
      </c>
      <c r="O171" s="62">
        <f t="shared" si="27"/>
        <v>0.19649473930186342</v>
      </c>
      <c r="P171" s="62">
        <f t="shared" si="28"/>
        <v>2.3495995827802374E-2</v>
      </c>
      <c r="Q171" s="62">
        <f t="shared" si="29"/>
        <v>-1.1156419406185836E-4</v>
      </c>
      <c r="R171" s="63">
        <f t="shared" si="30"/>
        <v>0.13581599123767796</v>
      </c>
      <c r="S171" s="63">
        <f t="shared" si="31"/>
        <v>-6.4488441835755864E-4</v>
      </c>
      <c r="T171" s="63">
        <f t="shared" si="32"/>
        <v>0.1351711068193204</v>
      </c>
    </row>
    <row r="172" spans="1:20" x14ac:dyDescent="0.3">
      <c r="A172" s="18" t="s">
        <v>85</v>
      </c>
      <c r="B172" s="18" t="s">
        <v>86</v>
      </c>
      <c r="C172" s="18" t="s">
        <v>46</v>
      </c>
      <c r="D172" s="18" t="s">
        <v>43</v>
      </c>
      <c r="E172" s="61">
        <v>2017</v>
      </c>
      <c r="F172" s="62">
        <v>3111000000</v>
      </c>
      <c r="G172" s="62">
        <v>7316000000</v>
      </c>
      <c r="H172" s="62">
        <v>15841479283</v>
      </c>
      <c r="I172" s="62">
        <v>15837253005</v>
      </c>
      <c r="J172" s="62">
        <f t="shared" si="22"/>
        <v>0.19638317510780157</v>
      </c>
      <c r="K172" s="62">
        <f t="shared" si="23"/>
        <v>0.46194879867678162</v>
      </c>
      <c r="L172" s="63">
        <f t="shared" si="24"/>
        <v>1.3516554162648666</v>
      </c>
      <c r="M172" s="63">
        <f t="shared" si="25"/>
        <v>-2.667855649399709E-4</v>
      </c>
      <c r="N172" s="63">
        <f t="shared" si="26"/>
        <v>1.3522829714062921</v>
      </c>
      <c r="O172" s="62">
        <f t="shared" si="27"/>
        <v>0.46182555740555331</v>
      </c>
      <c r="P172" s="62">
        <f t="shared" si="28"/>
        <v>0.26544238229775174</v>
      </c>
      <c r="Q172" s="62">
        <f t="shared" si="29"/>
        <v>1.2324127122831374E-4</v>
      </c>
      <c r="R172" s="63">
        <f t="shared" si="30"/>
        <v>1.3516554162648668</v>
      </c>
      <c r="S172" s="63">
        <f t="shared" si="31"/>
        <v>6.2755514142523829E-4</v>
      </c>
      <c r="T172" s="63">
        <f t="shared" si="32"/>
        <v>1.3522829714062921</v>
      </c>
    </row>
    <row r="173" spans="1:20" x14ac:dyDescent="0.3">
      <c r="A173" s="18" t="s">
        <v>85</v>
      </c>
      <c r="B173" s="18" t="s">
        <v>86</v>
      </c>
      <c r="C173" s="18" t="s">
        <v>46</v>
      </c>
      <c r="D173" s="18" t="s">
        <v>43</v>
      </c>
      <c r="E173" s="61">
        <v>2018</v>
      </c>
      <c r="F173" s="62">
        <v>7316000000</v>
      </c>
      <c r="G173" s="62">
        <v>4050000000</v>
      </c>
      <c r="H173" s="62">
        <v>15837253005</v>
      </c>
      <c r="I173" s="62">
        <v>16772376005</v>
      </c>
      <c r="J173" s="62">
        <f t="shared" si="22"/>
        <v>0.46194879867678162</v>
      </c>
      <c r="K173" s="62">
        <f t="shared" si="23"/>
        <v>0.24146847165796054</v>
      </c>
      <c r="L173" s="63">
        <f t="shared" si="24"/>
        <v>-0.44641880809185347</v>
      </c>
      <c r="M173" s="63">
        <f t="shared" si="25"/>
        <v>5.9045782731687819E-2</v>
      </c>
      <c r="N173" s="63">
        <f t="shared" si="26"/>
        <v>-0.47728304013425465</v>
      </c>
      <c r="O173" s="62">
        <f t="shared" si="27"/>
        <v>0.25572616657202918</v>
      </c>
      <c r="P173" s="62">
        <f t="shared" si="28"/>
        <v>-0.20622263210475245</v>
      </c>
      <c r="Q173" s="62">
        <f t="shared" si="29"/>
        <v>-1.4257694914068642E-2</v>
      </c>
      <c r="R173" s="63">
        <f t="shared" si="30"/>
        <v>-0.44641880809185353</v>
      </c>
      <c r="S173" s="63">
        <f t="shared" si="31"/>
        <v>-3.086423204240115E-2</v>
      </c>
      <c r="T173" s="63">
        <f t="shared" si="32"/>
        <v>-0.47728304013425465</v>
      </c>
    </row>
    <row r="174" spans="1:20" x14ac:dyDescent="0.3">
      <c r="A174" s="18" t="s">
        <v>85</v>
      </c>
      <c r="B174" s="18" t="s">
        <v>86</v>
      </c>
      <c r="C174" s="18" t="s">
        <v>46</v>
      </c>
      <c r="D174" s="18" t="s">
        <v>43</v>
      </c>
      <c r="E174" s="61">
        <v>2019</v>
      </c>
      <c r="F174" s="62">
        <v>4050000000</v>
      </c>
      <c r="G174" s="62">
        <v>4182000000</v>
      </c>
      <c r="H174" s="62">
        <v>16772376005</v>
      </c>
      <c r="I174" s="62">
        <v>17474056000</v>
      </c>
      <c r="J174" s="62">
        <f t="shared" si="22"/>
        <v>0.24146847165796054</v>
      </c>
      <c r="K174" s="62">
        <f t="shared" si="23"/>
        <v>0.23932623313099147</v>
      </c>
      <c r="L174" s="63">
        <f t="shared" si="24"/>
        <v>3.259259259259259E-2</v>
      </c>
      <c r="M174" s="63">
        <f t="shared" si="25"/>
        <v>4.1835455798917384E-2</v>
      </c>
      <c r="N174" s="63">
        <f t="shared" si="26"/>
        <v>-8.871711127585823E-3</v>
      </c>
      <c r="O174" s="62">
        <f t="shared" si="27"/>
        <v>0.24933855517866443</v>
      </c>
      <c r="P174" s="62">
        <f t="shared" si="28"/>
        <v>7.8700835207038966E-3</v>
      </c>
      <c r="Q174" s="62">
        <f t="shared" si="29"/>
        <v>-1.0012322047672967E-2</v>
      </c>
      <c r="R174" s="63">
        <f t="shared" si="30"/>
        <v>3.2592592592592583E-2</v>
      </c>
      <c r="S174" s="63">
        <f t="shared" si="31"/>
        <v>-4.1464303720178404E-2</v>
      </c>
      <c r="T174" s="63">
        <f t="shared" si="32"/>
        <v>-8.8717111275858213E-3</v>
      </c>
    </row>
    <row r="175" spans="1:20" x14ac:dyDescent="0.3">
      <c r="A175" s="18" t="s">
        <v>85</v>
      </c>
      <c r="B175" s="18" t="s">
        <v>86</v>
      </c>
      <c r="C175" s="18" t="s">
        <v>46</v>
      </c>
      <c r="D175" s="18" t="s">
        <v>43</v>
      </c>
      <c r="E175" s="61">
        <v>2020</v>
      </c>
      <c r="F175" s="62">
        <v>4182000000</v>
      </c>
      <c r="G175" s="62">
        <v>3277000000</v>
      </c>
      <c r="H175" s="62">
        <v>17474056000</v>
      </c>
      <c r="I175" s="62">
        <v>18240491000</v>
      </c>
      <c r="J175" s="62">
        <f t="shared" si="22"/>
        <v>0.23932623313099147</v>
      </c>
      <c r="K175" s="62">
        <f t="shared" si="23"/>
        <v>0.17965525160479506</v>
      </c>
      <c r="L175" s="63">
        <f t="shared" si="24"/>
        <v>-0.21640363462458154</v>
      </c>
      <c r="M175" s="63">
        <f t="shared" si="25"/>
        <v>4.386131073403908E-2</v>
      </c>
      <c r="N175" s="63">
        <f t="shared" si="26"/>
        <v>-0.24932904657190852</v>
      </c>
      <c r="O175" s="62">
        <f t="shared" si="27"/>
        <v>0.18753516642043497</v>
      </c>
      <c r="P175" s="62">
        <f t="shared" si="28"/>
        <v>-5.1791066710556499E-2</v>
      </c>
      <c r="Q175" s="62">
        <f t="shared" si="29"/>
        <v>-7.8799148156399046E-3</v>
      </c>
      <c r="R175" s="63">
        <f t="shared" si="30"/>
        <v>-0.21640363462458154</v>
      </c>
      <c r="S175" s="63">
        <f t="shared" si="31"/>
        <v>-3.2925411947326962E-2</v>
      </c>
      <c r="T175" s="63">
        <f t="shared" si="32"/>
        <v>-0.24932904657190849</v>
      </c>
    </row>
    <row r="176" spans="1:20" x14ac:dyDescent="0.3">
      <c r="A176" s="18" t="s">
        <v>85</v>
      </c>
      <c r="B176" s="18" t="s">
        <v>86</v>
      </c>
      <c r="C176" s="18" t="s">
        <v>46</v>
      </c>
      <c r="D176" s="18" t="s">
        <v>43</v>
      </c>
      <c r="E176" s="61">
        <v>2021</v>
      </c>
      <c r="F176" s="62">
        <v>3277000000</v>
      </c>
      <c r="G176" s="62">
        <v>4185000000</v>
      </c>
      <c r="H176" s="62">
        <v>18240491000</v>
      </c>
      <c r="I176" s="62">
        <v>19377549000</v>
      </c>
      <c r="J176" s="62">
        <f t="shared" si="22"/>
        <v>0.17965525160479506</v>
      </c>
      <c r="K176" s="62">
        <f t="shared" si="23"/>
        <v>0.21597158649940712</v>
      </c>
      <c r="L176" s="63">
        <f t="shared" si="24"/>
        <v>0.27708269758925846</v>
      </c>
      <c r="M176" s="63">
        <f t="shared" si="25"/>
        <v>6.233702809864055E-2</v>
      </c>
      <c r="N176" s="63">
        <f t="shared" si="26"/>
        <v>0.20214457729574525</v>
      </c>
      <c r="O176" s="62">
        <f t="shared" si="27"/>
        <v>0.22943461335552864</v>
      </c>
      <c r="P176" s="62">
        <f t="shared" si="28"/>
        <v>4.9779361750733581E-2</v>
      </c>
      <c r="Q176" s="62">
        <f t="shared" si="29"/>
        <v>-1.3463026856121524E-2</v>
      </c>
      <c r="R176" s="63">
        <f t="shared" si="30"/>
        <v>0.27708269758925852</v>
      </c>
      <c r="S176" s="63">
        <f t="shared" si="31"/>
        <v>-7.4938120293513266E-2</v>
      </c>
      <c r="T176" s="63">
        <f t="shared" si="32"/>
        <v>0.20214457729574525</v>
      </c>
    </row>
    <row r="177" spans="1:20" x14ac:dyDescent="0.3">
      <c r="A177" s="18" t="s">
        <v>85</v>
      </c>
      <c r="B177" s="18" t="s">
        <v>86</v>
      </c>
      <c r="C177" s="18" t="s">
        <v>46</v>
      </c>
      <c r="D177" s="18" t="s">
        <v>43</v>
      </c>
      <c r="E177" s="61">
        <v>2022</v>
      </c>
      <c r="F177" s="62">
        <v>4185000000</v>
      </c>
      <c r="G177" s="62">
        <v>4379000000</v>
      </c>
      <c r="H177" s="62">
        <v>19377549000</v>
      </c>
      <c r="I177" s="62">
        <v>19315542000</v>
      </c>
      <c r="J177" s="62">
        <f t="shared" si="22"/>
        <v>0.21597158649940712</v>
      </c>
      <c r="K177" s="62">
        <f t="shared" si="23"/>
        <v>0.2267086266592985</v>
      </c>
      <c r="L177" s="63">
        <f t="shared" si="24"/>
        <v>4.6356033452807643E-2</v>
      </c>
      <c r="M177" s="63">
        <f t="shared" si="25"/>
        <v>-3.1999403020474882E-3</v>
      </c>
      <c r="N177" s="63">
        <f t="shared" si="26"/>
        <v>4.9715058975690105E-2</v>
      </c>
      <c r="O177" s="62">
        <f t="shared" si="27"/>
        <v>0.22598317258802958</v>
      </c>
      <c r="P177" s="62">
        <f t="shared" si="28"/>
        <v>1.0011586088622459E-2</v>
      </c>
      <c r="Q177" s="62">
        <f t="shared" si="29"/>
        <v>7.254540712689217E-4</v>
      </c>
      <c r="R177" s="63">
        <f t="shared" si="30"/>
        <v>4.6356033452807657E-2</v>
      </c>
      <c r="S177" s="63">
        <f t="shared" si="31"/>
        <v>3.3590255228824425E-3</v>
      </c>
      <c r="T177" s="63">
        <f t="shared" si="32"/>
        <v>4.9715058975690098E-2</v>
      </c>
    </row>
    <row r="178" spans="1:20" x14ac:dyDescent="0.3">
      <c r="A178" s="18" t="s">
        <v>85</v>
      </c>
      <c r="B178" s="18" t="s">
        <v>86</v>
      </c>
      <c r="C178" s="18" t="s">
        <v>46</v>
      </c>
      <c r="D178" s="18" t="s">
        <v>43</v>
      </c>
      <c r="E178" s="61">
        <v>2023</v>
      </c>
      <c r="F178" s="62">
        <v>4379000000</v>
      </c>
      <c r="G178" s="62">
        <v>7724000000</v>
      </c>
      <c r="H178" s="62">
        <v>19315542000</v>
      </c>
      <c r="I178" s="62">
        <v>18370426000</v>
      </c>
      <c r="J178" s="62">
        <f t="shared" si="22"/>
        <v>0.2267086266592985</v>
      </c>
      <c r="K178" s="62">
        <f t="shared" si="23"/>
        <v>0.42045840417636476</v>
      </c>
      <c r="L178" s="63">
        <f t="shared" si="24"/>
        <v>0.76387303037223109</v>
      </c>
      <c r="M178" s="63">
        <f t="shared" si="25"/>
        <v>-4.8930338066620137E-2</v>
      </c>
      <c r="N178" s="63">
        <f t="shared" si="26"/>
        <v>0.8546202249649576</v>
      </c>
      <c r="O178" s="62">
        <f t="shared" si="27"/>
        <v>0.39988523231706363</v>
      </c>
      <c r="P178" s="62">
        <f t="shared" si="28"/>
        <v>0.17317660565776513</v>
      </c>
      <c r="Q178" s="62">
        <f t="shared" si="29"/>
        <v>2.0573171859301131E-2</v>
      </c>
      <c r="R178" s="63">
        <f t="shared" si="30"/>
        <v>0.76387303037223109</v>
      </c>
      <c r="S178" s="63">
        <f t="shared" si="31"/>
        <v>9.0747194592726441E-2</v>
      </c>
      <c r="T178" s="63">
        <f t="shared" si="32"/>
        <v>0.85462022496495749</v>
      </c>
    </row>
    <row r="179" spans="1:20" x14ac:dyDescent="0.3">
      <c r="A179" s="18" t="s">
        <v>85</v>
      </c>
      <c r="B179" s="18" t="s">
        <v>86</v>
      </c>
      <c r="C179" s="18" t="s">
        <v>46</v>
      </c>
      <c r="D179" s="18" t="s">
        <v>43</v>
      </c>
      <c r="E179" s="61">
        <v>2024</v>
      </c>
      <c r="F179" s="62">
        <v>7724000000</v>
      </c>
      <c r="G179" s="62">
        <v>8666000000</v>
      </c>
      <c r="H179" s="62">
        <v>18370426000</v>
      </c>
      <c r="I179" s="62">
        <v>18017340000</v>
      </c>
      <c r="J179" s="62">
        <f t="shared" si="22"/>
        <v>0.42045840417636476</v>
      </c>
      <c r="K179" s="62">
        <f t="shared" si="23"/>
        <v>0.48098109931876737</v>
      </c>
      <c r="L179" s="63">
        <f t="shared" si="24"/>
        <v>0.12195753495598136</v>
      </c>
      <c r="M179" s="63">
        <f t="shared" si="25"/>
        <v>-1.92203490545075E-2</v>
      </c>
      <c r="N179" s="63">
        <f t="shared" si="26"/>
        <v>0.14394454847670463</v>
      </c>
      <c r="O179" s="62">
        <f t="shared" si="27"/>
        <v>0.47173647470123992</v>
      </c>
      <c r="P179" s="62">
        <f t="shared" si="28"/>
        <v>5.1278070524875152E-2</v>
      </c>
      <c r="Q179" s="62">
        <f t="shared" si="29"/>
        <v>9.2446246175274527E-3</v>
      </c>
      <c r="R179" s="63">
        <f t="shared" si="30"/>
        <v>0.12195753495598138</v>
      </c>
      <c r="S179" s="63">
        <f t="shared" si="31"/>
        <v>2.1987013520723249E-2</v>
      </c>
      <c r="T179" s="63">
        <f t="shared" si="32"/>
        <v>0.14394454847670463</v>
      </c>
    </row>
    <row r="180" spans="1:20" x14ac:dyDescent="0.3">
      <c r="A180" s="18" t="s">
        <v>87</v>
      </c>
      <c r="B180" s="18" t="s">
        <v>88</v>
      </c>
      <c r="C180" s="18" t="s">
        <v>46</v>
      </c>
      <c r="D180" s="18" t="s">
        <v>43</v>
      </c>
      <c r="E180" s="61">
        <v>2018</v>
      </c>
      <c r="F180" s="62">
        <v>292766000</v>
      </c>
      <c r="G180" s="62">
        <v>313695000</v>
      </c>
      <c r="H180" s="62">
        <v>809135502</v>
      </c>
      <c r="I180" s="62">
        <v>804346153</v>
      </c>
      <c r="J180" s="62">
        <f t="shared" si="22"/>
        <v>0.36182567601637633</v>
      </c>
      <c r="K180" s="62">
        <f t="shared" si="23"/>
        <v>0.39000000041027111</v>
      </c>
      <c r="L180" s="63">
        <f t="shared" si="24"/>
        <v>7.1487126237336301E-2</v>
      </c>
      <c r="M180" s="63">
        <f t="shared" si="25"/>
        <v>-5.9190938824978164E-3</v>
      </c>
      <c r="N180" s="63">
        <f t="shared" si="26"/>
        <v>7.7867122930821528E-2</v>
      </c>
      <c r="O180" s="62">
        <f t="shared" si="27"/>
        <v>0.38769155379366854</v>
      </c>
      <c r="P180" s="62">
        <f t="shared" si="28"/>
        <v>2.5865877777292212E-2</v>
      </c>
      <c r="Q180" s="62">
        <f t="shared" si="29"/>
        <v>2.3084466166025663E-3</v>
      </c>
      <c r="R180" s="63">
        <f t="shared" si="30"/>
        <v>7.1487126237336218E-2</v>
      </c>
      <c r="S180" s="63">
        <f t="shared" si="31"/>
        <v>6.3799966934853054E-3</v>
      </c>
      <c r="T180" s="63">
        <f t="shared" si="32"/>
        <v>7.7867122930821528E-2</v>
      </c>
    </row>
    <row r="181" spans="1:20" x14ac:dyDescent="0.3">
      <c r="A181" s="18" t="s">
        <v>87</v>
      </c>
      <c r="B181" s="18" t="s">
        <v>88</v>
      </c>
      <c r="C181" s="18" t="s">
        <v>46</v>
      </c>
      <c r="D181" s="18" t="s">
        <v>43</v>
      </c>
      <c r="E181" s="61">
        <v>2019</v>
      </c>
      <c r="F181" s="62">
        <v>313695000</v>
      </c>
      <c r="G181" s="62">
        <v>417238000</v>
      </c>
      <c r="H181" s="62">
        <v>804346153</v>
      </c>
      <c r="I181" s="62">
        <v>809135502</v>
      </c>
      <c r="J181" s="62">
        <f t="shared" si="22"/>
        <v>0.39000000041027111</v>
      </c>
      <c r="K181" s="62">
        <f t="shared" si="23"/>
        <v>0.51565899527172154</v>
      </c>
      <c r="L181" s="63">
        <f t="shared" si="24"/>
        <v>0.33007539170213107</v>
      </c>
      <c r="M181" s="63">
        <f t="shared" si="25"/>
        <v>5.954338169129032E-3</v>
      </c>
      <c r="N181" s="63">
        <f t="shared" si="26"/>
        <v>0.32220255058784625</v>
      </c>
      <c r="O181" s="62">
        <f t="shared" si="27"/>
        <v>0.51872940330952266</v>
      </c>
      <c r="P181" s="62">
        <f t="shared" si="28"/>
        <v>0.12872940289925155</v>
      </c>
      <c r="Q181" s="62">
        <f t="shared" si="29"/>
        <v>-3.07040803780112E-3</v>
      </c>
      <c r="R181" s="63">
        <f t="shared" si="30"/>
        <v>0.33007539170213118</v>
      </c>
      <c r="S181" s="63">
        <f t="shared" si="31"/>
        <v>-7.8728411142849255E-3</v>
      </c>
      <c r="T181" s="63">
        <f t="shared" si="32"/>
        <v>0.32220255058784625</v>
      </c>
    </row>
    <row r="182" spans="1:20" x14ac:dyDescent="0.3">
      <c r="A182" s="18" t="s">
        <v>87</v>
      </c>
      <c r="B182" s="18" t="s">
        <v>88</v>
      </c>
      <c r="C182" s="18" t="s">
        <v>46</v>
      </c>
      <c r="D182" s="18" t="s">
        <v>43</v>
      </c>
      <c r="E182" s="61">
        <v>2020</v>
      </c>
      <c r="F182" s="62">
        <v>417238000</v>
      </c>
      <c r="G182" s="62">
        <v>384626000</v>
      </c>
      <c r="H182" s="62">
        <v>809135502</v>
      </c>
      <c r="I182" s="62">
        <v>809135502</v>
      </c>
      <c r="J182" s="62">
        <f t="shared" si="22"/>
        <v>0.51565899527172154</v>
      </c>
      <c r="K182" s="62">
        <f t="shared" si="23"/>
        <v>0.47535425036880907</v>
      </c>
      <c r="L182" s="63">
        <f t="shared" si="24"/>
        <v>-7.8161624780101524E-2</v>
      </c>
      <c r="M182" s="63">
        <f t="shared" si="25"/>
        <v>0</v>
      </c>
      <c r="N182" s="63">
        <f t="shared" si="26"/>
        <v>-7.816162478010158E-2</v>
      </c>
      <c r="O182" s="62">
        <f t="shared" si="27"/>
        <v>0.47535425036880907</v>
      </c>
      <c r="P182" s="62">
        <f t="shared" si="28"/>
        <v>-4.030474490291247E-2</v>
      </c>
      <c r="Q182" s="62">
        <f t="shared" si="29"/>
        <v>0</v>
      </c>
      <c r="R182" s="63">
        <f t="shared" si="30"/>
        <v>-7.816162478010158E-2</v>
      </c>
      <c r="S182" s="63">
        <f t="shared" si="31"/>
        <v>0</v>
      </c>
      <c r="T182" s="63">
        <f t="shared" si="32"/>
        <v>-7.816162478010158E-2</v>
      </c>
    </row>
    <row r="183" spans="1:20" x14ac:dyDescent="0.3">
      <c r="A183" s="18" t="s">
        <v>87</v>
      </c>
      <c r="B183" s="18" t="s">
        <v>88</v>
      </c>
      <c r="C183" s="18" t="s">
        <v>46</v>
      </c>
      <c r="D183" s="18" t="s">
        <v>43</v>
      </c>
      <c r="E183" s="61">
        <v>2021</v>
      </c>
      <c r="F183" s="62">
        <v>384626000</v>
      </c>
      <c r="G183" s="62">
        <v>362813000</v>
      </c>
      <c r="H183" s="62">
        <v>809135502</v>
      </c>
      <c r="I183" s="62">
        <v>809768354</v>
      </c>
      <c r="J183" s="62">
        <f t="shared" si="22"/>
        <v>0.47535425036880907</v>
      </c>
      <c r="K183" s="62">
        <f t="shared" si="23"/>
        <v>0.44804541719594043</v>
      </c>
      <c r="L183" s="63">
        <f t="shared" si="24"/>
        <v>-5.6712234742321115E-2</v>
      </c>
      <c r="M183" s="63">
        <f t="shared" si="25"/>
        <v>7.8213352205623522E-4</v>
      </c>
      <c r="N183" s="63">
        <f t="shared" si="26"/>
        <v>-5.7449435135334896E-2</v>
      </c>
      <c r="O183" s="62">
        <f t="shared" si="27"/>
        <v>0.44839584853613307</v>
      </c>
      <c r="P183" s="62">
        <f t="shared" si="28"/>
        <v>-2.6958401832676004E-2</v>
      </c>
      <c r="Q183" s="62">
        <f t="shared" si="29"/>
        <v>-3.5043134019263622E-4</v>
      </c>
      <c r="R183" s="63">
        <f t="shared" si="30"/>
        <v>-5.6712234742321156E-2</v>
      </c>
      <c r="S183" s="63">
        <f t="shared" si="31"/>
        <v>-7.372003930137366E-4</v>
      </c>
      <c r="T183" s="63">
        <f t="shared" si="32"/>
        <v>-5.7449435135334896E-2</v>
      </c>
    </row>
    <row r="184" spans="1:20" x14ac:dyDescent="0.3">
      <c r="A184" s="18" t="s">
        <v>87</v>
      </c>
      <c r="B184" s="18" t="s">
        <v>88</v>
      </c>
      <c r="C184" s="18" t="s">
        <v>46</v>
      </c>
      <c r="D184" s="18" t="s">
        <v>43</v>
      </c>
      <c r="E184" s="61">
        <v>2022</v>
      </c>
      <c r="F184" s="62">
        <v>362813000</v>
      </c>
      <c r="G184" s="62">
        <v>407288000</v>
      </c>
      <c r="H184" s="62">
        <v>809768354</v>
      </c>
      <c r="I184" s="62">
        <v>810245718</v>
      </c>
      <c r="J184" s="62">
        <f t="shared" si="22"/>
        <v>0.44804541719594043</v>
      </c>
      <c r="K184" s="62">
        <f t="shared" si="23"/>
        <v>0.5026722029526357</v>
      </c>
      <c r="L184" s="63">
        <f t="shared" si="24"/>
        <v>0.12258381039268162</v>
      </c>
      <c r="M184" s="63">
        <f t="shared" si="25"/>
        <v>5.8950686037799894E-4</v>
      </c>
      <c r="N184" s="63">
        <f t="shared" si="26"/>
        <v>0.12192242942372455</v>
      </c>
      <c r="O184" s="62">
        <f t="shared" si="27"/>
        <v>0.5029685316647976</v>
      </c>
      <c r="P184" s="62">
        <f t="shared" si="28"/>
        <v>5.492311446885717E-2</v>
      </c>
      <c r="Q184" s="62">
        <f t="shared" si="29"/>
        <v>-2.9632871216189738E-4</v>
      </c>
      <c r="R184" s="63">
        <f t="shared" si="30"/>
        <v>0.12258381039268179</v>
      </c>
      <c r="S184" s="63">
        <f t="shared" si="31"/>
        <v>-6.6138096895722981E-4</v>
      </c>
      <c r="T184" s="63">
        <f t="shared" si="32"/>
        <v>0.12192242942372457</v>
      </c>
    </row>
    <row r="185" spans="1:20" x14ac:dyDescent="0.3">
      <c r="A185" s="18" t="s">
        <v>87</v>
      </c>
      <c r="B185" s="18" t="s">
        <v>88</v>
      </c>
      <c r="C185" s="18" t="s">
        <v>46</v>
      </c>
      <c r="D185" s="18" t="s">
        <v>43</v>
      </c>
      <c r="E185" s="61">
        <v>2023</v>
      </c>
      <c r="F185" s="62">
        <v>407288000</v>
      </c>
      <c r="G185" s="62">
        <v>439568000</v>
      </c>
      <c r="H185" s="62">
        <v>810245718</v>
      </c>
      <c r="I185" s="62">
        <v>814014814</v>
      </c>
      <c r="J185" s="62">
        <f t="shared" si="22"/>
        <v>0.5026722029526357</v>
      </c>
      <c r="K185" s="62">
        <f t="shared" si="23"/>
        <v>0.54000000054053066</v>
      </c>
      <c r="L185" s="63">
        <f t="shared" si="24"/>
        <v>7.9255956473060829E-2</v>
      </c>
      <c r="M185" s="63">
        <f t="shared" si="25"/>
        <v>4.6517937907818727E-3</v>
      </c>
      <c r="N185" s="63">
        <f t="shared" si="26"/>
        <v>7.4258726399900346E-2</v>
      </c>
      <c r="O185" s="62">
        <f t="shared" si="27"/>
        <v>0.54251196919006739</v>
      </c>
      <c r="P185" s="62">
        <f t="shared" si="28"/>
        <v>3.9839766237431684E-2</v>
      </c>
      <c r="Q185" s="62">
        <f t="shared" si="29"/>
        <v>-2.5119686495367333E-3</v>
      </c>
      <c r="R185" s="63">
        <f t="shared" si="30"/>
        <v>7.9255956473060801E-2</v>
      </c>
      <c r="S185" s="63">
        <f t="shared" si="31"/>
        <v>-4.9972300731604682E-3</v>
      </c>
      <c r="T185" s="63">
        <f t="shared" si="32"/>
        <v>7.4258726399900332E-2</v>
      </c>
    </row>
    <row r="186" spans="1:20" x14ac:dyDescent="0.3">
      <c r="A186" s="18" t="s">
        <v>87</v>
      </c>
      <c r="B186" s="18" t="s">
        <v>88</v>
      </c>
      <c r="C186" s="18" t="s">
        <v>46</v>
      </c>
      <c r="D186" s="18" t="s">
        <v>43</v>
      </c>
      <c r="E186" s="61">
        <v>2024</v>
      </c>
      <c r="F186" s="62">
        <v>439568000</v>
      </c>
      <c r="G186" s="62">
        <v>478854000</v>
      </c>
      <c r="H186" s="62">
        <v>814014814</v>
      </c>
      <c r="I186" s="62">
        <v>811242309</v>
      </c>
      <c r="J186" s="62">
        <f t="shared" si="22"/>
        <v>0.54000000054053066</v>
      </c>
      <c r="K186" s="62">
        <f t="shared" si="23"/>
        <v>0.59027246814860101</v>
      </c>
      <c r="L186" s="63">
        <f t="shared" si="24"/>
        <v>8.9374112765260444E-2</v>
      </c>
      <c r="M186" s="63">
        <f t="shared" si="25"/>
        <v>-3.4059638133317805E-3</v>
      </c>
      <c r="N186" s="63">
        <f t="shared" si="26"/>
        <v>9.3097162143978687E-2</v>
      </c>
      <c r="O186" s="62">
        <f t="shared" si="27"/>
        <v>0.58826202148208084</v>
      </c>
      <c r="P186" s="62">
        <f t="shared" si="28"/>
        <v>4.8262020941550188E-2</v>
      </c>
      <c r="Q186" s="62">
        <f t="shared" si="29"/>
        <v>2.0104466665201715E-3</v>
      </c>
      <c r="R186" s="63">
        <f t="shared" si="30"/>
        <v>8.9374112765260624E-2</v>
      </c>
      <c r="S186" s="63">
        <f t="shared" si="31"/>
        <v>3.7230493787180539E-3</v>
      </c>
      <c r="T186" s="63">
        <f t="shared" si="32"/>
        <v>9.3097162143978673E-2</v>
      </c>
    </row>
    <row r="187" spans="1:20" x14ac:dyDescent="0.3">
      <c r="A187" s="18" t="s">
        <v>89</v>
      </c>
      <c r="B187" s="18" t="s">
        <v>90</v>
      </c>
      <c r="C187" s="18" t="s">
        <v>46</v>
      </c>
      <c r="D187" s="18" t="s">
        <v>43</v>
      </c>
      <c r="E187" s="61">
        <v>2024</v>
      </c>
      <c r="F187" s="62">
        <v>218000000</v>
      </c>
      <c r="G187" s="62">
        <v>349000000</v>
      </c>
      <c r="H187" s="62">
        <v>269000000</v>
      </c>
      <c r="I187" s="62">
        <v>267000000</v>
      </c>
      <c r="J187" s="62">
        <f t="shared" si="22"/>
        <v>0.81040892193308545</v>
      </c>
      <c r="K187" s="62">
        <f t="shared" si="23"/>
        <v>1.3071161048689139</v>
      </c>
      <c r="L187" s="63">
        <f t="shared" si="24"/>
        <v>0.6009174311926605</v>
      </c>
      <c r="M187" s="63">
        <f t="shared" si="25"/>
        <v>-7.4349442379182153E-3</v>
      </c>
      <c r="N187" s="63">
        <f t="shared" si="26"/>
        <v>0.61290932206301774</v>
      </c>
      <c r="O187" s="62">
        <f t="shared" si="27"/>
        <v>1.2973977695167287</v>
      </c>
      <c r="P187" s="62">
        <f t="shared" si="28"/>
        <v>0.48698884758364325</v>
      </c>
      <c r="Q187" s="62">
        <f t="shared" si="29"/>
        <v>9.7183353521852478E-3</v>
      </c>
      <c r="R187" s="63">
        <f t="shared" si="30"/>
        <v>0.60091743119266072</v>
      </c>
      <c r="S187" s="63">
        <f t="shared" si="31"/>
        <v>1.1991890870357028E-2</v>
      </c>
      <c r="T187" s="63">
        <f t="shared" si="32"/>
        <v>0.61290932206301774</v>
      </c>
    </row>
    <row r="188" spans="1:20" x14ac:dyDescent="0.3">
      <c r="A188" s="18" t="s">
        <v>91</v>
      </c>
      <c r="B188" s="18" t="s">
        <v>92</v>
      </c>
      <c r="C188" s="18" t="s">
        <v>46</v>
      </c>
      <c r="D188" s="18" t="s">
        <v>43</v>
      </c>
      <c r="E188" s="61">
        <v>2016</v>
      </c>
      <c r="F188" s="62">
        <v>487000000</v>
      </c>
      <c r="G188" s="62">
        <v>505000000</v>
      </c>
      <c r="H188" s="62">
        <v>574543000</v>
      </c>
      <c r="I188" s="62">
        <v>574543000</v>
      </c>
      <c r="J188" s="62">
        <f t="shared" si="22"/>
        <v>0.8476302034834643</v>
      </c>
      <c r="K188" s="62">
        <f t="shared" si="23"/>
        <v>0.8789594512508202</v>
      </c>
      <c r="L188" s="63">
        <f t="shared" si="24"/>
        <v>3.6960985626283367E-2</v>
      </c>
      <c r="M188" s="63">
        <f t="shared" si="25"/>
        <v>0</v>
      </c>
      <c r="N188" s="63">
        <f t="shared" si="26"/>
        <v>3.6960985626283291E-2</v>
      </c>
      <c r="O188" s="62">
        <f t="shared" si="27"/>
        <v>0.8789594512508202</v>
      </c>
      <c r="P188" s="62">
        <f t="shared" si="28"/>
        <v>3.1329247767355906E-2</v>
      </c>
      <c r="Q188" s="62">
        <f t="shared" si="29"/>
        <v>0</v>
      </c>
      <c r="R188" s="63">
        <f t="shared" si="30"/>
        <v>3.6960985626283291E-2</v>
      </c>
      <c r="S188" s="63">
        <f t="shared" si="31"/>
        <v>0</v>
      </c>
      <c r="T188" s="63">
        <f t="shared" si="32"/>
        <v>3.6960985626283291E-2</v>
      </c>
    </row>
    <row r="189" spans="1:20" x14ac:dyDescent="0.3">
      <c r="A189" s="18" t="s">
        <v>91</v>
      </c>
      <c r="B189" s="18" t="s">
        <v>92</v>
      </c>
      <c r="C189" s="18" t="s">
        <v>46</v>
      </c>
      <c r="D189" s="18" t="s">
        <v>43</v>
      </c>
      <c r="E189" s="61">
        <v>2017</v>
      </c>
      <c r="F189" s="62">
        <v>505000000</v>
      </c>
      <c r="G189" s="62">
        <v>277000000</v>
      </c>
      <c r="H189" s="62">
        <v>574543000</v>
      </c>
      <c r="I189" s="62">
        <v>574425000</v>
      </c>
      <c r="J189" s="62">
        <f t="shared" si="22"/>
        <v>0.8789594512508202</v>
      </c>
      <c r="K189" s="62">
        <f t="shared" si="23"/>
        <v>0.48222135178656916</v>
      </c>
      <c r="L189" s="63">
        <f t="shared" si="24"/>
        <v>-0.4514851485148515</v>
      </c>
      <c r="M189" s="63">
        <f t="shared" si="25"/>
        <v>-2.0538062425266691E-4</v>
      </c>
      <c r="N189" s="63">
        <f t="shared" si="26"/>
        <v>-0.45137247105047362</v>
      </c>
      <c r="O189" s="62">
        <f t="shared" si="27"/>
        <v>0.48212231286431129</v>
      </c>
      <c r="P189" s="62">
        <f t="shared" si="28"/>
        <v>-0.39683713838650891</v>
      </c>
      <c r="Q189" s="62">
        <f t="shared" si="29"/>
        <v>9.9038922257876916E-5</v>
      </c>
      <c r="R189" s="63">
        <f t="shared" si="30"/>
        <v>-0.4514851485148515</v>
      </c>
      <c r="S189" s="63">
        <f t="shared" si="31"/>
        <v>1.1267746437783639E-4</v>
      </c>
      <c r="T189" s="63">
        <f t="shared" si="32"/>
        <v>-0.45137247105047368</v>
      </c>
    </row>
    <row r="190" spans="1:20" x14ac:dyDescent="0.3">
      <c r="A190" s="18" t="s">
        <v>91</v>
      </c>
      <c r="B190" s="18" t="s">
        <v>92</v>
      </c>
      <c r="C190" s="18" t="s">
        <v>46</v>
      </c>
      <c r="D190" s="18" t="s">
        <v>43</v>
      </c>
      <c r="E190" s="61">
        <v>2018</v>
      </c>
      <c r="F190" s="62">
        <v>277000000</v>
      </c>
      <c r="G190" s="62">
        <v>509000000</v>
      </c>
      <c r="H190" s="62">
        <v>574425000</v>
      </c>
      <c r="I190" s="62">
        <v>574605000</v>
      </c>
      <c r="J190" s="62">
        <f t="shared" si="22"/>
        <v>0.48222135178656916</v>
      </c>
      <c r="K190" s="62">
        <f t="shared" si="23"/>
        <v>0.88582591519391585</v>
      </c>
      <c r="L190" s="63">
        <f t="shared" si="24"/>
        <v>0.83754512635379064</v>
      </c>
      <c r="M190" s="63">
        <f t="shared" si="25"/>
        <v>3.1335683509596551E-4</v>
      </c>
      <c r="N190" s="63">
        <f t="shared" si="26"/>
        <v>0.83696949940528931</v>
      </c>
      <c r="O190" s="62">
        <f t="shared" si="27"/>
        <v>0.88610349479914696</v>
      </c>
      <c r="P190" s="62">
        <f t="shared" si="28"/>
        <v>0.4038821430125778</v>
      </c>
      <c r="Q190" s="62">
        <f t="shared" si="29"/>
        <v>-2.7757960523111525E-4</v>
      </c>
      <c r="R190" s="63">
        <f t="shared" si="30"/>
        <v>0.83754512635379064</v>
      </c>
      <c r="S190" s="63">
        <f t="shared" si="31"/>
        <v>-5.7562694850138408E-4</v>
      </c>
      <c r="T190" s="63">
        <f t="shared" si="32"/>
        <v>0.83696949940528931</v>
      </c>
    </row>
    <row r="191" spans="1:20" x14ac:dyDescent="0.3">
      <c r="A191" s="18" t="s">
        <v>91</v>
      </c>
      <c r="B191" s="18" t="s">
        <v>92</v>
      </c>
      <c r="C191" s="18" t="s">
        <v>46</v>
      </c>
      <c r="D191" s="18" t="s">
        <v>43</v>
      </c>
      <c r="E191" s="61">
        <v>2019</v>
      </c>
      <c r="F191" s="62">
        <v>509000000</v>
      </c>
      <c r="G191" s="62">
        <v>821000000</v>
      </c>
      <c r="H191" s="62">
        <v>574605000</v>
      </c>
      <c r="I191" s="62">
        <v>574914000</v>
      </c>
      <c r="J191" s="62">
        <f t="shared" si="22"/>
        <v>0.88582591519391585</v>
      </c>
      <c r="K191" s="62">
        <f t="shared" si="23"/>
        <v>1.4280396720205109</v>
      </c>
      <c r="L191" s="63">
        <f t="shared" si="24"/>
        <v>0.61296660117878188</v>
      </c>
      <c r="M191" s="63">
        <f t="shared" si="25"/>
        <v>5.3776072258333982E-4</v>
      </c>
      <c r="N191" s="63">
        <f t="shared" si="26"/>
        <v>0.61209967729144521</v>
      </c>
      <c r="O191" s="62">
        <f t="shared" si="27"/>
        <v>1.4288076156664142</v>
      </c>
      <c r="P191" s="62">
        <f t="shared" si="28"/>
        <v>0.54298170047249839</v>
      </c>
      <c r="Q191" s="62">
        <f t="shared" si="29"/>
        <v>-7.6794364590337949E-4</v>
      </c>
      <c r="R191" s="63">
        <f t="shared" si="30"/>
        <v>0.61296660117878177</v>
      </c>
      <c r="S191" s="63">
        <f t="shared" si="31"/>
        <v>-8.669238873365646E-4</v>
      </c>
      <c r="T191" s="63">
        <f t="shared" si="32"/>
        <v>0.61209967729144521</v>
      </c>
    </row>
    <row r="192" spans="1:20" x14ac:dyDescent="0.3">
      <c r="A192" s="18" t="s">
        <v>91</v>
      </c>
      <c r="B192" s="18" t="s">
        <v>92</v>
      </c>
      <c r="C192" s="18" t="s">
        <v>46</v>
      </c>
      <c r="D192" s="18" t="s">
        <v>43</v>
      </c>
      <c r="E192" s="61">
        <v>2020</v>
      </c>
      <c r="F192" s="62">
        <v>821000000</v>
      </c>
      <c r="G192" s="62">
        <v>241000000</v>
      </c>
      <c r="H192" s="62">
        <v>574914000</v>
      </c>
      <c r="I192" s="62">
        <v>574914000</v>
      </c>
      <c r="J192" s="62">
        <f t="shared" si="22"/>
        <v>1.4280396720205109</v>
      </c>
      <c r="K192" s="62">
        <f t="shared" si="23"/>
        <v>0.41919313149444959</v>
      </c>
      <c r="L192" s="63">
        <f t="shared" si="24"/>
        <v>-0.70645554202192451</v>
      </c>
      <c r="M192" s="63">
        <f t="shared" si="25"/>
        <v>0</v>
      </c>
      <c r="N192" s="63">
        <f t="shared" si="26"/>
        <v>-0.70645554202192451</v>
      </c>
      <c r="O192" s="62">
        <f t="shared" si="27"/>
        <v>0.41919313149444959</v>
      </c>
      <c r="P192" s="62">
        <f t="shared" si="28"/>
        <v>-1.0088465405260614</v>
      </c>
      <c r="Q192" s="62">
        <f t="shared" si="29"/>
        <v>0</v>
      </c>
      <c r="R192" s="63">
        <f t="shared" si="30"/>
        <v>-0.70645554202192451</v>
      </c>
      <c r="S192" s="63">
        <f t="shared" si="31"/>
        <v>0</v>
      </c>
      <c r="T192" s="63">
        <f t="shared" si="32"/>
        <v>-0.70645554202192451</v>
      </c>
    </row>
    <row r="193" spans="1:20" x14ac:dyDescent="0.3">
      <c r="A193" s="18" t="s">
        <v>91</v>
      </c>
      <c r="B193" s="18" t="s">
        <v>92</v>
      </c>
      <c r="C193" s="18" t="s">
        <v>46</v>
      </c>
      <c r="D193" s="18" t="s">
        <v>43</v>
      </c>
      <c r="E193" s="61">
        <v>2021</v>
      </c>
      <c r="F193" s="62">
        <v>241000000</v>
      </c>
      <c r="G193" s="62">
        <v>586000000</v>
      </c>
      <c r="H193" s="62">
        <v>574914000</v>
      </c>
      <c r="I193" s="62">
        <v>575229000</v>
      </c>
      <c r="J193" s="62">
        <f t="shared" si="22"/>
        <v>0.41919313149444959</v>
      </c>
      <c r="K193" s="62">
        <f t="shared" si="23"/>
        <v>1.0187247165911315</v>
      </c>
      <c r="L193" s="63">
        <f t="shared" si="24"/>
        <v>1.4315352697095436</v>
      </c>
      <c r="M193" s="63">
        <f t="shared" si="25"/>
        <v>5.4790803494087815E-4</v>
      </c>
      <c r="N193" s="63">
        <f t="shared" si="26"/>
        <v>1.4302037415530033</v>
      </c>
      <c r="O193" s="62">
        <f t="shared" si="27"/>
        <v>1.0192828840487447</v>
      </c>
      <c r="P193" s="62">
        <f t="shared" si="28"/>
        <v>0.60008975255429509</v>
      </c>
      <c r="Q193" s="62">
        <f t="shared" si="29"/>
        <v>-5.5816745761316788E-4</v>
      </c>
      <c r="R193" s="63">
        <f t="shared" si="30"/>
        <v>1.4315352697095436</v>
      </c>
      <c r="S193" s="63">
        <f t="shared" si="31"/>
        <v>-1.3315281565403187E-3</v>
      </c>
      <c r="T193" s="63">
        <f t="shared" si="32"/>
        <v>1.4302037415530033</v>
      </c>
    </row>
    <row r="194" spans="1:20" x14ac:dyDescent="0.3">
      <c r="A194" s="18" t="s">
        <v>91</v>
      </c>
      <c r="B194" s="18" t="s">
        <v>92</v>
      </c>
      <c r="C194" s="18" t="s">
        <v>46</v>
      </c>
      <c r="D194" s="18" t="s">
        <v>43</v>
      </c>
      <c r="E194" s="61">
        <v>2022</v>
      </c>
      <c r="F194" s="62">
        <v>586000000</v>
      </c>
      <c r="G194" s="62">
        <v>927000000</v>
      </c>
      <c r="H194" s="62">
        <v>575229000</v>
      </c>
      <c r="I194" s="62">
        <v>575307000</v>
      </c>
      <c r="J194" s="62">
        <f t="shared" si="22"/>
        <v>1.0187247165911315</v>
      </c>
      <c r="K194" s="62">
        <f t="shared" si="23"/>
        <v>1.6113136116890634</v>
      </c>
      <c r="L194" s="63">
        <f t="shared" si="24"/>
        <v>0.58191126279863481</v>
      </c>
      <c r="M194" s="63">
        <f t="shared" si="25"/>
        <v>1.3559817046776153E-4</v>
      </c>
      <c r="N194" s="63">
        <f t="shared" si="26"/>
        <v>0.58169678760800048</v>
      </c>
      <c r="O194" s="62">
        <f t="shared" si="27"/>
        <v>1.6115321028668583</v>
      </c>
      <c r="P194" s="62">
        <f t="shared" si="28"/>
        <v>0.59280738627572682</v>
      </c>
      <c r="Q194" s="62">
        <f t="shared" si="29"/>
        <v>-2.1849117779493277E-4</v>
      </c>
      <c r="R194" s="63">
        <f t="shared" si="30"/>
        <v>0.58191126279863492</v>
      </c>
      <c r="S194" s="63">
        <f t="shared" si="31"/>
        <v>-2.1447519063447334E-4</v>
      </c>
      <c r="T194" s="63">
        <f t="shared" si="32"/>
        <v>0.58169678760800048</v>
      </c>
    </row>
    <row r="195" spans="1:20" x14ac:dyDescent="0.3">
      <c r="A195" s="18" t="s">
        <v>91</v>
      </c>
      <c r="B195" s="18" t="s">
        <v>92</v>
      </c>
      <c r="C195" s="18" t="s">
        <v>46</v>
      </c>
      <c r="D195" s="18" t="s">
        <v>43</v>
      </c>
      <c r="E195" s="61">
        <v>2023</v>
      </c>
      <c r="F195" s="62">
        <v>927000000</v>
      </c>
      <c r="G195" s="62">
        <v>658000000</v>
      </c>
      <c r="H195" s="62">
        <v>575307000</v>
      </c>
      <c r="I195" s="62">
        <v>575307085</v>
      </c>
      <c r="J195" s="62">
        <f t="shared" si="22"/>
        <v>1.6113136116890634</v>
      </c>
      <c r="K195" s="62">
        <f t="shared" si="23"/>
        <v>1.1437370009096968</v>
      </c>
      <c r="L195" s="63">
        <f t="shared" si="24"/>
        <v>-0.29018338727076592</v>
      </c>
      <c r="M195" s="63">
        <f t="shared" si="25"/>
        <v>1.4774720279781056E-7</v>
      </c>
      <c r="N195" s="63">
        <f t="shared" si="26"/>
        <v>-0.29018349214416944</v>
      </c>
      <c r="O195" s="62">
        <f t="shared" si="27"/>
        <v>1.1437371698936394</v>
      </c>
      <c r="P195" s="62">
        <f t="shared" si="28"/>
        <v>-0.46757644179542401</v>
      </c>
      <c r="Q195" s="62">
        <f t="shared" si="29"/>
        <v>-1.6898394261666283E-7</v>
      </c>
      <c r="R195" s="63">
        <f t="shared" si="30"/>
        <v>-0.29018338727076592</v>
      </c>
      <c r="S195" s="63">
        <f t="shared" si="31"/>
        <v>-1.0487340353286347E-7</v>
      </c>
      <c r="T195" s="63">
        <f t="shared" si="32"/>
        <v>-0.29018349214416944</v>
      </c>
    </row>
    <row r="196" spans="1:20" x14ac:dyDescent="0.3">
      <c r="A196" s="18" t="s">
        <v>91</v>
      </c>
      <c r="B196" s="18" t="s">
        <v>92</v>
      </c>
      <c r="C196" s="18" t="s">
        <v>46</v>
      </c>
      <c r="D196" s="18" t="s">
        <v>43</v>
      </c>
      <c r="E196" s="61">
        <v>2024</v>
      </c>
      <c r="F196" s="62">
        <v>658000000</v>
      </c>
      <c r="G196" s="62">
        <v>1074000000</v>
      </c>
      <c r="H196" s="62">
        <v>575307085</v>
      </c>
      <c r="I196" s="62">
        <v>575307000</v>
      </c>
      <c r="J196" s="62">
        <f t="shared" si="22"/>
        <v>1.1437370009096968</v>
      </c>
      <c r="K196" s="62">
        <f t="shared" si="23"/>
        <v>1.8668293624099828</v>
      </c>
      <c r="L196" s="63">
        <f t="shared" si="24"/>
        <v>0.63221884498480241</v>
      </c>
      <c r="M196" s="63">
        <f t="shared" si="25"/>
        <v>-1.4774718096857786E-7</v>
      </c>
      <c r="N196" s="63">
        <f t="shared" si="26"/>
        <v>0.6322190861405711</v>
      </c>
      <c r="O196" s="62">
        <f t="shared" si="27"/>
        <v>1.8668290865912072</v>
      </c>
      <c r="P196" s="62">
        <f t="shared" si="28"/>
        <v>0.7230920856815104</v>
      </c>
      <c r="Q196" s="62">
        <f t="shared" si="29"/>
        <v>2.7581877559690327E-7</v>
      </c>
      <c r="R196" s="63">
        <f t="shared" si="30"/>
        <v>0.63221884498480241</v>
      </c>
      <c r="S196" s="63">
        <f t="shared" si="31"/>
        <v>2.4115576865793853E-7</v>
      </c>
      <c r="T196" s="63">
        <f t="shared" si="32"/>
        <v>0.6322190861405711</v>
      </c>
    </row>
    <row r="197" spans="1:20" x14ac:dyDescent="0.3">
      <c r="A197" s="18" t="s">
        <v>93</v>
      </c>
      <c r="B197" s="18" t="s">
        <v>94</v>
      </c>
      <c r="C197" s="18" t="s">
        <v>46</v>
      </c>
      <c r="D197" s="18" t="s">
        <v>43</v>
      </c>
      <c r="E197" s="61">
        <v>2016</v>
      </c>
      <c r="F197" s="62">
        <v>589751000</v>
      </c>
      <c r="G197" s="62">
        <v>604550000</v>
      </c>
      <c r="H197" s="62">
        <v>847414629</v>
      </c>
      <c r="I197" s="62">
        <v>849895132</v>
      </c>
      <c r="J197" s="62">
        <f t="shared" ref="J197:J260" si="33">F197/H197</f>
        <v>0.69594149052623921</v>
      </c>
      <c r="K197" s="62">
        <f t="shared" ref="K197:K260" si="34">G197/I197</f>
        <v>0.71132305297166942</v>
      </c>
      <c r="L197" s="63">
        <f t="shared" ref="L197:L260" si="35">IF(F197=0,"",((G197-F197)/ABS(F197)))</f>
        <v>2.509364121468213E-2</v>
      </c>
      <c r="M197" s="63">
        <f t="shared" ref="M197:M260" si="36">(I197-H197)/H197</f>
        <v>2.9271420566897009E-3</v>
      </c>
      <c r="N197" s="63">
        <f t="shared" ref="N197:N260" si="37">IF(J197=0,"",((K197-J197)/ABS(J197)))</f>
        <v>2.2101804037864409E-2</v>
      </c>
      <c r="O197" s="62">
        <f t="shared" ref="O197:O260" si="38">G197/H197</f>
        <v>0.71340519659591572</v>
      </c>
      <c r="P197" s="62">
        <f t="shared" ref="P197:P260" si="39">O197-J197</f>
        <v>1.746370606967651E-2</v>
      </c>
      <c r="Q197" s="62">
        <f t="shared" ref="Q197:Q260" si="40">K197-O197</f>
        <v>-2.0821436242463021E-3</v>
      </c>
      <c r="R197" s="63">
        <f t="shared" ref="R197:R260" si="41">IF(J197=0,"",P197/ABS(J197))</f>
        <v>2.5093641214682074E-2</v>
      </c>
      <c r="S197" s="63">
        <f t="shared" ref="S197:S260" si="42">IF(J197=0,"",Q197/ABS(J197))</f>
        <v>-2.9918371768176662E-3</v>
      </c>
      <c r="T197" s="63">
        <f t="shared" ref="T197:T260" si="43">R197+S197</f>
        <v>2.2101804037864409E-2</v>
      </c>
    </row>
    <row r="198" spans="1:20" x14ac:dyDescent="0.3">
      <c r="A198" s="18" t="s">
        <v>93</v>
      </c>
      <c r="B198" s="18" t="s">
        <v>94</v>
      </c>
      <c r="C198" s="18" t="s">
        <v>46</v>
      </c>
      <c r="D198" s="18" t="s">
        <v>43</v>
      </c>
      <c r="E198" s="61">
        <v>2017</v>
      </c>
      <c r="F198" s="62">
        <v>604550000</v>
      </c>
      <c r="G198" s="62">
        <v>750200000</v>
      </c>
      <c r="H198" s="62">
        <v>849895132</v>
      </c>
      <c r="I198" s="62">
        <v>854445929</v>
      </c>
      <c r="J198" s="62">
        <f t="shared" si="33"/>
        <v>0.71132305297166942</v>
      </c>
      <c r="K198" s="62">
        <f t="shared" si="34"/>
        <v>0.87799587374475041</v>
      </c>
      <c r="L198" s="63">
        <f t="shared" si="35"/>
        <v>0.240923000578943</v>
      </c>
      <c r="M198" s="63">
        <f t="shared" si="36"/>
        <v>5.3545394351076246E-3</v>
      </c>
      <c r="N198" s="63">
        <f t="shared" si="37"/>
        <v>0.23431381856215369</v>
      </c>
      <c r="O198" s="62">
        <f t="shared" si="38"/>
        <v>0.88269713727457844</v>
      </c>
      <c r="P198" s="62">
        <f t="shared" si="39"/>
        <v>0.17137408430290901</v>
      </c>
      <c r="Q198" s="62">
        <f t="shared" si="40"/>
        <v>-4.7012635298280259E-3</v>
      </c>
      <c r="R198" s="63">
        <f t="shared" si="41"/>
        <v>0.240923000578943</v>
      </c>
      <c r="S198" s="63">
        <f t="shared" si="42"/>
        <v>-6.6091820167893077E-3</v>
      </c>
      <c r="T198" s="63">
        <f t="shared" si="43"/>
        <v>0.23431381856215369</v>
      </c>
    </row>
    <row r="199" spans="1:20" x14ac:dyDescent="0.3">
      <c r="A199" s="18" t="s">
        <v>93</v>
      </c>
      <c r="B199" s="18" t="s">
        <v>94</v>
      </c>
      <c r="C199" s="18" t="s">
        <v>46</v>
      </c>
      <c r="D199" s="18" t="s">
        <v>43</v>
      </c>
      <c r="E199" s="61">
        <v>2018</v>
      </c>
      <c r="F199" s="62">
        <v>750200000</v>
      </c>
      <c r="G199" s="62">
        <v>863920000</v>
      </c>
      <c r="H199" s="62">
        <v>854445929</v>
      </c>
      <c r="I199" s="62">
        <v>877685049</v>
      </c>
      <c r="J199" s="62">
        <f t="shared" si="33"/>
        <v>0.87799587374475041</v>
      </c>
      <c r="K199" s="62">
        <f t="shared" si="34"/>
        <v>0.98431664181168022</v>
      </c>
      <c r="L199" s="63">
        <f t="shared" si="35"/>
        <v>0.1515862436683551</v>
      </c>
      <c r="M199" s="63">
        <f t="shared" si="36"/>
        <v>2.719788252393909E-2</v>
      </c>
      <c r="N199" s="63">
        <f t="shared" si="37"/>
        <v>0.12109483796713059</v>
      </c>
      <c r="O199" s="62">
        <f t="shared" si="38"/>
        <v>1.0110879702020326</v>
      </c>
      <c r="P199" s="62">
        <f t="shared" si="39"/>
        <v>0.13309209645728215</v>
      </c>
      <c r="Q199" s="62">
        <f t="shared" si="40"/>
        <v>-2.6771328390352345E-2</v>
      </c>
      <c r="R199" s="63">
        <f t="shared" si="41"/>
        <v>0.15158624366835519</v>
      </c>
      <c r="S199" s="63">
        <f t="shared" si="42"/>
        <v>-3.0491405701224585E-2</v>
      </c>
      <c r="T199" s="63">
        <f t="shared" si="43"/>
        <v>0.12109483796713061</v>
      </c>
    </row>
    <row r="200" spans="1:20" x14ac:dyDescent="0.3">
      <c r="A200" s="18" t="s">
        <v>93</v>
      </c>
      <c r="B200" s="18" t="s">
        <v>94</v>
      </c>
      <c r="C200" s="18" t="s">
        <v>46</v>
      </c>
      <c r="D200" s="18" t="s">
        <v>43</v>
      </c>
      <c r="E200" s="61">
        <v>2019</v>
      </c>
      <c r="F200" s="62">
        <v>863920000</v>
      </c>
      <c r="G200" s="62">
        <v>823025000</v>
      </c>
      <c r="H200" s="62">
        <v>877685049</v>
      </c>
      <c r="I200" s="62">
        <v>871819196</v>
      </c>
      <c r="J200" s="62">
        <f t="shared" si="33"/>
        <v>0.98431664181168022</v>
      </c>
      <c r="K200" s="62">
        <f t="shared" si="34"/>
        <v>0.94403174852782201</v>
      </c>
      <c r="L200" s="63">
        <f t="shared" si="35"/>
        <v>-4.7336558940642655E-2</v>
      </c>
      <c r="M200" s="63">
        <f t="shared" si="36"/>
        <v>-6.6833233705909916E-3</v>
      </c>
      <c r="N200" s="63">
        <f t="shared" si="37"/>
        <v>-4.0926762357397513E-2</v>
      </c>
      <c r="O200" s="62">
        <f t="shared" si="38"/>
        <v>0.93772247908030615</v>
      </c>
      <c r="P200" s="62">
        <f t="shared" si="39"/>
        <v>-4.6594162731374067E-2</v>
      </c>
      <c r="Q200" s="62">
        <f t="shared" si="40"/>
        <v>6.3092694475158639E-3</v>
      </c>
      <c r="R200" s="63">
        <f t="shared" si="41"/>
        <v>-4.7336558940642676E-2</v>
      </c>
      <c r="S200" s="63">
        <f t="shared" si="42"/>
        <v>6.4097965832451663E-3</v>
      </c>
      <c r="T200" s="63">
        <f t="shared" si="43"/>
        <v>-4.0926762357397506E-2</v>
      </c>
    </row>
    <row r="201" spans="1:20" x14ac:dyDescent="0.3">
      <c r="A201" s="18" t="s">
        <v>93</v>
      </c>
      <c r="B201" s="18" t="s">
        <v>94</v>
      </c>
      <c r="C201" s="18" t="s">
        <v>46</v>
      </c>
      <c r="D201" s="18" t="s">
        <v>43</v>
      </c>
      <c r="E201" s="61">
        <v>2020</v>
      </c>
      <c r="F201" s="62">
        <v>823025000</v>
      </c>
      <c r="G201" s="62">
        <v>600382000</v>
      </c>
      <c r="H201" s="62">
        <v>871819196</v>
      </c>
      <c r="I201" s="62">
        <v>860611137</v>
      </c>
      <c r="J201" s="62">
        <f t="shared" si="33"/>
        <v>0.94403174852782201</v>
      </c>
      <c r="K201" s="62">
        <f t="shared" si="34"/>
        <v>0.69762285681413394</v>
      </c>
      <c r="L201" s="63">
        <f t="shared" si="35"/>
        <v>-0.27051790650344765</v>
      </c>
      <c r="M201" s="63">
        <f t="shared" si="36"/>
        <v>-1.2855944273105911E-2</v>
      </c>
      <c r="N201" s="63">
        <f t="shared" si="37"/>
        <v>-0.2610175898193598</v>
      </c>
      <c r="O201" s="62">
        <f t="shared" si="38"/>
        <v>0.68865425624328647</v>
      </c>
      <c r="P201" s="62">
        <f t="shared" si="39"/>
        <v>-0.25537749228453555</v>
      </c>
      <c r="Q201" s="62">
        <f t="shared" si="40"/>
        <v>8.9686005708474736E-3</v>
      </c>
      <c r="R201" s="63">
        <f t="shared" si="41"/>
        <v>-0.27051790650344765</v>
      </c>
      <c r="S201" s="63">
        <f t="shared" si="42"/>
        <v>9.5003166840878298E-3</v>
      </c>
      <c r="T201" s="63">
        <f t="shared" si="43"/>
        <v>-0.2610175898193598</v>
      </c>
    </row>
    <row r="202" spans="1:20" x14ac:dyDescent="0.3">
      <c r="A202" s="18" t="s">
        <v>93</v>
      </c>
      <c r="B202" s="18" t="s">
        <v>94</v>
      </c>
      <c r="C202" s="18" t="s">
        <v>46</v>
      </c>
      <c r="D202" s="18" t="s">
        <v>43</v>
      </c>
      <c r="E202" s="61">
        <v>2021</v>
      </c>
      <c r="F202" s="62">
        <v>600382000</v>
      </c>
      <c r="G202" s="62">
        <v>807576000</v>
      </c>
      <c r="H202" s="62">
        <v>860611137</v>
      </c>
      <c r="I202" s="62">
        <v>862358884</v>
      </c>
      <c r="J202" s="62">
        <f t="shared" si="33"/>
        <v>0.69762285681413394</v>
      </c>
      <c r="K202" s="62">
        <f t="shared" si="34"/>
        <v>0.93647321896204871</v>
      </c>
      <c r="L202" s="63">
        <f t="shared" si="35"/>
        <v>0.34510361736361184</v>
      </c>
      <c r="M202" s="63">
        <f t="shared" si="36"/>
        <v>2.0308208026362084E-3</v>
      </c>
      <c r="N202" s="63">
        <f t="shared" si="37"/>
        <v>0.34237748923348582</v>
      </c>
      <c r="O202" s="62">
        <f t="shared" si="38"/>
        <v>0.93837502825622854</v>
      </c>
      <c r="P202" s="62">
        <f t="shared" si="39"/>
        <v>0.2407521714420946</v>
      </c>
      <c r="Q202" s="62">
        <f t="shared" si="40"/>
        <v>-1.9018092941798237E-3</v>
      </c>
      <c r="R202" s="63">
        <f t="shared" si="41"/>
        <v>0.34510361736361178</v>
      </c>
      <c r="S202" s="63">
        <f t="shared" si="42"/>
        <v>-2.7261281301259291E-3</v>
      </c>
      <c r="T202" s="63">
        <f t="shared" si="43"/>
        <v>0.34237748923348588</v>
      </c>
    </row>
    <row r="203" spans="1:20" x14ac:dyDescent="0.3">
      <c r="A203" s="18" t="s">
        <v>93</v>
      </c>
      <c r="B203" s="18" t="s">
        <v>94</v>
      </c>
      <c r="C203" s="18" t="s">
        <v>46</v>
      </c>
      <c r="D203" s="18" t="s">
        <v>43</v>
      </c>
      <c r="E203" s="61">
        <v>2022</v>
      </c>
      <c r="F203" s="62">
        <v>807576000</v>
      </c>
      <c r="G203" s="62">
        <v>906977000</v>
      </c>
      <c r="H203" s="62">
        <v>862358884</v>
      </c>
      <c r="I203" s="62">
        <v>838844304</v>
      </c>
      <c r="J203" s="62">
        <f t="shared" si="33"/>
        <v>0.93647321896204871</v>
      </c>
      <c r="K203" s="62">
        <f t="shared" si="34"/>
        <v>1.0812221000668558</v>
      </c>
      <c r="L203" s="63">
        <f t="shared" si="35"/>
        <v>0.12308562909249408</v>
      </c>
      <c r="M203" s="63">
        <f t="shared" si="36"/>
        <v>-2.7267742509857414E-2</v>
      </c>
      <c r="N203" s="63">
        <f t="shared" si="37"/>
        <v>0.15456809460631588</v>
      </c>
      <c r="O203" s="62">
        <f t="shared" si="38"/>
        <v>1.0517396142462654</v>
      </c>
      <c r="P203" s="62">
        <f t="shared" si="39"/>
        <v>0.11526639528421667</v>
      </c>
      <c r="Q203" s="62">
        <f t="shared" si="40"/>
        <v>2.9482485820590432E-2</v>
      </c>
      <c r="R203" s="63">
        <f t="shared" si="41"/>
        <v>0.12308562909249403</v>
      </c>
      <c r="S203" s="63">
        <f t="shared" si="42"/>
        <v>3.1482465513821847E-2</v>
      </c>
      <c r="T203" s="63">
        <f t="shared" si="43"/>
        <v>0.15456809460631588</v>
      </c>
    </row>
    <row r="204" spans="1:20" x14ac:dyDescent="0.3">
      <c r="A204" s="18" t="s">
        <v>93</v>
      </c>
      <c r="B204" s="18" t="s">
        <v>94</v>
      </c>
      <c r="C204" s="18" t="s">
        <v>46</v>
      </c>
      <c r="D204" s="18" t="s">
        <v>43</v>
      </c>
      <c r="E204" s="61">
        <v>2023</v>
      </c>
      <c r="F204" s="62">
        <v>906977000</v>
      </c>
      <c r="G204" s="62">
        <v>1025986000</v>
      </c>
      <c r="H204" s="62">
        <v>838844304</v>
      </c>
      <c r="I204" s="62">
        <v>840761242</v>
      </c>
      <c r="J204" s="62">
        <f t="shared" si="33"/>
        <v>1.0812221000668558</v>
      </c>
      <c r="K204" s="62">
        <f t="shared" si="34"/>
        <v>1.2203060140586262</v>
      </c>
      <c r="L204" s="63">
        <f t="shared" si="35"/>
        <v>0.13121501427268828</v>
      </c>
      <c r="M204" s="63">
        <f t="shared" si="36"/>
        <v>2.2852131091063593E-3</v>
      </c>
      <c r="N204" s="63">
        <f t="shared" si="37"/>
        <v>0.12863584085376195</v>
      </c>
      <c r="O204" s="62">
        <f t="shared" si="38"/>
        <v>1.2230946733590742</v>
      </c>
      <c r="P204" s="62">
        <f t="shared" si="39"/>
        <v>0.14187257329221836</v>
      </c>
      <c r="Q204" s="62">
        <f t="shared" si="40"/>
        <v>-2.7886593004480265E-3</v>
      </c>
      <c r="R204" s="63">
        <f t="shared" si="41"/>
        <v>0.13121501427268817</v>
      </c>
      <c r="S204" s="63">
        <f t="shared" si="42"/>
        <v>-2.5791734189262259E-3</v>
      </c>
      <c r="T204" s="63">
        <f t="shared" si="43"/>
        <v>0.12863584085376195</v>
      </c>
    </row>
    <row r="205" spans="1:20" x14ac:dyDescent="0.3">
      <c r="A205" s="18" t="s">
        <v>93</v>
      </c>
      <c r="B205" s="18" t="s">
        <v>94</v>
      </c>
      <c r="C205" s="18" t="s">
        <v>46</v>
      </c>
      <c r="D205" s="18" t="s">
        <v>43</v>
      </c>
      <c r="E205" s="61">
        <v>2024</v>
      </c>
      <c r="F205" s="62">
        <v>1025986000</v>
      </c>
      <c r="G205" s="62">
        <v>1273382000</v>
      </c>
      <c r="H205" s="62">
        <v>840761242</v>
      </c>
      <c r="I205" s="62">
        <v>826608063</v>
      </c>
      <c r="J205" s="62">
        <f t="shared" si="33"/>
        <v>1.2203060140586262</v>
      </c>
      <c r="K205" s="62">
        <f t="shared" si="34"/>
        <v>1.5404906593561742</v>
      </c>
      <c r="L205" s="63">
        <f t="shared" si="35"/>
        <v>0.24112999592587034</v>
      </c>
      <c r="M205" s="63">
        <f t="shared" si="36"/>
        <v>-1.6833767177864271E-2</v>
      </c>
      <c r="N205" s="63">
        <f t="shared" si="37"/>
        <v>0.26238061732781537</v>
      </c>
      <c r="O205" s="62">
        <f t="shared" si="38"/>
        <v>1.5145583982568978</v>
      </c>
      <c r="P205" s="62">
        <f t="shared" si="39"/>
        <v>0.2942523841982716</v>
      </c>
      <c r="Q205" s="62">
        <f t="shared" si="40"/>
        <v>2.5932261099276488E-2</v>
      </c>
      <c r="R205" s="63">
        <f t="shared" si="41"/>
        <v>0.24112999592587034</v>
      </c>
      <c r="S205" s="63">
        <f t="shared" si="42"/>
        <v>2.1250621401945041E-2</v>
      </c>
      <c r="T205" s="63">
        <f t="shared" si="43"/>
        <v>0.26238061732781537</v>
      </c>
    </row>
    <row r="206" spans="1:20" x14ac:dyDescent="0.3">
      <c r="A206" s="18" t="s">
        <v>95</v>
      </c>
      <c r="B206" s="18" t="s">
        <v>96</v>
      </c>
      <c r="C206" s="18" t="s">
        <v>46</v>
      </c>
      <c r="D206" s="18" t="s">
        <v>43</v>
      </c>
      <c r="E206" s="61">
        <v>2016</v>
      </c>
      <c r="F206" s="62">
        <v>167863000</v>
      </c>
      <c r="G206" s="62">
        <v>196043000</v>
      </c>
      <c r="H206" s="62">
        <v>250086129</v>
      </c>
      <c r="I206" s="62">
        <v>249268029</v>
      </c>
      <c r="J206" s="62">
        <f t="shared" si="33"/>
        <v>0.67122075371081458</v>
      </c>
      <c r="K206" s="62">
        <f t="shared" si="34"/>
        <v>0.78647470671018138</v>
      </c>
      <c r="L206" s="63">
        <f t="shared" si="35"/>
        <v>0.16787499329810621</v>
      </c>
      <c r="M206" s="63">
        <f t="shared" si="36"/>
        <v>-3.2712729941131603E-3</v>
      </c>
      <c r="N206" s="63">
        <f t="shared" si="37"/>
        <v>0.17170796993714865</v>
      </c>
      <c r="O206" s="62">
        <f t="shared" si="38"/>
        <v>0.78390193324156732</v>
      </c>
      <c r="P206" s="62">
        <f t="shared" si="39"/>
        <v>0.11268117953075274</v>
      </c>
      <c r="Q206" s="62">
        <f t="shared" si="40"/>
        <v>2.5727734686140646E-3</v>
      </c>
      <c r="R206" s="63">
        <f t="shared" si="41"/>
        <v>0.16787499329810612</v>
      </c>
      <c r="S206" s="63">
        <f t="shared" si="42"/>
        <v>3.8329766390425191E-3</v>
      </c>
      <c r="T206" s="63">
        <f t="shared" si="43"/>
        <v>0.17170796993714865</v>
      </c>
    </row>
    <row r="207" spans="1:20" x14ac:dyDescent="0.3">
      <c r="A207" s="18" t="s">
        <v>95</v>
      </c>
      <c r="B207" s="18" t="s">
        <v>96</v>
      </c>
      <c r="C207" s="18" t="s">
        <v>46</v>
      </c>
      <c r="D207" s="18" t="s">
        <v>43</v>
      </c>
      <c r="E207" s="61">
        <v>2017</v>
      </c>
      <c r="F207" s="62">
        <v>196043000</v>
      </c>
      <c r="G207" s="62">
        <v>249688000</v>
      </c>
      <c r="H207" s="62">
        <v>249268029</v>
      </c>
      <c r="I207" s="62">
        <v>252060094</v>
      </c>
      <c r="J207" s="62">
        <f t="shared" si="33"/>
        <v>0.78647470671018138</v>
      </c>
      <c r="K207" s="62">
        <f t="shared" si="34"/>
        <v>0.99058917275497005</v>
      </c>
      <c r="L207" s="63">
        <f t="shared" si="35"/>
        <v>0.27363894655764298</v>
      </c>
      <c r="M207" s="63">
        <f t="shared" si="36"/>
        <v>1.1201055390862018E-2</v>
      </c>
      <c r="N207" s="63">
        <f t="shared" si="37"/>
        <v>0.25953087149947662</v>
      </c>
      <c r="O207" s="62">
        <f t="shared" si="38"/>
        <v>1.0016848169485868</v>
      </c>
      <c r="P207" s="62">
        <f t="shared" si="39"/>
        <v>0.21521011023840542</v>
      </c>
      <c r="Q207" s="62">
        <f t="shared" si="40"/>
        <v>-1.1095644193616749E-2</v>
      </c>
      <c r="R207" s="63">
        <f t="shared" si="41"/>
        <v>0.2736389465576432</v>
      </c>
      <c r="S207" s="63">
        <f t="shared" si="42"/>
        <v>-1.4108075058166534E-2</v>
      </c>
      <c r="T207" s="63">
        <f t="shared" si="43"/>
        <v>0.25953087149947668</v>
      </c>
    </row>
    <row r="208" spans="1:20" x14ac:dyDescent="0.3">
      <c r="A208" s="18" t="s">
        <v>95</v>
      </c>
      <c r="B208" s="18" t="s">
        <v>96</v>
      </c>
      <c r="C208" s="18" t="s">
        <v>46</v>
      </c>
      <c r="D208" s="18" t="s">
        <v>43</v>
      </c>
      <c r="E208" s="61">
        <v>2018</v>
      </c>
      <c r="F208" s="62">
        <v>249688000</v>
      </c>
      <c r="G208" s="62">
        <v>332395000</v>
      </c>
      <c r="H208" s="62">
        <v>252060094</v>
      </c>
      <c r="I208" s="62">
        <v>251723961</v>
      </c>
      <c r="J208" s="62">
        <f t="shared" si="33"/>
        <v>0.99058917275497005</v>
      </c>
      <c r="K208" s="62">
        <f t="shared" si="34"/>
        <v>1.3204742158018083</v>
      </c>
      <c r="L208" s="63">
        <f t="shared" si="35"/>
        <v>0.33124138925378871</v>
      </c>
      <c r="M208" s="63">
        <f t="shared" si="36"/>
        <v>-1.3335431034156482E-3</v>
      </c>
      <c r="N208" s="63">
        <f t="shared" si="37"/>
        <v>0.33301902758474622</v>
      </c>
      <c r="O208" s="62">
        <f t="shared" si="38"/>
        <v>1.3187133065180876</v>
      </c>
      <c r="P208" s="62">
        <f t="shared" si="39"/>
        <v>0.32812413376311755</v>
      </c>
      <c r="Q208" s="62">
        <f t="shared" si="40"/>
        <v>1.7609092837207463E-3</v>
      </c>
      <c r="R208" s="63">
        <f t="shared" si="41"/>
        <v>0.33124138925378865</v>
      </c>
      <c r="S208" s="63">
        <f t="shared" si="42"/>
        <v>1.7776383309575309E-3</v>
      </c>
      <c r="T208" s="63">
        <f t="shared" si="43"/>
        <v>0.33301902758474616</v>
      </c>
    </row>
    <row r="209" spans="1:20" x14ac:dyDescent="0.3">
      <c r="A209" s="18" t="s">
        <v>95</v>
      </c>
      <c r="B209" s="18" t="s">
        <v>96</v>
      </c>
      <c r="C209" s="18" t="s">
        <v>46</v>
      </c>
      <c r="D209" s="18" t="s">
        <v>43</v>
      </c>
      <c r="E209" s="61">
        <v>2019</v>
      </c>
      <c r="F209" s="62">
        <v>332395000</v>
      </c>
      <c r="G209" s="62">
        <v>358685000</v>
      </c>
      <c r="H209" s="62">
        <v>251723961</v>
      </c>
      <c r="I209" s="62">
        <v>251723961</v>
      </c>
      <c r="J209" s="62">
        <f t="shared" si="33"/>
        <v>1.3204742158018083</v>
      </c>
      <c r="K209" s="62">
        <f t="shared" si="34"/>
        <v>1.4249140152375086</v>
      </c>
      <c r="L209" s="63">
        <f t="shared" si="35"/>
        <v>7.9092645797921149E-2</v>
      </c>
      <c r="M209" s="63">
        <f t="shared" si="36"/>
        <v>0</v>
      </c>
      <c r="N209" s="63">
        <f t="shared" si="37"/>
        <v>7.9092645797921246E-2</v>
      </c>
      <c r="O209" s="62">
        <f t="shared" si="38"/>
        <v>1.4249140152375086</v>
      </c>
      <c r="P209" s="62">
        <f t="shared" si="39"/>
        <v>0.10443979943570025</v>
      </c>
      <c r="Q209" s="62">
        <f t="shared" si="40"/>
        <v>0</v>
      </c>
      <c r="R209" s="63">
        <f t="shared" si="41"/>
        <v>7.9092645797921246E-2</v>
      </c>
      <c r="S209" s="63">
        <f t="shared" si="42"/>
        <v>0</v>
      </c>
      <c r="T209" s="63">
        <f t="shared" si="43"/>
        <v>7.9092645797921246E-2</v>
      </c>
    </row>
    <row r="210" spans="1:20" x14ac:dyDescent="0.3">
      <c r="A210" s="18" t="s">
        <v>95</v>
      </c>
      <c r="B210" s="18" t="s">
        <v>96</v>
      </c>
      <c r="C210" s="18" t="s">
        <v>46</v>
      </c>
      <c r="D210" s="18" t="s">
        <v>43</v>
      </c>
      <c r="E210" s="61">
        <v>2020</v>
      </c>
      <c r="F210" s="62">
        <v>358685000</v>
      </c>
      <c r="G210" s="62">
        <v>300351000</v>
      </c>
      <c r="H210" s="62">
        <v>251723961</v>
      </c>
      <c r="I210" s="62">
        <v>252674625</v>
      </c>
      <c r="J210" s="62">
        <f t="shared" si="33"/>
        <v>1.4249140152375086</v>
      </c>
      <c r="K210" s="62">
        <f t="shared" si="34"/>
        <v>1.1886868339074412</v>
      </c>
      <c r="L210" s="63">
        <f t="shared" si="35"/>
        <v>-0.16263295091793636</v>
      </c>
      <c r="M210" s="63">
        <f t="shared" si="36"/>
        <v>3.7766130654522793E-3</v>
      </c>
      <c r="N210" s="63">
        <f t="shared" si="37"/>
        <v>-0.16578346398725846</v>
      </c>
      <c r="O210" s="62">
        <f t="shared" si="38"/>
        <v>1.1931760441351071</v>
      </c>
      <c r="P210" s="62">
        <f t="shared" si="39"/>
        <v>-0.23173797110240146</v>
      </c>
      <c r="Q210" s="62">
        <f t="shared" si="40"/>
        <v>-4.4892102276659074E-3</v>
      </c>
      <c r="R210" s="63">
        <f t="shared" si="41"/>
        <v>-0.16263295091793642</v>
      </c>
      <c r="S210" s="63">
        <f t="shared" si="42"/>
        <v>-3.1505130693220344E-3</v>
      </c>
      <c r="T210" s="63">
        <f t="shared" si="43"/>
        <v>-0.16578346398725846</v>
      </c>
    </row>
    <row r="211" spans="1:20" x14ac:dyDescent="0.3">
      <c r="A211" s="18" t="s">
        <v>95</v>
      </c>
      <c r="B211" s="18" t="s">
        <v>96</v>
      </c>
      <c r="C211" s="18" t="s">
        <v>46</v>
      </c>
      <c r="D211" s="18" t="s">
        <v>43</v>
      </c>
      <c r="E211" s="61">
        <v>2021</v>
      </c>
      <c r="F211" s="62">
        <v>300351000</v>
      </c>
      <c r="G211" s="62">
        <v>393533000</v>
      </c>
      <c r="H211" s="62">
        <v>252674625</v>
      </c>
      <c r="I211" s="62">
        <v>265570691</v>
      </c>
      <c r="J211" s="62">
        <f t="shared" si="33"/>
        <v>1.1886868339074412</v>
      </c>
      <c r="K211" s="62">
        <f t="shared" si="34"/>
        <v>1.4818389729610637</v>
      </c>
      <c r="L211" s="63">
        <f t="shared" si="35"/>
        <v>0.31024368155924237</v>
      </c>
      <c r="M211" s="63">
        <f t="shared" si="36"/>
        <v>5.1038231480505805E-2</v>
      </c>
      <c r="N211" s="63">
        <f t="shared" si="37"/>
        <v>0.24661847905724274</v>
      </c>
      <c r="O211" s="62">
        <f t="shared" si="38"/>
        <v>1.5574694134798854</v>
      </c>
      <c r="P211" s="62">
        <f t="shared" si="39"/>
        <v>0.3687825795724442</v>
      </c>
      <c r="Q211" s="62">
        <f t="shared" si="40"/>
        <v>-7.5630440518821729E-2</v>
      </c>
      <c r="R211" s="63">
        <f t="shared" si="41"/>
        <v>0.31024368155924237</v>
      </c>
      <c r="S211" s="63">
        <f t="shared" si="42"/>
        <v>-6.3625202501999614E-2</v>
      </c>
      <c r="T211" s="63">
        <f t="shared" si="43"/>
        <v>0.24661847905724277</v>
      </c>
    </row>
    <row r="212" spans="1:20" x14ac:dyDescent="0.3">
      <c r="A212" s="18" t="s">
        <v>95</v>
      </c>
      <c r="B212" s="18" t="s">
        <v>96</v>
      </c>
      <c r="C212" s="18" t="s">
        <v>46</v>
      </c>
      <c r="D212" s="18" t="s">
        <v>43</v>
      </c>
      <c r="E212" s="61">
        <v>2022</v>
      </c>
      <c r="F212" s="62">
        <v>393533000</v>
      </c>
      <c r="G212" s="62">
        <v>606697000</v>
      </c>
      <c r="H212" s="62">
        <v>265570691</v>
      </c>
      <c r="I212" s="62">
        <v>268974283</v>
      </c>
      <c r="J212" s="62">
        <f t="shared" si="33"/>
        <v>1.4818389729610637</v>
      </c>
      <c r="K212" s="62">
        <f t="shared" si="34"/>
        <v>2.2555948220521884</v>
      </c>
      <c r="L212" s="63">
        <f t="shared" si="35"/>
        <v>0.54166740781586298</v>
      </c>
      <c r="M212" s="63">
        <f t="shared" si="36"/>
        <v>1.2816143178992594E-2</v>
      </c>
      <c r="N212" s="63">
        <f t="shared" si="37"/>
        <v>0.5221591975982236</v>
      </c>
      <c r="O212" s="62">
        <f t="shared" si="38"/>
        <v>2.2845028482454035</v>
      </c>
      <c r="P212" s="62">
        <f t="shared" si="39"/>
        <v>0.8026638752843398</v>
      </c>
      <c r="Q212" s="62">
        <f t="shared" si="40"/>
        <v>-2.8908026193215086E-2</v>
      </c>
      <c r="R212" s="63">
        <f t="shared" si="41"/>
        <v>0.54166740781586287</v>
      </c>
      <c r="S212" s="63">
        <f t="shared" si="42"/>
        <v>-1.9508210217639259E-2</v>
      </c>
      <c r="T212" s="63">
        <f t="shared" si="43"/>
        <v>0.5221591975982236</v>
      </c>
    </row>
    <row r="213" spans="1:20" x14ac:dyDescent="0.3">
      <c r="A213" s="18" t="s">
        <v>95</v>
      </c>
      <c r="B213" s="18" t="s">
        <v>96</v>
      </c>
      <c r="C213" s="18" t="s">
        <v>46</v>
      </c>
      <c r="D213" s="18" t="s">
        <v>43</v>
      </c>
      <c r="E213" s="61">
        <v>2023</v>
      </c>
      <c r="F213" s="62">
        <v>606697000</v>
      </c>
      <c r="G213" s="62">
        <v>611931000</v>
      </c>
      <c r="H213" s="62">
        <v>268974283</v>
      </c>
      <c r="I213" s="62">
        <v>270106476</v>
      </c>
      <c r="J213" s="62">
        <f t="shared" si="33"/>
        <v>2.2555948220521884</v>
      </c>
      <c r="K213" s="62">
        <f t="shared" si="34"/>
        <v>2.2655176916232103</v>
      </c>
      <c r="L213" s="63">
        <f t="shared" si="35"/>
        <v>8.6270411754137567E-3</v>
      </c>
      <c r="M213" s="63">
        <f t="shared" si="36"/>
        <v>4.2092983290896993E-3</v>
      </c>
      <c r="N213" s="63">
        <f t="shared" si="37"/>
        <v>4.3992251950613201E-3</v>
      </c>
      <c r="O213" s="62">
        <f t="shared" si="38"/>
        <v>2.2750539314570828</v>
      </c>
      <c r="P213" s="62">
        <f t="shared" si="39"/>
        <v>1.945910940489437E-2</v>
      </c>
      <c r="Q213" s="62">
        <f t="shared" si="40"/>
        <v>-9.5362398338725285E-3</v>
      </c>
      <c r="R213" s="63">
        <f t="shared" si="41"/>
        <v>8.6270411754137896E-3</v>
      </c>
      <c r="S213" s="63">
        <f t="shared" si="42"/>
        <v>-4.2278159803524704E-3</v>
      </c>
      <c r="T213" s="63">
        <f t="shared" si="43"/>
        <v>4.3992251950613192E-3</v>
      </c>
    </row>
    <row r="214" spans="1:20" x14ac:dyDescent="0.3">
      <c r="A214" s="18" t="s">
        <v>95</v>
      </c>
      <c r="B214" s="18" t="s">
        <v>96</v>
      </c>
      <c r="C214" s="18" t="s">
        <v>46</v>
      </c>
      <c r="D214" s="18" t="s">
        <v>43</v>
      </c>
      <c r="E214" s="61">
        <v>2024</v>
      </c>
      <c r="F214" s="62">
        <v>611931000</v>
      </c>
      <c r="G214" s="62">
        <v>639596000</v>
      </c>
      <c r="H214" s="62">
        <v>270106476</v>
      </c>
      <c r="I214" s="62">
        <v>270522873</v>
      </c>
      <c r="J214" s="62">
        <f t="shared" si="33"/>
        <v>2.2655176916232103</v>
      </c>
      <c r="K214" s="62">
        <f t="shared" si="34"/>
        <v>2.36429545829938</v>
      </c>
      <c r="L214" s="63">
        <f t="shared" si="35"/>
        <v>4.5209345498103543E-2</v>
      </c>
      <c r="M214" s="63">
        <f t="shared" si="36"/>
        <v>1.5416031713360327E-3</v>
      </c>
      <c r="N214" s="63">
        <f t="shared" si="37"/>
        <v>4.3600527615124007E-2</v>
      </c>
      <c r="O214" s="62">
        <f t="shared" si="38"/>
        <v>2.36794026367587</v>
      </c>
      <c r="P214" s="62">
        <f t="shared" si="39"/>
        <v>0.1024225720526597</v>
      </c>
      <c r="Q214" s="62">
        <f t="shared" si="40"/>
        <v>-3.6448053764899235E-3</v>
      </c>
      <c r="R214" s="63">
        <f t="shared" si="41"/>
        <v>4.5209345498103536E-2</v>
      </c>
      <c r="S214" s="63">
        <f t="shared" si="42"/>
        <v>-1.6088178829795294E-3</v>
      </c>
      <c r="T214" s="63">
        <f t="shared" si="43"/>
        <v>4.3600527615124007E-2</v>
      </c>
    </row>
    <row r="215" spans="1:20" x14ac:dyDescent="0.3">
      <c r="A215" s="18" t="s">
        <v>97</v>
      </c>
      <c r="B215" s="18" t="s">
        <v>98</v>
      </c>
      <c r="C215" s="18" t="s">
        <v>46</v>
      </c>
      <c r="D215" s="18" t="s">
        <v>43</v>
      </c>
      <c r="E215" s="61">
        <v>2021</v>
      </c>
      <c r="F215" s="62">
        <v>127926000</v>
      </c>
      <c r="G215" s="62">
        <v>37729000</v>
      </c>
      <c r="H215" s="62">
        <v>627778000</v>
      </c>
      <c r="I215" s="62">
        <v>834754000</v>
      </c>
      <c r="J215" s="62">
        <f t="shared" si="33"/>
        <v>0.20377585707049306</v>
      </c>
      <c r="K215" s="62">
        <f t="shared" si="34"/>
        <v>4.5197746881117072E-2</v>
      </c>
      <c r="L215" s="63">
        <f t="shared" si="35"/>
        <v>-0.70507168206619453</v>
      </c>
      <c r="M215" s="63">
        <f t="shared" si="36"/>
        <v>0.32969616647923311</v>
      </c>
      <c r="N215" s="63">
        <f t="shared" si="37"/>
        <v>-0.7781987153390717</v>
      </c>
      <c r="O215" s="62">
        <f t="shared" si="38"/>
        <v>6.0099270761320087E-2</v>
      </c>
      <c r="P215" s="62">
        <f t="shared" si="39"/>
        <v>-0.14367658630917296</v>
      </c>
      <c r="Q215" s="62">
        <f t="shared" si="40"/>
        <v>-1.4901523880203014E-2</v>
      </c>
      <c r="R215" s="63">
        <f t="shared" si="41"/>
        <v>-0.70507168206619442</v>
      </c>
      <c r="S215" s="63">
        <f t="shared" si="42"/>
        <v>-7.3127033272877201E-2</v>
      </c>
      <c r="T215" s="63">
        <f t="shared" si="43"/>
        <v>-0.77819871533907159</v>
      </c>
    </row>
    <row r="216" spans="1:20" x14ac:dyDescent="0.3">
      <c r="A216" s="18" t="s">
        <v>97</v>
      </c>
      <c r="B216" s="18" t="s">
        <v>98</v>
      </c>
      <c r="C216" s="18" t="s">
        <v>46</v>
      </c>
      <c r="D216" s="18" t="s">
        <v>43</v>
      </c>
      <c r="E216" s="61">
        <v>2022</v>
      </c>
      <c r="F216" s="62">
        <v>37729000</v>
      </c>
      <c r="G216" s="62">
        <v>140023000</v>
      </c>
      <c r="H216" s="62">
        <v>834754000</v>
      </c>
      <c r="I216" s="62">
        <v>1310754000</v>
      </c>
      <c r="J216" s="62">
        <f t="shared" si="33"/>
        <v>4.5197746881117072E-2</v>
      </c>
      <c r="K216" s="62">
        <f t="shared" si="34"/>
        <v>0.10682629997695983</v>
      </c>
      <c r="L216" s="63">
        <f t="shared" si="35"/>
        <v>2.7112830978822657</v>
      </c>
      <c r="M216" s="63">
        <f t="shared" si="36"/>
        <v>0.57022787551781717</v>
      </c>
      <c r="N216" s="63">
        <f t="shared" si="37"/>
        <v>1.36353153306388</v>
      </c>
      <c r="O216" s="62">
        <f t="shared" si="38"/>
        <v>0.16774163406225068</v>
      </c>
      <c r="P216" s="62">
        <f t="shared" si="39"/>
        <v>0.1225438871811336</v>
      </c>
      <c r="Q216" s="62">
        <f t="shared" si="40"/>
        <v>-6.0915334085290845E-2</v>
      </c>
      <c r="R216" s="63">
        <f t="shared" si="41"/>
        <v>2.7112830978822653</v>
      </c>
      <c r="S216" s="63">
        <f t="shared" si="42"/>
        <v>-1.3477515648183858</v>
      </c>
      <c r="T216" s="63">
        <f t="shared" si="43"/>
        <v>1.3635315330638795</v>
      </c>
    </row>
    <row r="217" spans="1:20" x14ac:dyDescent="0.3">
      <c r="A217" s="18" t="s">
        <v>97</v>
      </c>
      <c r="B217" s="18" t="s">
        <v>98</v>
      </c>
      <c r="C217" s="18" t="s">
        <v>46</v>
      </c>
      <c r="D217" s="18" t="s">
        <v>43</v>
      </c>
      <c r="E217" s="61">
        <v>2023</v>
      </c>
      <c r="F217" s="62">
        <v>140023000</v>
      </c>
      <c r="G217" s="62">
        <v>-1027145000</v>
      </c>
      <c r="H217" s="62">
        <v>1310754000</v>
      </c>
      <c r="I217" s="62">
        <v>1311358000</v>
      </c>
      <c r="J217" s="62">
        <f t="shared" si="33"/>
        <v>0.10682629997695983</v>
      </c>
      <c r="K217" s="62">
        <f t="shared" si="34"/>
        <v>-0.78326818458422487</v>
      </c>
      <c r="L217" s="63">
        <f t="shared" si="35"/>
        <v>-8.3355448747705729</v>
      </c>
      <c r="M217" s="63">
        <f t="shared" si="36"/>
        <v>4.608034764723205E-4</v>
      </c>
      <c r="N217" s="63">
        <f t="shared" si="37"/>
        <v>-8.3321661871014836</v>
      </c>
      <c r="O217" s="62">
        <f t="shared" si="38"/>
        <v>-0.78362911728669149</v>
      </c>
      <c r="P217" s="62">
        <f t="shared" si="39"/>
        <v>-0.89045541726365129</v>
      </c>
      <c r="Q217" s="62">
        <f t="shared" si="40"/>
        <v>3.609327024666209E-4</v>
      </c>
      <c r="R217" s="63">
        <f t="shared" si="41"/>
        <v>-8.3355448747705729</v>
      </c>
      <c r="S217" s="63">
        <f t="shared" si="42"/>
        <v>3.378687669089601E-3</v>
      </c>
      <c r="T217" s="63">
        <f t="shared" si="43"/>
        <v>-8.3321661871014836</v>
      </c>
    </row>
    <row r="218" spans="1:20" x14ac:dyDescent="0.3">
      <c r="A218" s="18" t="s">
        <v>97</v>
      </c>
      <c r="B218" s="18" t="s">
        <v>98</v>
      </c>
      <c r="C218" s="18" t="s">
        <v>46</v>
      </c>
      <c r="D218" s="18" t="s">
        <v>43</v>
      </c>
      <c r="E218" s="61">
        <v>2024</v>
      </c>
      <c r="F218" s="62">
        <v>-1027145000</v>
      </c>
      <c r="G218" s="62">
        <v>167361000</v>
      </c>
      <c r="H218" s="62">
        <v>1311358000</v>
      </c>
      <c r="I218" s="62">
        <v>1280958000</v>
      </c>
      <c r="J218" s="62">
        <f t="shared" si="33"/>
        <v>-0.78326818458422487</v>
      </c>
      <c r="K218" s="62">
        <f t="shared" si="34"/>
        <v>0.13065299564856928</v>
      </c>
      <c r="L218" s="63">
        <f t="shared" si="35"/>
        <v>1.1629380467217385</v>
      </c>
      <c r="M218" s="63">
        <f t="shared" si="36"/>
        <v>-2.3182075375297973E-2</v>
      </c>
      <c r="N218" s="63">
        <f t="shared" si="37"/>
        <v>1.1668049312100204</v>
      </c>
      <c r="O218" s="62">
        <f t="shared" si="38"/>
        <v>0.12762418805543566</v>
      </c>
      <c r="P218" s="62">
        <f t="shared" si="39"/>
        <v>0.9108923726396605</v>
      </c>
      <c r="Q218" s="62">
        <f t="shared" si="40"/>
        <v>3.02880759313362E-3</v>
      </c>
      <c r="R218" s="63">
        <f t="shared" si="41"/>
        <v>1.1629380467217383</v>
      </c>
      <c r="S218" s="63">
        <f t="shared" si="42"/>
        <v>3.8668844882821002E-3</v>
      </c>
      <c r="T218" s="63">
        <f t="shared" si="43"/>
        <v>1.1668049312100204</v>
      </c>
    </row>
    <row r="219" spans="1:20" x14ac:dyDescent="0.3">
      <c r="A219" s="18" t="s">
        <v>99</v>
      </c>
      <c r="B219" s="18" t="s">
        <v>100</v>
      </c>
      <c r="C219" s="18" t="s">
        <v>46</v>
      </c>
      <c r="D219" s="18" t="s">
        <v>43</v>
      </c>
      <c r="E219" s="61">
        <v>2019</v>
      </c>
      <c r="F219" s="62">
        <v>431606000</v>
      </c>
      <c r="G219" s="62">
        <v>438134000</v>
      </c>
      <c r="H219" s="62">
        <v>1000000000</v>
      </c>
      <c r="I219" s="62">
        <v>1000000000</v>
      </c>
      <c r="J219" s="62">
        <f t="shared" si="33"/>
        <v>0.43160599999999999</v>
      </c>
      <c r="K219" s="62">
        <f t="shared" si="34"/>
        <v>0.43813400000000002</v>
      </c>
      <c r="L219" s="63">
        <f t="shared" si="35"/>
        <v>1.5124905585186489E-2</v>
      </c>
      <c r="M219" s="63">
        <f t="shared" si="36"/>
        <v>0</v>
      </c>
      <c r="N219" s="63">
        <f t="shared" si="37"/>
        <v>1.5124905585186569E-2</v>
      </c>
      <c r="O219" s="62">
        <f t="shared" si="38"/>
        <v>0.43813400000000002</v>
      </c>
      <c r="P219" s="62">
        <f t="shared" si="39"/>
        <v>6.5280000000000338E-3</v>
      </c>
      <c r="Q219" s="62">
        <f t="shared" si="40"/>
        <v>0</v>
      </c>
      <c r="R219" s="63">
        <f t="shared" si="41"/>
        <v>1.5124905585186569E-2</v>
      </c>
      <c r="S219" s="63">
        <f t="shared" si="42"/>
        <v>0</v>
      </c>
      <c r="T219" s="63">
        <f t="shared" si="43"/>
        <v>1.5124905585186569E-2</v>
      </c>
    </row>
    <row r="220" spans="1:20" x14ac:dyDescent="0.3">
      <c r="A220" s="18" t="s">
        <v>99</v>
      </c>
      <c r="B220" s="18" t="s">
        <v>100</v>
      </c>
      <c r="C220" s="18" t="s">
        <v>46</v>
      </c>
      <c r="D220" s="18" t="s">
        <v>43</v>
      </c>
      <c r="E220" s="61">
        <v>2020</v>
      </c>
      <c r="F220" s="62">
        <v>438134000</v>
      </c>
      <c r="G220" s="62">
        <v>42673000</v>
      </c>
      <c r="H220" s="62">
        <v>1000000000</v>
      </c>
      <c r="I220" s="62">
        <v>1000000000</v>
      </c>
      <c r="J220" s="62">
        <f t="shared" si="33"/>
        <v>0.43813400000000002</v>
      </c>
      <c r="K220" s="62">
        <f t="shared" si="34"/>
        <v>4.2673000000000003E-2</v>
      </c>
      <c r="L220" s="63">
        <f t="shared" si="35"/>
        <v>-0.90260285666029116</v>
      </c>
      <c r="M220" s="63">
        <f t="shared" si="36"/>
        <v>0</v>
      </c>
      <c r="N220" s="63">
        <f t="shared" si="37"/>
        <v>-0.90260285666029116</v>
      </c>
      <c r="O220" s="62">
        <f t="shared" si="38"/>
        <v>4.2673000000000003E-2</v>
      </c>
      <c r="P220" s="62">
        <f t="shared" si="39"/>
        <v>-0.39546100000000001</v>
      </c>
      <c r="Q220" s="62">
        <f t="shared" si="40"/>
        <v>0</v>
      </c>
      <c r="R220" s="63">
        <f t="shared" si="41"/>
        <v>-0.90260285666029116</v>
      </c>
      <c r="S220" s="63">
        <f t="shared" si="42"/>
        <v>0</v>
      </c>
      <c r="T220" s="63">
        <f t="shared" si="43"/>
        <v>-0.90260285666029116</v>
      </c>
    </row>
    <row r="221" spans="1:20" x14ac:dyDescent="0.3">
      <c r="A221" s="18" t="s">
        <v>99</v>
      </c>
      <c r="B221" s="18" t="s">
        <v>100</v>
      </c>
      <c r="C221" s="18" t="s">
        <v>46</v>
      </c>
      <c r="D221" s="18" t="s">
        <v>43</v>
      </c>
      <c r="E221" s="61">
        <v>2021</v>
      </c>
      <c r="F221" s="62">
        <v>42673000</v>
      </c>
      <c r="G221" s="62">
        <v>302796000</v>
      </c>
      <c r="H221" s="62">
        <v>1000000000</v>
      </c>
      <c r="I221" s="62">
        <v>1000000000</v>
      </c>
      <c r="J221" s="62">
        <f t="shared" si="33"/>
        <v>4.2673000000000003E-2</v>
      </c>
      <c r="K221" s="62">
        <f t="shared" si="34"/>
        <v>0.30279600000000001</v>
      </c>
      <c r="L221" s="63">
        <f t="shared" si="35"/>
        <v>6.0957279778782834</v>
      </c>
      <c r="M221" s="63">
        <f t="shared" si="36"/>
        <v>0</v>
      </c>
      <c r="N221" s="63">
        <f t="shared" si="37"/>
        <v>6.0957279778782834</v>
      </c>
      <c r="O221" s="62">
        <f t="shared" si="38"/>
        <v>0.30279600000000001</v>
      </c>
      <c r="P221" s="62">
        <f t="shared" si="39"/>
        <v>0.26012299999999999</v>
      </c>
      <c r="Q221" s="62">
        <f t="shared" si="40"/>
        <v>0</v>
      </c>
      <c r="R221" s="63">
        <f t="shared" si="41"/>
        <v>6.0957279778782834</v>
      </c>
      <c r="S221" s="63">
        <f t="shared" si="42"/>
        <v>0</v>
      </c>
      <c r="T221" s="63">
        <f t="shared" si="43"/>
        <v>6.0957279778782834</v>
      </c>
    </row>
    <row r="222" spans="1:20" x14ac:dyDescent="0.3">
      <c r="A222" s="18" t="s">
        <v>99</v>
      </c>
      <c r="B222" s="18" t="s">
        <v>100</v>
      </c>
      <c r="C222" s="18" t="s">
        <v>46</v>
      </c>
      <c r="D222" s="18" t="s">
        <v>43</v>
      </c>
      <c r="E222" s="61">
        <v>2022</v>
      </c>
      <c r="F222" s="62">
        <v>302796000</v>
      </c>
      <c r="G222" s="62">
        <v>417760000</v>
      </c>
      <c r="H222" s="62">
        <v>1000000000</v>
      </c>
      <c r="I222" s="62">
        <v>1000000000</v>
      </c>
      <c r="J222" s="62">
        <f t="shared" si="33"/>
        <v>0.30279600000000001</v>
      </c>
      <c r="K222" s="62">
        <f t="shared" si="34"/>
        <v>0.41776000000000002</v>
      </c>
      <c r="L222" s="63">
        <f t="shared" si="35"/>
        <v>0.37967476452793297</v>
      </c>
      <c r="M222" s="63">
        <f t="shared" si="36"/>
        <v>0</v>
      </c>
      <c r="N222" s="63">
        <f t="shared" si="37"/>
        <v>0.37967476452793303</v>
      </c>
      <c r="O222" s="62">
        <f t="shared" si="38"/>
        <v>0.41776000000000002</v>
      </c>
      <c r="P222" s="62">
        <f t="shared" si="39"/>
        <v>0.11496400000000001</v>
      </c>
      <c r="Q222" s="62">
        <f t="shared" si="40"/>
        <v>0</v>
      </c>
      <c r="R222" s="63">
        <f t="shared" si="41"/>
        <v>0.37967476452793303</v>
      </c>
      <c r="S222" s="63">
        <f t="shared" si="42"/>
        <v>0</v>
      </c>
      <c r="T222" s="63">
        <f t="shared" si="43"/>
        <v>0.37967476452793303</v>
      </c>
    </row>
    <row r="223" spans="1:20" x14ac:dyDescent="0.3">
      <c r="A223" s="18" t="s">
        <v>99</v>
      </c>
      <c r="B223" s="18" t="s">
        <v>100</v>
      </c>
      <c r="C223" s="18" t="s">
        <v>46</v>
      </c>
      <c r="D223" s="18" t="s">
        <v>43</v>
      </c>
      <c r="E223" s="61">
        <v>2023</v>
      </c>
      <c r="F223" s="62">
        <v>417760000</v>
      </c>
      <c r="G223" s="62">
        <v>479080000</v>
      </c>
      <c r="H223" s="62">
        <v>1000000000</v>
      </c>
      <c r="I223" s="62">
        <v>1000000000</v>
      </c>
      <c r="J223" s="62">
        <f t="shared" si="33"/>
        <v>0.41776000000000002</v>
      </c>
      <c r="K223" s="62">
        <f t="shared" si="34"/>
        <v>0.47908000000000001</v>
      </c>
      <c r="L223" s="63">
        <f t="shared" si="35"/>
        <v>0.14678284182305629</v>
      </c>
      <c r="M223" s="63">
        <f t="shared" si="36"/>
        <v>0</v>
      </c>
      <c r="N223" s="63">
        <f t="shared" si="37"/>
        <v>0.14678284182305626</v>
      </c>
      <c r="O223" s="62">
        <f t="shared" si="38"/>
        <v>0.47908000000000001</v>
      </c>
      <c r="P223" s="62">
        <f t="shared" si="39"/>
        <v>6.1319999999999986E-2</v>
      </c>
      <c r="Q223" s="62">
        <f t="shared" si="40"/>
        <v>0</v>
      </c>
      <c r="R223" s="63">
        <f t="shared" si="41"/>
        <v>0.14678284182305626</v>
      </c>
      <c r="S223" s="63">
        <f t="shared" si="42"/>
        <v>0</v>
      </c>
      <c r="T223" s="63">
        <f t="shared" si="43"/>
        <v>0.14678284182305626</v>
      </c>
    </row>
    <row r="224" spans="1:20" x14ac:dyDescent="0.3">
      <c r="A224" s="18" t="s">
        <v>99</v>
      </c>
      <c r="B224" s="18" t="s">
        <v>100</v>
      </c>
      <c r="C224" s="18" t="s">
        <v>46</v>
      </c>
      <c r="D224" s="18" t="s">
        <v>43</v>
      </c>
      <c r="E224" s="61">
        <v>2024</v>
      </c>
      <c r="F224" s="62">
        <v>479080000</v>
      </c>
      <c r="G224" s="62">
        <v>467981000</v>
      </c>
      <c r="H224" s="62">
        <v>1000000000</v>
      </c>
      <c r="I224" s="62">
        <v>1066170213</v>
      </c>
      <c r="J224" s="62">
        <f t="shared" si="33"/>
        <v>0.47908000000000001</v>
      </c>
      <c r="K224" s="62">
        <f t="shared" si="34"/>
        <v>0.43893647964820792</v>
      </c>
      <c r="L224" s="63">
        <f t="shared" si="35"/>
        <v>-2.316732069800451E-2</v>
      </c>
      <c r="M224" s="63">
        <f t="shared" si="36"/>
        <v>6.6170213000000005E-2</v>
      </c>
      <c r="N224" s="63">
        <f t="shared" si="37"/>
        <v>-8.3792937195858896E-2</v>
      </c>
      <c r="O224" s="62">
        <f t="shared" si="38"/>
        <v>0.46798099999999998</v>
      </c>
      <c r="P224" s="62">
        <f t="shared" si="39"/>
        <v>-1.1099000000000026E-2</v>
      </c>
      <c r="Q224" s="62">
        <f t="shared" si="40"/>
        <v>-2.9044520351792058E-2</v>
      </c>
      <c r="R224" s="63">
        <f t="shared" si="41"/>
        <v>-2.3167320698004562E-2</v>
      </c>
      <c r="S224" s="63">
        <f t="shared" si="42"/>
        <v>-6.0625616497854341E-2</v>
      </c>
      <c r="T224" s="63">
        <f t="shared" si="43"/>
        <v>-8.3792937195858896E-2</v>
      </c>
    </row>
    <row r="225" spans="1:20" x14ac:dyDescent="0.3">
      <c r="A225" s="18" t="s">
        <v>101</v>
      </c>
      <c r="B225" s="18" t="s">
        <v>102</v>
      </c>
      <c r="C225" s="18" t="s">
        <v>46</v>
      </c>
      <c r="D225" s="18" t="s">
        <v>43</v>
      </c>
      <c r="E225" s="61">
        <v>2017</v>
      </c>
      <c r="F225" s="62">
        <v>622000000</v>
      </c>
      <c r="G225" s="62">
        <v>689000000</v>
      </c>
      <c r="H225" s="62">
        <v>1306110000</v>
      </c>
      <c r="I225" s="62">
        <v>1304924242</v>
      </c>
      <c r="J225" s="62">
        <f t="shared" si="33"/>
        <v>0.4762232890032233</v>
      </c>
      <c r="K225" s="62">
        <f t="shared" si="34"/>
        <v>0.52800000017165749</v>
      </c>
      <c r="L225" s="63">
        <f t="shared" si="35"/>
        <v>0.10771704180064309</v>
      </c>
      <c r="M225" s="63">
        <f t="shared" si="36"/>
        <v>-9.0785462173936348E-4</v>
      </c>
      <c r="N225" s="63">
        <f t="shared" si="37"/>
        <v>0.10872360164662954</v>
      </c>
      <c r="O225" s="62">
        <f t="shared" si="38"/>
        <v>0.5275206529312233</v>
      </c>
      <c r="P225" s="62">
        <f t="shared" si="39"/>
        <v>5.1297363927999995E-2</v>
      </c>
      <c r="Q225" s="62">
        <f t="shared" si="40"/>
        <v>4.7934724043419141E-4</v>
      </c>
      <c r="R225" s="63">
        <f t="shared" si="41"/>
        <v>0.1077170418006432</v>
      </c>
      <c r="S225" s="63">
        <f t="shared" si="42"/>
        <v>1.0065598459863372E-3</v>
      </c>
      <c r="T225" s="63">
        <f t="shared" si="43"/>
        <v>0.10872360164662954</v>
      </c>
    </row>
    <row r="226" spans="1:20" x14ac:dyDescent="0.3">
      <c r="A226" s="18" t="s">
        <v>101</v>
      </c>
      <c r="B226" s="18" t="s">
        <v>102</v>
      </c>
      <c r="C226" s="18" t="s">
        <v>46</v>
      </c>
      <c r="D226" s="18" t="s">
        <v>43</v>
      </c>
      <c r="E226" s="61">
        <v>2018</v>
      </c>
      <c r="F226" s="62">
        <v>689000000</v>
      </c>
      <c r="G226" s="62">
        <v>1399000000</v>
      </c>
      <c r="H226" s="62">
        <v>1304924242</v>
      </c>
      <c r="I226" s="62">
        <v>1306110000</v>
      </c>
      <c r="J226" s="62">
        <f t="shared" si="33"/>
        <v>0.52800000017165749</v>
      </c>
      <c r="K226" s="62">
        <f t="shared" si="34"/>
        <v>1.0711195841085361</v>
      </c>
      <c r="L226" s="63">
        <f t="shared" si="35"/>
        <v>1.0304789550072568</v>
      </c>
      <c r="M226" s="63">
        <f t="shared" si="36"/>
        <v>9.0867957068729204E-4</v>
      </c>
      <c r="N226" s="63">
        <f t="shared" si="37"/>
        <v>1.0286355753036092</v>
      </c>
      <c r="O226" s="62">
        <f t="shared" si="38"/>
        <v>1.0720928885923786</v>
      </c>
      <c r="P226" s="62">
        <f t="shared" si="39"/>
        <v>0.54409288842072112</v>
      </c>
      <c r="Q226" s="62">
        <f t="shared" si="40"/>
        <v>-9.7330448384247426E-4</v>
      </c>
      <c r="R226" s="63">
        <f t="shared" si="41"/>
        <v>1.0304789550072571</v>
      </c>
      <c r="S226" s="63">
        <f t="shared" si="42"/>
        <v>-1.8433797036478113E-3</v>
      </c>
      <c r="T226" s="63">
        <f t="shared" si="43"/>
        <v>1.0286355753036092</v>
      </c>
    </row>
    <row r="227" spans="1:20" x14ac:dyDescent="0.3">
      <c r="A227" s="18" t="s">
        <v>101</v>
      </c>
      <c r="B227" s="18" t="s">
        <v>102</v>
      </c>
      <c r="C227" s="18" t="s">
        <v>46</v>
      </c>
      <c r="D227" s="18" t="s">
        <v>43</v>
      </c>
      <c r="E227" s="61">
        <v>2019</v>
      </c>
      <c r="F227" s="62">
        <v>1399000000</v>
      </c>
      <c r="G227" s="62">
        <v>1342000000</v>
      </c>
      <c r="H227" s="62">
        <v>1306110000</v>
      </c>
      <c r="I227" s="62">
        <v>1300852035</v>
      </c>
      <c r="J227" s="62">
        <f t="shared" si="33"/>
        <v>1.0711195841085361</v>
      </c>
      <c r="K227" s="62">
        <f t="shared" si="34"/>
        <v>1.0316315490869798</v>
      </c>
      <c r="L227" s="63">
        <f t="shared" si="35"/>
        <v>-4.0743388134381699E-2</v>
      </c>
      <c r="M227" s="63">
        <f t="shared" si="36"/>
        <v>-4.0256678227714362E-3</v>
      </c>
      <c r="N227" s="63">
        <f t="shared" si="37"/>
        <v>-3.6866131109367317E-2</v>
      </c>
      <c r="O227" s="62">
        <f t="shared" si="38"/>
        <v>1.0274785431548645</v>
      </c>
      <c r="P227" s="62">
        <f t="shared" si="39"/>
        <v>-4.3641040953671606E-2</v>
      </c>
      <c r="Q227" s="62">
        <f t="shared" si="40"/>
        <v>4.1530059321153168E-3</v>
      </c>
      <c r="R227" s="63">
        <f t="shared" si="41"/>
        <v>-4.0743388134381713E-2</v>
      </c>
      <c r="S227" s="63">
        <f t="shared" si="42"/>
        <v>3.8772570250143932E-3</v>
      </c>
      <c r="T227" s="63">
        <f t="shared" si="43"/>
        <v>-3.6866131109367317E-2</v>
      </c>
    </row>
    <row r="228" spans="1:20" x14ac:dyDescent="0.3">
      <c r="A228" s="18" t="s">
        <v>101</v>
      </c>
      <c r="B228" s="18" t="s">
        <v>102</v>
      </c>
      <c r="C228" s="18" t="s">
        <v>46</v>
      </c>
      <c r="D228" s="18" t="s">
        <v>43</v>
      </c>
      <c r="E228" s="61">
        <v>2020</v>
      </c>
      <c r="F228" s="62">
        <v>1342000000</v>
      </c>
      <c r="G228" s="62">
        <v>1207000000</v>
      </c>
      <c r="H228" s="62">
        <v>1300852035</v>
      </c>
      <c r="I228" s="62">
        <v>1300852035</v>
      </c>
      <c r="J228" s="62">
        <f t="shared" si="33"/>
        <v>1.0316315490869798</v>
      </c>
      <c r="K228" s="62">
        <f t="shared" si="34"/>
        <v>0.92785341262890053</v>
      </c>
      <c r="L228" s="63">
        <f t="shared" si="35"/>
        <v>-0.10059612518628912</v>
      </c>
      <c r="M228" s="63">
        <f t="shared" si="36"/>
        <v>0</v>
      </c>
      <c r="N228" s="63">
        <f t="shared" si="37"/>
        <v>-0.10059612518628924</v>
      </c>
      <c r="O228" s="62">
        <f t="shared" si="38"/>
        <v>0.92785341262890053</v>
      </c>
      <c r="P228" s="62">
        <f t="shared" si="39"/>
        <v>-0.10377813645807932</v>
      </c>
      <c r="Q228" s="62">
        <f t="shared" si="40"/>
        <v>0</v>
      </c>
      <c r="R228" s="63">
        <f t="shared" si="41"/>
        <v>-0.10059612518628924</v>
      </c>
      <c r="S228" s="63">
        <f t="shared" si="42"/>
        <v>0</v>
      </c>
      <c r="T228" s="63">
        <f t="shared" si="43"/>
        <v>-0.10059612518628924</v>
      </c>
    </row>
    <row r="229" spans="1:20" x14ac:dyDescent="0.3">
      <c r="A229" s="18" t="s">
        <v>101</v>
      </c>
      <c r="B229" s="18" t="s">
        <v>102</v>
      </c>
      <c r="C229" s="18" t="s">
        <v>46</v>
      </c>
      <c r="D229" s="18" t="s">
        <v>43</v>
      </c>
      <c r="E229" s="61">
        <v>2021</v>
      </c>
      <c r="F229" s="62">
        <v>1207000000</v>
      </c>
      <c r="G229" s="62">
        <v>1578000000</v>
      </c>
      <c r="H229" s="62">
        <v>1300852035</v>
      </c>
      <c r="I229" s="62">
        <v>1300877079</v>
      </c>
      <c r="J229" s="62">
        <f t="shared" si="33"/>
        <v>0.92785341262890053</v>
      </c>
      <c r="K229" s="62">
        <f t="shared" si="34"/>
        <v>1.2130277529472868</v>
      </c>
      <c r="L229" s="63">
        <f t="shared" si="35"/>
        <v>0.30737365368682684</v>
      </c>
      <c r="M229" s="63">
        <f t="shared" si="36"/>
        <v>1.925199740337878E-5</v>
      </c>
      <c r="N229" s="63">
        <f t="shared" si="37"/>
        <v>0.30734848461719583</v>
      </c>
      <c r="O229" s="62">
        <f t="shared" si="38"/>
        <v>1.2130511061544367</v>
      </c>
      <c r="P229" s="62">
        <f t="shared" si="39"/>
        <v>0.28519769352553614</v>
      </c>
      <c r="Q229" s="62">
        <f t="shared" si="40"/>
        <v>-2.3353207149856559E-5</v>
      </c>
      <c r="R229" s="63">
        <f t="shared" si="41"/>
        <v>0.30737365368682684</v>
      </c>
      <c r="S229" s="63">
        <f t="shared" si="42"/>
        <v>-2.5169069631041803E-5</v>
      </c>
      <c r="T229" s="63">
        <f t="shared" si="43"/>
        <v>0.30734848461719583</v>
      </c>
    </row>
    <row r="230" spans="1:20" x14ac:dyDescent="0.3">
      <c r="A230" s="18" t="s">
        <v>101</v>
      </c>
      <c r="B230" s="18" t="s">
        <v>102</v>
      </c>
      <c r="C230" s="18" t="s">
        <v>46</v>
      </c>
      <c r="D230" s="18" t="s">
        <v>43</v>
      </c>
      <c r="E230" s="61">
        <v>2022</v>
      </c>
      <c r="F230" s="62">
        <v>1578000000</v>
      </c>
      <c r="G230" s="62">
        <v>1578000000</v>
      </c>
      <c r="H230" s="62">
        <v>1300877079</v>
      </c>
      <c r="I230" s="62">
        <v>1298574009</v>
      </c>
      <c r="J230" s="62">
        <f t="shared" si="33"/>
        <v>1.2130277529472868</v>
      </c>
      <c r="K230" s="62">
        <f t="shared" si="34"/>
        <v>1.2151791034345274</v>
      </c>
      <c r="L230" s="63">
        <f t="shared" si="35"/>
        <v>0</v>
      </c>
      <c r="M230" s="63">
        <f t="shared" si="36"/>
        <v>-1.7703978624716778E-3</v>
      </c>
      <c r="N230" s="63">
        <f t="shared" si="37"/>
        <v>1.7735377298775342E-3</v>
      </c>
      <c r="O230" s="62">
        <f t="shared" si="38"/>
        <v>1.2130277529472868</v>
      </c>
      <c r="P230" s="62">
        <f t="shared" si="39"/>
        <v>0</v>
      </c>
      <c r="Q230" s="62">
        <f t="shared" si="40"/>
        <v>2.1513504872405775E-3</v>
      </c>
      <c r="R230" s="63">
        <f t="shared" si="41"/>
        <v>0</v>
      </c>
      <c r="S230" s="63">
        <f t="shared" si="42"/>
        <v>1.7735377298775342E-3</v>
      </c>
      <c r="T230" s="63">
        <f t="shared" si="43"/>
        <v>1.7735377298775342E-3</v>
      </c>
    </row>
    <row r="231" spans="1:20" x14ac:dyDescent="0.3">
      <c r="A231" s="18" t="s">
        <v>101</v>
      </c>
      <c r="B231" s="18" t="s">
        <v>102</v>
      </c>
      <c r="C231" s="18" t="s">
        <v>46</v>
      </c>
      <c r="D231" s="18" t="s">
        <v>43</v>
      </c>
      <c r="E231" s="61">
        <v>2023</v>
      </c>
      <c r="F231" s="62">
        <v>1578000000</v>
      </c>
      <c r="G231" s="62">
        <v>1922000000</v>
      </c>
      <c r="H231" s="62">
        <v>1298574009</v>
      </c>
      <c r="I231" s="62">
        <v>1296021578</v>
      </c>
      <c r="J231" s="62">
        <f t="shared" si="33"/>
        <v>1.2151791034345274</v>
      </c>
      <c r="K231" s="62">
        <f t="shared" si="34"/>
        <v>1.482999999865743</v>
      </c>
      <c r="L231" s="63">
        <f t="shared" si="35"/>
        <v>0.21799746514575413</v>
      </c>
      <c r="M231" s="63">
        <f t="shared" si="36"/>
        <v>-1.9655645210129875E-3</v>
      </c>
      <c r="N231" s="63">
        <f t="shared" si="37"/>
        <v>0.22039623268229247</v>
      </c>
      <c r="O231" s="62">
        <f t="shared" si="38"/>
        <v>1.4800850676813446</v>
      </c>
      <c r="P231" s="62">
        <f t="shared" si="39"/>
        <v>0.26490596424681723</v>
      </c>
      <c r="Q231" s="62">
        <f t="shared" si="40"/>
        <v>2.9149321843984222E-3</v>
      </c>
      <c r="R231" s="63">
        <f t="shared" si="41"/>
        <v>0.21799746514575422</v>
      </c>
      <c r="S231" s="63">
        <f t="shared" si="42"/>
        <v>2.3987675365382678E-3</v>
      </c>
      <c r="T231" s="63">
        <f t="shared" si="43"/>
        <v>0.22039623268229247</v>
      </c>
    </row>
    <row r="232" spans="1:20" x14ac:dyDescent="0.3">
      <c r="A232" s="18" t="s">
        <v>101</v>
      </c>
      <c r="B232" s="18" t="s">
        <v>102</v>
      </c>
      <c r="C232" s="18" t="s">
        <v>46</v>
      </c>
      <c r="D232" s="18" t="s">
        <v>43</v>
      </c>
      <c r="E232" s="61">
        <v>2024</v>
      </c>
      <c r="F232" s="62">
        <v>1922000000</v>
      </c>
      <c r="G232" s="62">
        <v>1994000000</v>
      </c>
      <c r="H232" s="62">
        <v>1296021578</v>
      </c>
      <c r="I232" s="62">
        <v>1294805195</v>
      </c>
      <c r="J232" s="62">
        <f t="shared" si="33"/>
        <v>1.482999999865743</v>
      </c>
      <c r="K232" s="62">
        <f t="shared" si="34"/>
        <v>1.5399999997683049</v>
      </c>
      <c r="L232" s="63">
        <f t="shared" si="35"/>
        <v>3.7460978147762745E-2</v>
      </c>
      <c r="M232" s="63">
        <f t="shared" si="36"/>
        <v>-9.3855150303678045E-4</v>
      </c>
      <c r="N232" s="63">
        <f t="shared" si="37"/>
        <v>3.8435603444182148E-2</v>
      </c>
      <c r="O232" s="62">
        <f t="shared" si="38"/>
        <v>1.5385546304538458</v>
      </c>
      <c r="P232" s="62">
        <f t="shared" si="39"/>
        <v>5.5554630588102727E-2</v>
      </c>
      <c r="Q232" s="62">
        <f t="shared" si="40"/>
        <v>1.4453693144591551E-3</v>
      </c>
      <c r="R232" s="63">
        <f t="shared" si="41"/>
        <v>3.7460978147762725E-2</v>
      </c>
      <c r="S232" s="63">
        <f t="shared" si="42"/>
        <v>9.7462529641942363E-4</v>
      </c>
      <c r="T232" s="63">
        <f t="shared" si="43"/>
        <v>3.8435603444182148E-2</v>
      </c>
    </row>
    <row r="233" spans="1:20" x14ac:dyDescent="0.3">
      <c r="A233" s="18" t="s">
        <v>103</v>
      </c>
      <c r="B233" s="18" t="s">
        <v>104</v>
      </c>
      <c r="C233" s="18" t="s">
        <v>46</v>
      </c>
      <c r="D233" s="18" t="s">
        <v>43</v>
      </c>
      <c r="E233" s="61">
        <v>2016</v>
      </c>
      <c r="F233" s="62">
        <v>214000000</v>
      </c>
      <c r="G233" s="62">
        <v>246000000</v>
      </c>
      <c r="H233" s="62">
        <v>221291692</v>
      </c>
      <c r="I233" s="62">
        <v>221408573</v>
      </c>
      <c r="J233" s="62">
        <f t="shared" si="33"/>
        <v>0.96704940915721316</v>
      </c>
      <c r="K233" s="62">
        <f t="shared" si="34"/>
        <v>1.1110680885875182</v>
      </c>
      <c r="L233" s="63">
        <f t="shared" si="35"/>
        <v>0.14953271028037382</v>
      </c>
      <c r="M233" s="63">
        <f t="shared" si="36"/>
        <v>5.2817617753132817E-4</v>
      </c>
      <c r="N233" s="63">
        <f t="shared" si="37"/>
        <v>0.14892587500344762</v>
      </c>
      <c r="O233" s="62">
        <f t="shared" si="38"/>
        <v>1.1116549282835255</v>
      </c>
      <c r="P233" s="62">
        <f t="shared" si="39"/>
        <v>0.14460551912631237</v>
      </c>
      <c r="Q233" s="62">
        <f t="shared" si="40"/>
        <v>-5.8683969600736852E-4</v>
      </c>
      <c r="R233" s="63">
        <f t="shared" si="41"/>
        <v>0.14953271028037396</v>
      </c>
      <c r="S233" s="63">
        <f t="shared" si="42"/>
        <v>-6.0683527692633756E-4</v>
      </c>
      <c r="T233" s="63">
        <f t="shared" si="43"/>
        <v>0.14892587500344762</v>
      </c>
    </row>
    <row r="234" spans="1:20" x14ac:dyDescent="0.3">
      <c r="A234" s="18" t="s">
        <v>103</v>
      </c>
      <c r="B234" s="18" t="s">
        <v>104</v>
      </c>
      <c r="C234" s="18" t="s">
        <v>46</v>
      </c>
      <c r="D234" s="18" t="s">
        <v>43</v>
      </c>
      <c r="E234" s="61">
        <v>2017</v>
      </c>
      <c r="F234" s="62">
        <v>246000000</v>
      </c>
      <c r="G234" s="62">
        <v>227000000</v>
      </c>
      <c r="H234" s="62">
        <v>221408573</v>
      </c>
      <c r="I234" s="62">
        <v>211684000</v>
      </c>
      <c r="J234" s="62">
        <f t="shared" si="33"/>
        <v>1.1110680885875182</v>
      </c>
      <c r="K234" s="62">
        <f t="shared" si="34"/>
        <v>1.0723531301373745</v>
      </c>
      <c r="L234" s="63">
        <f t="shared" si="35"/>
        <v>-7.7235772357723581E-2</v>
      </c>
      <c r="M234" s="63">
        <f t="shared" si="36"/>
        <v>-4.3921393233495074E-2</v>
      </c>
      <c r="N234" s="63">
        <f t="shared" si="37"/>
        <v>-3.4844811805693453E-2</v>
      </c>
      <c r="O234" s="62">
        <f t="shared" si="38"/>
        <v>1.0252538866234415</v>
      </c>
      <c r="P234" s="62">
        <f t="shared" si="39"/>
        <v>-8.5814201964076631E-2</v>
      </c>
      <c r="Q234" s="62">
        <f t="shared" si="40"/>
        <v>4.709924351393302E-2</v>
      </c>
      <c r="R234" s="63">
        <f t="shared" si="41"/>
        <v>-7.7235772357723595E-2</v>
      </c>
      <c r="S234" s="63">
        <f t="shared" si="42"/>
        <v>4.2390960552030149E-2</v>
      </c>
      <c r="T234" s="63">
        <f t="shared" si="43"/>
        <v>-3.4844811805693446E-2</v>
      </c>
    </row>
    <row r="235" spans="1:20" x14ac:dyDescent="0.3">
      <c r="A235" s="18" t="s">
        <v>103</v>
      </c>
      <c r="B235" s="18" t="s">
        <v>104</v>
      </c>
      <c r="C235" s="18" t="s">
        <v>46</v>
      </c>
      <c r="D235" s="18" t="s">
        <v>43</v>
      </c>
      <c r="E235" s="61">
        <v>2018</v>
      </c>
      <c r="F235" s="62">
        <v>227000000</v>
      </c>
      <c r="G235" s="62">
        <v>130000000</v>
      </c>
      <c r="H235" s="62">
        <v>211684000</v>
      </c>
      <c r="I235" s="62">
        <v>244957000</v>
      </c>
      <c r="J235" s="62">
        <f t="shared" si="33"/>
        <v>1.0723531301373745</v>
      </c>
      <c r="K235" s="62">
        <f t="shared" si="34"/>
        <v>0.53070538910910892</v>
      </c>
      <c r="L235" s="63">
        <f t="shared" si="35"/>
        <v>-0.42731277533039647</v>
      </c>
      <c r="M235" s="63">
        <f t="shared" si="36"/>
        <v>0.15718240396062055</v>
      </c>
      <c r="N235" s="63">
        <f t="shared" si="37"/>
        <v>-0.50510202824593564</v>
      </c>
      <c r="O235" s="62">
        <f t="shared" si="38"/>
        <v>0.6141229379641352</v>
      </c>
      <c r="P235" s="62">
        <f t="shared" si="39"/>
        <v>-0.45823019217323935</v>
      </c>
      <c r="Q235" s="62">
        <f t="shared" si="40"/>
        <v>-8.341754885502628E-2</v>
      </c>
      <c r="R235" s="63">
        <f t="shared" si="41"/>
        <v>-0.42731277533039647</v>
      </c>
      <c r="S235" s="63">
        <f t="shared" si="42"/>
        <v>-7.7789252915539134E-2</v>
      </c>
      <c r="T235" s="63">
        <f t="shared" si="43"/>
        <v>-0.50510202824593564</v>
      </c>
    </row>
    <row r="236" spans="1:20" x14ac:dyDescent="0.3">
      <c r="A236" s="18" t="s">
        <v>103</v>
      </c>
      <c r="B236" s="18" t="s">
        <v>104</v>
      </c>
      <c r="C236" s="18" t="s">
        <v>46</v>
      </c>
      <c r="D236" s="18" t="s">
        <v>43</v>
      </c>
      <c r="E236" s="61">
        <v>2019</v>
      </c>
      <c r="F236" s="62">
        <v>130000000</v>
      </c>
      <c r="G236" s="62">
        <v>292000000</v>
      </c>
      <c r="H236" s="62">
        <v>244957000</v>
      </c>
      <c r="I236" s="62">
        <v>263139000</v>
      </c>
      <c r="J236" s="62">
        <f t="shared" si="33"/>
        <v>0.53070538910910892</v>
      </c>
      <c r="K236" s="62">
        <f t="shared" si="34"/>
        <v>1.109679675000665</v>
      </c>
      <c r="L236" s="63">
        <f t="shared" si="35"/>
        <v>1.2461538461538462</v>
      </c>
      <c r="M236" s="63">
        <f t="shared" si="36"/>
        <v>7.4225272190629382E-2</v>
      </c>
      <c r="N236" s="63">
        <f t="shared" si="37"/>
        <v>1.0909523396087533</v>
      </c>
      <c r="O236" s="62">
        <f t="shared" si="38"/>
        <v>1.1920459509219985</v>
      </c>
      <c r="P236" s="62">
        <f t="shared" si="39"/>
        <v>0.66134056181288958</v>
      </c>
      <c r="Q236" s="62">
        <f t="shared" si="40"/>
        <v>-8.2366275921333498E-2</v>
      </c>
      <c r="R236" s="63">
        <f t="shared" si="41"/>
        <v>1.2461538461538462</v>
      </c>
      <c r="S236" s="63">
        <f t="shared" si="42"/>
        <v>-0.15520150654509302</v>
      </c>
      <c r="T236" s="63">
        <f t="shared" si="43"/>
        <v>1.0909523396087533</v>
      </c>
    </row>
    <row r="237" spans="1:20" x14ac:dyDescent="0.3">
      <c r="A237" s="18" t="s">
        <v>103</v>
      </c>
      <c r="B237" s="18" t="s">
        <v>104</v>
      </c>
      <c r="C237" s="18" t="s">
        <v>46</v>
      </c>
      <c r="D237" s="18" t="s">
        <v>43</v>
      </c>
      <c r="E237" s="61">
        <v>2020</v>
      </c>
      <c r="F237" s="62">
        <v>292000000</v>
      </c>
      <c r="G237" s="62">
        <v>178000000</v>
      </c>
      <c r="H237" s="62">
        <v>263139000</v>
      </c>
      <c r="I237" s="62">
        <v>263274000</v>
      </c>
      <c r="J237" s="62">
        <f t="shared" si="33"/>
        <v>1.109679675000665</v>
      </c>
      <c r="K237" s="62">
        <f t="shared" si="34"/>
        <v>0.67610170392822688</v>
      </c>
      <c r="L237" s="63">
        <f t="shared" si="35"/>
        <v>-0.3904109589041096</v>
      </c>
      <c r="M237" s="63">
        <f t="shared" si="36"/>
        <v>5.1303683604482801E-4</v>
      </c>
      <c r="N237" s="63">
        <f t="shared" si="37"/>
        <v>-0.39072354017133665</v>
      </c>
      <c r="O237" s="62">
        <f t="shared" si="38"/>
        <v>0.6764485690072547</v>
      </c>
      <c r="P237" s="62">
        <f t="shared" si="39"/>
        <v>-0.4332311059934103</v>
      </c>
      <c r="Q237" s="62">
        <f t="shared" si="40"/>
        <v>-3.4686507902781383E-4</v>
      </c>
      <c r="R237" s="63">
        <f t="shared" si="41"/>
        <v>-0.3904109589041096</v>
      </c>
      <c r="S237" s="63">
        <f t="shared" si="42"/>
        <v>-3.1258126722705448E-4</v>
      </c>
      <c r="T237" s="63">
        <f t="shared" si="43"/>
        <v>-0.39072354017133665</v>
      </c>
    </row>
    <row r="238" spans="1:20" x14ac:dyDescent="0.3">
      <c r="A238" s="18" t="s">
        <v>103</v>
      </c>
      <c r="B238" s="18" t="s">
        <v>104</v>
      </c>
      <c r="C238" s="18" t="s">
        <v>46</v>
      </c>
      <c r="D238" s="18" t="s">
        <v>43</v>
      </c>
      <c r="E238" s="61">
        <v>2021</v>
      </c>
      <c r="F238" s="62">
        <v>178000000</v>
      </c>
      <c r="G238" s="62">
        <v>308000000</v>
      </c>
      <c r="H238" s="62">
        <v>263274000</v>
      </c>
      <c r="I238" s="62">
        <v>263408000</v>
      </c>
      <c r="J238" s="62">
        <f t="shared" si="33"/>
        <v>0.67610170392822688</v>
      </c>
      <c r="K238" s="62">
        <f t="shared" si="34"/>
        <v>1.1692887080119054</v>
      </c>
      <c r="L238" s="63">
        <f t="shared" si="35"/>
        <v>0.7303370786516854</v>
      </c>
      <c r="M238" s="63">
        <f t="shared" si="36"/>
        <v>5.0897544003585622E-4</v>
      </c>
      <c r="N238" s="63">
        <f t="shared" si="37"/>
        <v>0.72945682760183361</v>
      </c>
      <c r="O238" s="62">
        <f t="shared" si="38"/>
        <v>1.1698838472465949</v>
      </c>
      <c r="P238" s="62">
        <f t="shared" si="39"/>
        <v>0.49378214331836801</v>
      </c>
      <c r="Q238" s="62">
        <f t="shared" si="40"/>
        <v>-5.9513923468945684E-4</v>
      </c>
      <c r="R238" s="63">
        <f t="shared" si="41"/>
        <v>0.73033707865168551</v>
      </c>
      <c r="S238" s="63">
        <f t="shared" si="42"/>
        <v>-8.8025104985186545E-4</v>
      </c>
      <c r="T238" s="63">
        <f t="shared" si="43"/>
        <v>0.72945682760183361</v>
      </c>
    </row>
    <row r="239" spans="1:20" x14ac:dyDescent="0.3">
      <c r="A239" s="18" t="s">
        <v>103</v>
      </c>
      <c r="B239" s="18" t="s">
        <v>104</v>
      </c>
      <c r="C239" s="18" t="s">
        <v>46</v>
      </c>
      <c r="D239" s="18" t="s">
        <v>43</v>
      </c>
      <c r="E239" s="61">
        <v>2022</v>
      </c>
      <c r="F239" s="62">
        <v>308000000</v>
      </c>
      <c r="G239" s="62">
        <v>504000000</v>
      </c>
      <c r="H239" s="62">
        <v>263408000</v>
      </c>
      <c r="I239" s="62">
        <v>263497000</v>
      </c>
      <c r="J239" s="62">
        <f t="shared" si="33"/>
        <v>1.1692887080119054</v>
      </c>
      <c r="K239" s="62">
        <f t="shared" si="34"/>
        <v>1.9127352493576777</v>
      </c>
      <c r="L239" s="63">
        <f t="shared" si="35"/>
        <v>0.63636363636363635</v>
      </c>
      <c r="M239" s="63">
        <f t="shared" si="36"/>
        <v>3.3787887991253114E-4</v>
      </c>
      <c r="N239" s="63">
        <f t="shared" si="37"/>
        <v>0.63581093039872461</v>
      </c>
      <c r="O239" s="62">
        <f t="shared" si="38"/>
        <v>1.9133815222013</v>
      </c>
      <c r="P239" s="62">
        <f t="shared" si="39"/>
        <v>0.74409281418939455</v>
      </c>
      <c r="Q239" s="62">
        <f t="shared" si="40"/>
        <v>-6.4627284362228643E-4</v>
      </c>
      <c r="R239" s="63">
        <f t="shared" si="41"/>
        <v>0.63636363636363646</v>
      </c>
      <c r="S239" s="63">
        <f t="shared" si="42"/>
        <v>-5.5270596491188066E-4</v>
      </c>
      <c r="T239" s="63">
        <f t="shared" si="43"/>
        <v>0.63581093039872461</v>
      </c>
    </row>
    <row r="240" spans="1:20" x14ac:dyDescent="0.3">
      <c r="A240" s="18" t="s">
        <v>103</v>
      </c>
      <c r="B240" s="18" t="s">
        <v>104</v>
      </c>
      <c r="C240" s="18" t="s">
        <v>46</v>
      </c>
      <c r="D240" s="18" t="s">
        <v>43</v>
      </c>
      <c r="E240" s="61">
        <v>2023</v>
      </c>
      <c r="F240" s="62">
        <v>504000000</v>
      </c>
      <c r="G240" s="62">
        <v>529000000</v>
      </c>
      <c r="H240" s="62">
        <v>263497000</v>
      </c>
      <c r="I240" s="62">
        <v>272680412</v>
      </c>
      <c r="J240" s="62">
        <f t="shared" si="33"/>
        <v>1.9127352493576777</v>
      </c>
      <c r="K240" s="62">
        <f t="shared" si="34"/>
        <v>1.9400000026404536</v>
      </c>
      <c r="L240" s="63">
        <f t="shared" si="35"/>
        <v>4.96031746031746E-2</v>
      </c>
      <c r="M240" s="63">
        <f t="shared" si="36"/>
        <v>3.4852055241615651E-2</v>
      </c>
      <c r="N240" s="63">
        <f t="shared" si="37"/>
        <v>1.4254326777284918E-2</v>
      </c>
      <c r="O240" s="62">
        <f t="shared" si="38"/>
        <v>2.0076129899012134</v>
      </c>
      <c r="P240" s="62">
        <f t="shared" si="39"/>
        <v>9.4877740543535705E-2</v>
      </c>
      <c r="Q240" s="62">
        <f t="shared" si="40"/>
        <v>-6.7612987260759816E-2</v>
      </c>
      <c r="R240" s="63">
        <f t="shared" si="41"/>
        <v>4.9603174603174656E-2</v>
      </c>
      <c r="S240" s="63">
        <f t="shared" si="42"/>
        <v>-3.5348847825889741E-2</v>
      </c>
      <c r="T240" s="63">
        <f t="shared" si="43"/>
        <v>1.4254326777284915E-2</v>
      </c>
    </row>
    <row r="241" spans="1:20" x14ac:dyDescent="0.3">
      <c r="A241" s="18" t="s">
        <v>103</v>
      </c>
      <c r="B241" s="18" t="s">
        <v>104</v>
      </c>
      <c r="C241" s="18" t="s">
        <v>46</v>
      </c>
      <c r="D241" s="18" t="s">
        <v>43</v>
      </c>
      <c r="E241" s="61">
        <v>2024</v>
      </c>
      <c r="F241" s="62">
        <v>529000000</v>
      </c>
      <c r="G241" s="62">
        <v>729000000</v>
      </c>
      <c r="H241" s="62">
        <v>272680412</v>
      </c>
      <c r="I241" s="62">
        <v>281540000</v>
      </c>
      <c r="J241" s="62">
        <f t="shared" si="33"/>
        <v>1.9400000026404536</v>
      </c>
      <c r="K241" s="62">
        <f t="shared" si="34"/>
        <v>2.5893301129502024</v>
      </c>
      <c r="L241" s="63">
        <f t="shared" si="35"/>
        <v>0.3780718336483932</v>
      </c>
      <c r="M241" s="63">
        <f t="shared" si="36"/>
        <v>3.2490738645356017E-2</v>
      </c>
      <c r="N241" s="63">
        <f t="shared" si="37"/>
        <v>0.33470624197215082</v>
      </c>
      <c r="O241" s="62">
        <f t="shared" si="38"/>
        <v>2.6734593609166177</v>
      </c>
      <c r="P241" s="62">
        <f t="shared" si="39"/>
        <v>0.73345935827616415</v>
      </c>
      <c r="Q241" s="62">
        <f t="shared" si="40"/>
        <v>-8.4129247966415299E-2</v>
      </c>
      <c r="R241" s="63">
        <f t="shared" si="41"/>
        <v>0.37807183364839331</v>
      </c>
      <c r="S241" s="63">
        <f t="shared" si="42"/>
        <v>-4.3365591676242508E-2</v>
      </c>
      <c r="T241" s="63">
        <f t="shared" si="43"/>
        <v>0.33470624197215082</v>
      </c>
    </row>
    <row r="242" spans="1:20" x14ac:dyDescent="0.3">
      <c r="A242" s="18" t="s">
        <v>105</v>
      </c>
      <c r="B242" s="18" t="s">
        <v>106</v>
      </c>
      <c r="C242" s="18" t="s">
        <v>46</v>
      </c>
      <c r="D242" s="18" t="s">
        <v>43</v>
      </c>
      <c r="E242" s="61">
        <v>2016</v>
      </c>
      <c r="F242" s="62">
        <v>-806000000</v>
      </c>
      <c r="G242" s="62">
        <v>-2087000000</v>
      </c>
      <c r="H242" s="62">
        <v>139043922</v>
      </c>
      <c r="I242" s="62">
        <v>175324479</v>
      </c>
      <c r="J242" s="62">
        <f t="shared" si="33"/>
        <v>-5.7967294679734369</v>
      </c>
      <c r="K242" s="62">
        <f t="shared" si="34"/>
        <v>-11.90364295906449</v>
      </c>
      <c r="L242" s="63">
        <f t="shared" si="35"/>
        <v>-1.5893300248138957</v>
      </c>
      <c r="M242" s="63">
        <f t="shared" si="36"/>
        <v>0.26092875170767982</v>
      </c>
      <c r="N242" s="63">
        <f t="shared" si="37"/>
        <v>-1.0535101775632902</v>
      </c>
      <c r="O242" s="62">
        <f t="shared" si="38"/>
        <v>-15.009645657147098</v>
      </c>
      <c r="P242" s="62">
        <f t="shared" si="39"/>
        <v>-9.2129161891736615</v>
      </c>
      <c r="Q242" s="62">
        <f t="shared" si="40"/>
        <v>3.1060026980826088</v>
      </c>
      <c r="R242" s="63">
        <f t="shared" si="41"/>
        <v>-1.5893300248138955</v>
      </c>
      <c r="S242" s="63">
        <f t="shared" si="42"/>
        <v>0.53581984725060516</v>
      </c>
      <c r="T242" s="63">
        <f t="shared" si="43"/>
        <v>-1.0535101775632905</v>
      </c>
    </row>
    <row r="243" spans="1:20" x14ac:dyDescent="0.3">
      <c r="A243" s="18" t="s">
        <v>105</v>
      </c>
      <c r="B243" s="18" t="s">
        <v>106</v>
      </c>
      <c r="C243" s="18" t="s">
        <v>46</v>
      </c>
      <c r="D243" s="18" t="s">
        <v>43</v>
      </c>
      <c r="E243" s="61">
        <v>2017</v>
      </c>
      <c r="F243" s="62">
        <v>-2087000000</v>
      </c>
      <c r="G243" s="62">
        <v>-328000000</v>
      </c>
      <c r="H243" s="62">
        <v>175324479</v>
      </c>
      <c r="I243" s="62">
        <v>210422776</v>
      </c>
      <c r="J243" s="62">
        <f t="shared" si="33"/>
        <v>-11.90364295906449</v>
      </c>
      <c r="K243" s="62">
        <f t="shared" si="34"/>
        <v>-1.5587666232480462</v>
      </c>
      <c r="L243" s="63">
        <f t="shared" si="35"/>
        <v>0.84283660757067558</v>
      </c>
      <c r="M243" s="63">
        <f t="shared" si="36"/>
        <v>0.20019051076147787</v>
      </c>
      <c r="N243" s="63">
        <f t="shared" si="37"/>
        <v>0.86905129559005612</v>
      </c>
      <c r="O243" s="62">
        <f t="shared" si="38"/>
        <v>-1.8708169097140166</v>
      </c>
      <c r="P243" s="62">
        <f t="shared" si="39"/>
        <v>10.032826049350472</v>
      </c>
      <c r="Q243" s="62">
        <f t="shared" si="40"/>
        <v>0.31205028646597044</v>
      </c>
      <c r="R243" s="63">
        <f t="shared" si="41"/>
        <v>0.84283660757067558</v>
      </c>
      <c r="S243" s="63">
        <f t="shared" si="42"/>
        <v>2.6214688019380459E-2</v>
      </c>
      <c r="T243" s="63">
        <f t="shared" si="43"/>
        <v>0.86905129559005601</v>
      </c>
    </row>
    <row r="244" spans="1:20" x14ac:dyDescent="0.3">
      <c r="A244" s="18" t="s">
        <v>105</v>
      </c>
      <c r="B244" s="18" t="s">
        <v>106</v>
      </c>
      <c r="C244" s="18" t="s">
        <v>46</v>
      </c>
      <c r="D244" s="18" t="s">
        <v>43</v>
      </c>
      <c r="E244" s="61">
        <v>2018</v>
      </c>
      <c r="F244" s="62">
        <v>-328000000</v>
      </c>
      <c r="G244" s="62">
        <v>-472000000</v>
      </c>
      <c r="H244" s="62">
        <v>210422776</v>
      </c>
      <c r="I244" s="62">
        <v>209189917</v>
      </c>
      <c r="J244" s="62">
        <f t="shared" si="33"/>
        <v>-1.5587666232480462</v>
      </c>
      <c r="K244" s="62">
        <f t="shared" si="34"/>
        <v>-2.2563228991577065</v>
      </c>
      <c r="L244" s="63">
        <f t="shared" si="35"/>
        <v>-0.43902439024390244</v>
      </c>
      <c r="M244" s="63">
        <f t="shared" si="36"/>
        <v>-5.8589617694236673E-3</v>
      </c>
      <c r="N244" s="63">
        <f t="shared" si="37"/>
        <v>-0.44750526827174586</v>
      </c>
      <c r="O244" s="62">
        <f t="shared" si="38"/>
        <v>-2.2431031895520666</v>
      </c>
      <c r="P244" s="62">
        <f t="shared" si="39"/>
        <v>-0.6843365663040204</v>
      </c>
      <c r="Q244" s="62">
        <f t="shared" si="40"/>
        <v>-1.3219709605639895E-2</v>
      </c>
      <c r="R244" s="63">
        <f t="shared" si="41"/>
        <v>-0.43902439024390255</v>
      </c>
      <c r="S244" s="63">
        <f t="shared" si="42"/>
        <v>-8.4808780278433291E-3</v>
      </c>
      <c r="T244" s="63">
        <f t="shared" si="43"/>
        <v>-0.44750526827174586</v>
      </c>
    </row>
    <row r="245" spans="1:20" x14ac:dyDescent="0.3">
      <c r="A245" s="18" t="s">
        <v>105</v>
      </c>
      <c r="B245" s="18" t="s">
        <v>106</v>
      </c>
      <c r="C245" s="18" t="s">
        <v>46</v>
      </c>
      <c r="D245" s="18" t="s">
        <v>43</v>
      </c>
      <c r="E245" s="61">
        <v>2019</v>
      </c>
      <c r="F245" s="62">
        <v>-472000000</v>
      </c>
      <c r="G245" s="62">
        <v>98000000</v>
      </c>
      <c r="H245" s="62">
        <v>209189917</v>
      </c>
      <c r="I245" s="62">
        <v>209205936</v>
      </c>
      <c r="J245" s="62">
        <f t="shared" si="33"/>
        <v>-2.2563228991577065</v>
      </c>
      <c r="K245" s="62">
        <f t="shared" si="34"/>
        <v>0.46843795101492725</v>
      </c>
      <c r="L245" s="63">
        <f t="shared" si="35"/>
        <v>1.2076271186440677</v>
      </c>
      <c r="M245" s="63">
        <f t="shared" si="36"/>
        <v>7.6576348562727326E-5</v>
      </c>
      <c r="N245" s="63">
        <f t="shared" si="37"/>
        <v>1.2076112205348786</v>
      </c>
      <c r="O245" s="62">
        <f t="shared" si="38"/>
        <v>0.46847382228274415</v>
      </c>
      <c r="P245" s="62">
        <f t="shared" si="39"/>
        <v>2.7247967214404505</v>
      </c>
      <c r="Q245" s="62">
        <f t="shared" si="40"/>
        <v>-3.5871267816900421E-5</v>
      </c>
      <c r="R245" s="63">
        <f t="shared" si="41"/>
        <v>1.2076271186440677</v>
      </c>
      <c r="S245" s="63">
        <f t="shared" si="42"/>
        <v>-1.5898109189199514E-5</v>
      </c>
      <c r="T245" s="63">
        <f t="shared" si="43"/>
        <v>1.2076112205348786</v>
      </c>
    </row>
    <row r="246" spans="1:20" x14ac:dyDescent="0.3">
      <c r="A246" s="18" t="s">
        <v>105</v>
      </c>
      <c r="B246" s="18" t="s">
        <v>106</v>
      </c>
      <c r="C246" s="18" t="s">
        <v>46</v>
      </c>
      <c r="D246" s="18" t="s">
        <v>43</v>
      </c>
      <c r="E246" s="61">
        <v>2020</v>
      </c>
      <c r="F246" s="62">
        <v>98000000</v>
      </c>
      <c r="G246" s="62">
        <v>-1117000000</v>
      </c>
      <c r="H246" s="62">
        <v>209205936</v>
      </c>
      <c r="I246" s="62">
        <v>208246118</v>
      </c>
      <c r="J246" s="62">
        <f t="shared" si="33"/>
        <v>0.46843795101492725</v>
      </c>
      <c r="K246" s="62">
        <f t="shared" si="34"/>
        <v>-5.3638454859456255</v>
      </c>
      <c r="L246" s="63">
        <f t="shared" si="35"/>
        <v>-12.397959183673469</v>
      </c>
      <c r="M246" s="63">
        <f t="shared" si="36"/>
        <v>-4.5879099721147492E-3</v>
      </c>
      <c r="N246" s="63">
        <f t="shared" si="37"/>
        <v>-12.450493014761523</v>
      </c>
      <c r="O246" s="62">
        <f t="shared" si="38"/>
        <v>-5.3392366457517726</v>
      </c>
      <c r="P246" s="62">
        <f t="shared" si="39"/>
        <v>-5.8076745967666996</v>
      </c>
      <c r="Q246" s="62">
        <f t="shared" si="40"/>
        <v>-2.4608840193852899E-2</v>
      </c>
      <c r="R246" s="63">
        <f t="shared" si="41"/>
        <v>-12.397959183673468</v>
      </c>
      <c r="S246" s="63">
        <f t="shared" si="42"/>
        <v>-5.2533831088055274E-2</v>
      </c>
      <c r="T246" s="63">
        <f t="shared" si="43"/>
        <v>-12.450493014761523</v>
      </c>
    </row>
    <row r="247" spans="1:20" x14ac:dyDescent="0.3">
      <c r="A247" s="18" t="s">
        <v>105</v>
      </c>
      <c r="B247" s="18" t="s">
        <v>106</v>
      </c>
      <c r="C247" s="18" t="s">
        <v>46</v>
      </c>
      <c r="D247" s="18" t="s">
        <v>43</v>
      </c>
      <c r="E247" s="61">
        <v>2021</v>
      </c>
      <c r="F247" s="62">
        <v>-1117000000</v>
      </c>
      <c r="G247" s="62">
        <v>-2467000000</v>
      </c>
      <c r="H247" s="62">
        <v>208246118</v>
      </c>
      <c r="I247" s="62">
        <v>197471856</v>
      </c>
      <c r="J247" s="62">
        <f t="shared" si="33"/>
        <v>-5.3638454859456255</v>
      </c>
      <c r="K247" s="62">
        <f t="shared" si="34"/>
        <v>-12.492919497348524</v>
      </c>
      <c r="L247" s="63">
        <f t="shared" si="35"/>
        <v>-1.2085944494180842</v>
      </c>
      <c r="M247" s="63">
        <f t="shared" si="36"/>
        <v>-5.1738116914140986E-2</v>
      </c>
      <c r="N247" s="63">
        <f t="shared" si="37"/>
        <v>-1.3290975718973512</v>
      </c>
      <c r="O247" s="62">
        <f t="shared" si="38"/>
        <v>-11.846559367795754</v>
      </c>
      <c r="P247" s="62">
        <f t="shared" si="39"/>
        <v>-6.4827138818501284</v>
      </c>
      <c r="Q247" s="62">
        <f t="shared" si="40"/>
        <v>-0.64636012955276989</v>
      </c>
      <c r="R247" s="63">
        <f t="shared" si="41"/>
        <v>-1.208594449418084</v>
      </c>
      <c r="S247" s="63">
        <f t="shared" si="42"/>
        <v>-0.12050312247926714</v>
      </c>
      <c r="T247" s="63">
        <f t="shared" si="43"/>
        <v>-1.3290975718973512</v>
      </c>
    </row>
    <row r="248" spans="1:20" x14ac:dyDescent="0.3">
      <c r="A248" s="18" t="s">
        <v>105</v>
      </c>
      <c r="B248" s="18" t="s">
        <v>106</v>
      </c>
      <c r="C248" s="18" t="s">
        <v>46</v>
      </c>
      <c r="D248" s="18" t="s">
        <v>43</v>
      </c>
      <c r="E248" s="61">
        <v>2022</v>
      </c>
      <c r="F248" s="62">
        <v>-2467000000</v>
      </c>
      <c r="G248" s="62">
        <v>-315000000</v>
      </c>
      <c r="H248" s="62">
        <v>197471856</v>
      </c>
      <c r="I248" s="62">
        <v>940341988</v>
      </c>
      <c r="J248" s="62">
        <f t="shared" si="33"/>
        <v>-12.492919497348524</v>
      </c>
      <c r="K248" s="62">
        <f t="shared" si="34"/>
        <v>-0.33498450991215334</v>
      </c>
      <c r="L248" s="63">
        <f t="shared" si="35"/>
        <v>0.87231455208755571</v>
      </c>
      <c r="M248" s="63">
        <f t="shared" si="36"/>
        <v>3.7619038330201344</v>
      </c>
      <c r="N248" s="63">
        <f t="shared" si="37"/>
        <v>0.97318605070790298</v>
      </c>
      <c r="O248" s="62">
        <f t="shared" si="38"/>
        <v>-1.5951640217530543</v>
      </c>
      <c r="P248" s="62">
        <f t="shared" si="39"/>
        <v>10.897755475595469</v>
      </c>
      <c r="Q248" s="62">
        <f t="shared" si="40"/>
        <v>1.2601795118409009</v>
      </c>
      <c r="R248" s="63">
        <f t="shared" si="41"/>
        <v>0.87231455208755571</v>
      </c>
      <c r="S248" s="63">
        <f t="shared" si="42"/>
        <v>0.10087149862034725</v>
      </c>
      <c r="T248" s="63">
        <f t="shared" si="43"/>
        <v>0.97318605070790298</v>
      </c>
    </row>
    <row r="249" spans="1:20" x14ac:dyDescent="0.3">
      <c r="A249" s="18" t="s">
        <v>105</v>
      </c>
      <c r="B249" s="18" t="s">
        <v>106</v>
      </c>
      <c r="C249" s="18" t="s">
        <v>46</v>
      </c>
      <c r="D249" s="18" t="s">
        <v>43</v>
      </c>
      <c r="E249" s="61">
        <v>2023</v>
      </c>
      <c r="F249" s="62">
        <v>-315000000</v>
      </c>
      <c r="G249" s="62">
        <v>179000000</v>
      </c>
      <c r="H249" s="62">
        <v>940341988</v>
      </c>
      <c r="I249" s="62">
        <v>1995147895</v>
      </c>
      <c r="J249" s="62">
        <f t="shared" si="33"/>
        <v>-0.33498450991215334</v>
      </c>
      <c r="K249" s="62">
        <f t="shared" si="34"/>
        <v>8.971765975273728E-2</v>
      </c>
      <c r="L249" s="63">
        <f t="shared" si="35"/>
        <v>1.5682539682539682</v>
      </c>
      <c r="M249" s="63">
        <f t="shared" si="36"/>
        <v>1.1217258406629822</v>
      </c>
      <c r="N249" s="63">
        <f t="shared" si="37"/>
        <v>1.2678262937479257</v>
      </c>
      <c r="O249" s="62">
        <f t="shared" si="38"/>
        <v>0.1903562770611919</v>
      </c>
      <c r="P249" s="62">
        <f t="shared" si="39"/>
        <v>0.5253407869733453</v>
      </c>
      <c r="Q249" s="62">
        <f t="shared" si="40"/>
        <v>-0.10063861730845462</v>
      </c>
      <c r="R249" s="63">
        <f t="shared" si="41"/>
        <v>1.5682539682539685</v>
      </c>
      <c r="S249" s="63">
        <f t="shared" si="42"/>
        <v>-0.30042767450604263</v>
      </c>
      <c r="T249" s="63">
        <f t="shared" si="43"/>
        <v>1.2678262937479259</v>
      </c>
    </row>
    <row r="250" spans="1:20" x14ac:dyDescent="0.3">
      <c r="A250" s="18" t="s">
        <v>105</v>
      </c>
      <c r="B250" s="18" t="s">
        <v>106</v>
      </c>
      <c r="C250" s="18" t="s">
        <v>46</v>
      </c>
      <c r="D250" s="18" t="s">
        <v>43</v>
      </c>
      <c r="E250" s="61">
        <v>2024</v>
      </c>
      <c r="F250" s="62">
        <v>179000000</v>
      </c>
      <c r="G250" s="62">
        <v>306000000</v>
      </c>
      <c r="H250" s="62">
        <v>1995147895</v>
      </c>
      <c r="I250" s="62">
        <v>1967618000</v>
      </c>
      <c r="J250" s="62">
        <f t="shared" si="33"/>
        <v>8.971765975273728E-2</v>
      </c>
      <c r="K250" s="62">
        <f t="shared" si="34"/>
        <v>0.15551799180531994</v>
      </c>
      <c r="L250" s="63">
        <f t="shared" si="35"/>
        <v>0.70949720670391059</v>
      </c>
      <c r="M250" s="63">
        <f t="shared" si="36"/>
        <v>-1.379842319909823E-2</v>
      </c>
      <c r="N250" s="63">
        <f t="shared" si="37"/>
        <v>0.73341560885481183</v>
      </c>
      <c r="O250" s="62">
        <f t="shared" si="38"/>
        <v>0.15337208873931624</v>
      </c>
      <c r="P250" s="62">
        <f t="shared" si="39"/>
        <v>6.3654428986578956E-2</v>
      </c>
      <c r="Q250" s="62">
        <f t="shared" si="40"/>
        <v>2.1459030660037071E-3</v>
      </c>
      <c r="R250" s="63">
        <f t="shared" si="41"/>
        <v>0.70949720670391048</v>
      </c>
      <c r="S250" s="63">
        <f t="shared" si="42"/>
        <v>2.3918402150901352E-2</v>
      </c>
      <c r="T250" s="63">
        <f t="shared" si="43"/>
        <v>0.73341560885481183</v>
      </c>
    </row>
    <row r="251" spans="1:20" x14ac:dyDescent="0.3">
      <c r="A251" s="18" t="s">
        <v>107</v>
      </c>
      <c r="B251" s="18" t="s">
        <v>108</v>
      </c>
      <c r="C251" s="18" t="s">
        <v>46</v>
      </c>
      <c r="D251" s="18" t="s">
        <v>43</v>
      </c>
      <c r="E251" s="61">
        <v>2016</v>
      </c>
      <c r="F251" s="62">
        <v>1238000000</v>
      </c>
      <c r="G251" s="62">
        <v>861000000</v>
      </c>
      <c r="H251" s="62">
        <v>3499511044</v>
      </c>
      <c r="I251" s="62">
        <v>3470733114</v>
      </c>
      <c r="J251" s="62">
        <f t="shared" si="33"/>
        <v>0.35376370711062116</v>
      </c>
      <c r="K251" s="62">
        <f t="shared" si="34"/>
        <v>0.24807438996878167</v>
      </c>
      <c r="L251" s="63">
        <f t="shared" si="35"/>
        <v>-0.30452342487883682</v>
      </c>
      <c r="M251" s="63">
        <f t="shared" si="36"/>
        <v>-8.2234145393941492E-3</v>
      </c>
      <c r="N251" s="63">
        <f t="shared" si="37"/>
        <v>-0.2987568114464344</v>
      </c>
      <c r="O251" s="62">
        <f t="shared" si="38"/>
        <v>0.24603437142346107</v>
      </c>
      <c r="P251" s="62">
        <f t="shared" si="39"/>
        <v>-0.10772933568716009</v>
      </c>
      <c r="Q251" s="62">
        <f t="shared" si="40"/>
        <v>2.0400185453205988E-3</v>
      </c>
      <c r="R251" s="63">
        <f t="shared" si="41"/>
        <v>-0.30452342487883688</v>
      </c>
      <c r="S251" s="63">
        <f t="shared" si="42"/>
        <v>5.7666134324024631E-3</v>
      </c>
      <c r="T251" s="63">
        <f t="shared" si="43"/>
        <v>-0.2987568114464344</v>
      </c>
    </row>
    <row r="252" spans="1:20" x14ac:dyDescent="0.3">
      <c r="A252" s="18" t="s">
        <v>107</v>
      </c>
      <c r="B252" s="18" t="s">
        <v>108</v>
      </c>
      <c r="C252" s="18" t="s">
        <v>46</v>
      </c>
      <c r="D252" s="18" t="s">
        <v>43</v>
      </c>
      <c r="E252" s="61">
        <v>2017</v>
      </c>
      <c r="F252" s="62">
        <v>861000000</v>
      </c>
      <c r="G252" s="62">
        <v>897000000</v>
      </c>
      <c r="H252" s="62">
        <v>3470733114</v>
      </c>
      <c r="I252" s="62">
        <v>3422406716</v>
      </c>
      <c r="J252" s="62">
        <f t="shared" si="33"/>
        <v>0.24807438996878167</v>
      </c>
      <c r="K252" s="62">
        <f t="shared" si="34"/>
        <v>0.2620962598648664</v>
      </c>
      <c r="L252" s="63">
        <f t="shared" si="35"/>
        <v>4.1811846689895474E-2</v>
      </c>
      <c r="M252" s="63">
        <f t="shared" si="36"/>
        <v>-1.3923974103645239E-2</v>
      </c>
      <c r="N252" s="63">
        <f t="shared" si="37"/>
        <v>5.6522843401325205E-2</v>
      </c>
      <c r="O252" s="62">
        <f t="shared" si="38"/>
        <v>0.25844683832984572</v>
      </c>
      <c r="P252" s="62">
        <f t="shared" si="39"/>
        <v>1.0372448361064046E-2</v>
      </c>
      <c r="Q252" s="62">
        <f t="shared" si="40"/>
        <v>3.6494215350206805E-3</v>
      </c>
      <c r="R252" s="63">
        <f t="shared" si="41"/>
        <v>4.1811846689895488E-2</v>
      </c>
      <c r="S252" s="63">
        <f t="shared" si="42"/>
        <v>1.4710996711429718E-2</v>
      </c>
      <c r="T252" s="63">
        <f t="shared" si="43"/>
        <v>5.6522843401325205E-2</v>
      </c>
    </row>
    <row r="253" spans="1:20" x14ac:dyDescent="0.3">
      <c r="A253" s="18" t="s">
        <v>107</v>
      </c>
      <c r="B253" s="18" t="s">
        <v>108</v>
      </c>
      <c r="C253" s="18" t="s">
        <v>46</v>
      </c>
      <c r="D253" s="18" t="s">
        <v>43</v>
      </c>
      <c r="E253" s="61">
        <v>2018</v>
      </c>
      <c r="F253" s="62">
        <v>897000000</v>
      </c>
      <c r="G253" s="62">
        <v>960000000</v>
      </c>
      <c r="H253" s="62">
        <v>3422406716</v>
      </c>
      <c r="I253" s="62">
        <v>3357806084</v>
      </c>
      <c r="J253" s="62">
        <f t="shared" si="33"/>
        <v>0.2620962598648664</v>
      </c>
      <c r="K253" s="62">
        <f t="shared" si="34"/>
        <v>0.2859009650897994</v>
      </c>
      <c r="L253" s="63">
        <f t="shared" si="35"/>
        <v>7.0234113712374577E-2</v>
      </c>
      <c r="M253" s="63">
        <f t="shared" si="36"/>
        <v>-1.8875790448279379E-2</v>
      </c>
      <c r="N253" s="63">
        <f t="shared" si="37"/>
        <v>9.0824284319075785E-2</v>
      </c>
      <c r="O253" s="62">
        <f t="shared" si="38"/>
        <v>0.2805043583838035</v>
      </c>
      <c r="P253" s="62">
        <f t="shared" si="39"/>
        <v>1.8408098518937099E-2</v>
      </c>
      <c r="Q253" s="62">
        <f t="shared" si="40"/>
        <v>5.3966067059958989E-3</v>
      </c>
      <c r="R253" s="63">
        <f t="shared" si="41"/>
        <v>7.0234113712374563E-2</v>
      </c>
      <c r="S253" s="63">
        <f t="shared" si="42"/>
        <v>2.0590170606701229E-2</v>
      </c>
      <c r="T253" s="63">
        <f t="shared" si="43"/>
        <v>9.0824284319075799E-2</v>
      </c>
    </row>
    <row r="254" spans="1:20" x14ac:dyDescent="0.3">
      <c r="A254" s="18" t="s">
        <v>107</v>
      </c>
      <c r="B254" s="18" t="s">
        <v>108</v>
      </c>
      <c r="C254" s="18" t="s">
        <v>46</v>
      </c>
      <c r="D254" s="18" t="s">
        <v>43</v>
      </c>
      <c r="E254" s="61">
        <v>2019</v>
      </c>
      <c r="F254" s="62">
        <v>960000000</v>
      </c>
      <c r="G254" s="62">
        <v>1090000000</v>
      </c>
      <c r="H254" s="62">
        <v>3357806084</v>
      </c>
      <c r="I254" s="62">
        <v>3300593207</v>
      </c>
      <c r="J254" s="62">
        <f t="shared" si="33"/>
        <v>0.2859009650897994</v>
      </c>
      <c r="K254" s="62">
        <f t="shared" si="34"/>
        <v>0.33024366580173964</v>
      </c>
      <c r="L254" s="63">
        <f t="shared" si="35"/>
        <v>0.13541666666666666</v>
      </c>
      <c r="M254" s="63">
        <f t="shared" si="36"/>
        <v>-1.7038767447774987E-2</v>
      </c>
      <c r="N254" s="63">
        <f t="shared" si="37"/>
        <v>0.15509811482452507</v>
      </c>
      <c r="O254" s="62">
        <f t="shared" si="38"/>
        <v>0.32461672077904308</v>
      </c>
      <c r="P254" s="62">
        <f t="shared" si="39"/>
        <v>3.871575568924368E-2</v>
      </c>
      <c r="Q254" s="62">
        <f t="shared" si="40"/>
        <v>5.6269450226965612E-3</v>
      </c>
      <c r="R254" s="63">
        <f t="shared" si="41"/>
        <v>0.13541666666666671</v>
      </c>
      <c r="S254" s="63">
        <f t="shared" si="42"/>
        <v>1.9681448157858366E-2</v>
      </c>
      <c r="T254" s="63">
        <f t="shared" si="43"/>
        <v>0.15509811482452507</v>
      </c>
    </row>
    <row r="255" spans="1:20" x14ac:dyDescent="0.3">
      <c r="A255" s="18" t="s">
        <v>107</v>
      </c>
      <c r="B255" s="18" t="s">
        <v>108</v>
      </c>
      <c r="C255" s="18" t="s">
        <v>46</v>
      </c>
      <c r="D255" s="18" t="s">
        <v>43</v>
      </c>
      <c r="E255" s="61">
        <v>2020</v>
      </c>
      <c r="F255" s="62">
        <v>1090000000</v>
      </c>
      <c r="G255" s="62">
        <v>1101000000</v>
      </c>
      <c r="H255" s="62">
        <v>3300593207</v>
      </c>
      <c r="I255" s="62">
        <v>3272020890</v>
      </c>
      <c r="J255" s="62">
        <f t="shared" si="33"/>
        <v>0.33024366580173964</v>
      </c>
      <c r="K255" s="62">
        <f t="shared" si="34"/>
        <v>0.3364892942355267</v>
      </c>
      <c r="L255" s="63">
        <f t="shared" si="35"/>
        <v>1.0091743119266056E-2</v>
      </c>
      <c r="M255" s="63">
        <f t="shared" si="36"/>
        <v>-8.656721749109508E-3</v>
      </c>
      <c r="N255" s="63">
        <f t="shared" si="37"/>
        <v>1.8912182368810673E-2</v>
      </c>
      <c r="O255" s="62">
        <f t="shared" si="38"/>
        <v>0.33357640004377553</v>
      </c>
      <c r="P255" s="62">
        <f t="shared" si="39"/>
        <v>3.3327342420358952E-3</v>
      </c>
      <c r="Q255" s="62">
        <f t="shared" si="40"/>
        <v>2.9128941917511697E-3</v>
      </c>
      <c r="R255" s="63">
        <f t="shared" si="41"/>
        <v>1.0091743119266026E-2</v>
      </c>
      <c r="S255" s="63">
        <f t="shared" si="42"/>
        <v>8.8204392495446482E-3</v>
      </c>
      <c r="T255" s="63">
        <f t="shared" si="43"/>
        <v>1.8912182368810676E-2</v>
      </c>
    </row>
    <row r="256" spans="1:20" x14ac:dyDescent="0.3">
      <c r="A256" s="18" t="s">
        <v>107</v>
      </c>
      <c r="B256" s="18" t="s">
        <v>108</v>
      </c>
      <c r="C256" s="18" t="s">
        <v>46</v>
      </c>
      <c r="D256" s="18" t="s">
        <v>43</v>
      </c>
      <c r="E256" s="61">
        <v>2021</v>
      </c>
      <c r="F256" s="62">
        <v>1101000000</v>
      </c>
      <c r="G256" s="62">
        <v>1496000000</v>
      </c>
      <c r="H256" s="62">
        <v>3272020890</v>
      </c>
      <c r="I256" s="62">
        <v>3270833636</v>
      </c>
      <c r="J256" s="62">
        <f t="shared" si="33"/>
        <v>0.3364892942355267</v>
      </c>
      <c r="K256" s="62">
        <f t="shared" si="34"/>
        <v>0.45737575385506402</v>
      </c>
      <c r="L256" s="63">
        <f t="shared" si="35"/>
        <v>0.35876475930971846</v>
      </c>
      <c r="M256" s="63">
        <f t="shared" si="36"/>
        <v>-3.6285037287766213E-4</v>
      </c>
      <c r="N256" s="63">
        <f t="shared" si="37"/>
        <v>0.35925796656972531</v>
      </c>
      <c r="O256" s="62">
        <f t="shared" si="38"/>
        <v>0.45720979489223251</v>
      </c>
      <c r="P256" s="62">
        <f t="shared" si="39"/>
        <v>0.12072050065670581</v>
      </c>
      <c r="Q256" s="62">
        <f t="shared" si="40"/>
        <v>1.659589628315028E-4</v>
      </c>
      <c r="R256" s="63">
        <f t="shared" si="41"/>
        <v>0.35876475930971857</v>
      </c>
      <c r="S256" s="63">
        <f t="shared" si="42"/>
        <v>4.9320726000673094E-4</v>
      </c>
      <c r="T256" s="63">
        <f t="shared" si="43"/>
        <v>0.35925796656972531</v>
      </c>
    </row>
    <row r="257" spans="1:20" x14ac:dyDescent="0.3">
      <c r="A257" s="18" t="s">
        <v>107</v>
      </c>
      <c r="B257" s="18" t="s">
        <v>108</v>
      </c>
      <c r="C257" s="18" t="s">
        <v>46</v>
      </c>
      <c r="D257" s="18" t="s">
        <v>43</v>
      </c>
      <c r="E257" s="61">
        <v>2022</v>
      </c>
      <c r="F257" s="62">
        <v>1496000000</v>
      </c>
      <c r="G257" s="62">
        <v>671000000</v>
      </c>
      <c r="H257" s="62">
        <v>3270833636</v>
      </c>
      <c r="I257" s="62">
        <v>3336596674</v>
      </c>
      <c r="J257" s="62">
        <f t="shared" si="33"/>
        <v>0.45737575385506402</v>
      </c>
      <c r="K257" s="62">
        <f t="shared" si="34"/>
        <v>0.20110311960348132</v>
      </c>
      <c r="L257" s="63">
        <f t="shared" si="35"/>
        <v>-0.55147058823529416</v>
      </c>
      <c r="M257" s="63">
        <f t="shared" si="36"/>
        <v>2.0105895107653222E-2</v>
      </c>
      <c r="N257" s="63">
        <f t="shared" si="37"/>
        <v>-0.56031093054572345</v>
      </c>
      <c r="O257" s="62">
        <f t="shared" si="38"/>
        <v>0.20514647783205076</v>
      </c>
      <c r="P257" s="62">
        <f t="shared" si="39"/>
        <v>-0.25222927602301326</v>
      </c>
      <c r="Q257" s="62">
        <f t="shared" si="40"/>
        <v>-4.0433582285694381E-3</v>
      </c>
      <c r="R257" s="63">
        <f t="shared" si="41"/>
        <v>-0.55147058823529416</v>
      </c>
      <c r="S257" s="63">
        <f t="shared" si="42"/>
        <v>-8.8403423104293413E-3</v>
      </c>
      <c r="T257" s="63">
        <f t="shared" si="43"/>
        <v>-0.56031093054572345</v>
      </c>
    </row>
    <row r="258" spans="1:20" x14ac:dyDescent="0.3">
      <c r="A258" s="18" t="s">
        <v>107</v>
      </c>
      <c r="B258" s="18" t="s">
        <v>108</v>
      </c>
      <c r="C258" s="18" t="s">
        <v>46</v>
      </c>
      <c r="D258" s="18" t="s">
        <v>43</v>
      </c>
      <c r="E258" s="61">
        <v>2023</v>
      </c>
      <c r="F258" s="62">
        <v>671000000</v>
      </c>
      <c r="G258" s="62">
        <v>1135000000</v>
      </c>
      <c r="H258" s="62">
        <v>3336596674</v>
      </c>
      <c r="I258" s="62">
        <v>3353119570</v>
      </c>
      <c r="J258" s="62">
        <f t="shared" si="33"/>
        <v>0.20110311960348132</v>
      </c>
      <c r="K258" s="62">
        <f t="shared" si="34"/>
        <v>0.33849076249911364</v>
      </c>
      <c r="L258" s="63">
        <f t="shared" si="35"/>
        <v>0.69150521609538007</v>
      </c>
      <c r="M258" s="63">
        <f t="shared" si="36"/>
        <v>4.9520207607807497E-3</v>
      </c>
      <c r="N258" s="63">
        <f t="shared" si="37"/>
        <v>0.68317012270382493</v>
      </c>
      <c r="O258" s="62">
        <f t="shared" si="38"/>
        <v>0.34016697578234173</v>
      </c>
      <c r="P258" s="62">
        <f t="shared" si="39"/>
        <v>0.13906385617886041</v>
      </c>
      <c r="Q258" s="62">
        <f t="shared" si="40"/>
        <v>-1.6762132832280896E-3</v>
      </c>
      <c r="R258" s="63">
        <f t="shared" si="41"/>
        <v>0.69150521609538007</v>
      </c>
      <c r="S258" s="63">
        <f t="shared" si="42"/>
        <v>-8.3350933915550887E-3</v>
      </c>
      <c r="T258" s="63">
        <f t="shared" si="43"/>
        <v>0.68317012270382493</v>
      </c>
    </row>
    <row r="259" spans="1:20" x14ac:dyDescent="0.3">
      <c r="A259" s="18" t="s">
        <v>107</v>
      </c>
      <c r="B259" s="18" t="s">
        <v>108</v>
      </c>
      <c r="C259" s="18" t="s">
        <v>46</v>
      </c>
      <c r="D259" s="18" t="s">
        <v>43</v>
      </c>
      <c r="E259" s="61">
        <v>2024</v>
      </c>
      <c r="F259" s="62">
        <v>1135000000</v>
      </c>
      <c r="G259" s="62">
        <v>1259000000</v>
      </c>
      <c r="H259" s="62">
        <v>3353119570</v>
      </c>
      <c r="I259" s="62">
        <v>3353942449</v>
      </c>
      <c r="J259" s="62">
        <f t="shared" si="33"/>
        <v>0.33849076249911364</v>
      </c>
      <c r="K259" s="62">
        <f t="shared" si="34"/>
        <v>0.37537913042466758</v>
      </c>
      <c r="L259" s="63">
        <f t="shared" si="35"/>
        <v>0.1092511013215859</v>
      </c>
      <c r="M259" s="63">
        <f t="shared" si="36"/>
        <v>2.4540699573084417E-4</v>
      </c>
      <c r="N259" s="63">
        <f t="shared" si="37"/>
        <v>0.10897895012910593</v>
      </c>
      <c r="O259" s="62">
        <f t="shared" si="38"/>
        <v>0.37547125108932516</v>
      </c>
      <c r="P259" s="62">
        <f t="shared" si="39"/>
        <v>3.6980488590211524E-2</v>
      </c>
      <c r="Q259" s="62">
        <f t="shared" si="40"/>
        <v>-9.2120664657580065E-5</v>
      </c>
      <c r="R259" s="63">
        <f t="shared" si="41"/>
        <v>0.10925110132158587</v>
      </c>
      <c r="S259" s="63">
        <f t="shared" si="42"/>
        <v>-2.7215119247994631E-4</v>
      </c>
      <c r="T259" s="63">
        <f t="shared" si="43"/>
        <v>0.10897895012910593</v>
      </c>
    </row>
    <row r="260" spans="1:20" x14ac:dyDescent="0.3">
      <c r="A260" s="18" t="s">
        <v>109</v>
      </c>
      <c r="B260" s="18" t="s">
        <v>110</v>
      </c>
      <c r="C260" s="18" t="s">
        <v>46</v>
      </c>
      <c r="D260" s="18" t="s">
        <v>43</v>
      </c>
      <c r="E260" s="61">
        <v>2016</v>
      </c>
      <c r="F260" s="62">
        <v>334000000</v>
      </c>
      <c r="G260" s="62">
        <v>1803000000</v>
      </c>
      <c r="H260" s="62">
        <v>1510555000</v>
      </c>
      <c r="I260" s="62">
        <v>1513019000</v>
      </c>
      <c r="J260" s="62">
        <f t="shared" si="33"/>
        <v>0.22111078378476784</v>
      </c>
      <c r="K260" s="62">
        <f t="shared" si="34"/>
        <v>1.1916572098565847</v>
      </c>
      <c r="L260" s="63">
        <f t="shared" si="35"/>
        <v>4.3982035928143715</v>
      </c>
      <c r="M260" s="63">
        <f t="shared" si="36"/>
        <v>1.6311885366636766E-3</v>
      </c>
      <c r="N260" s="63">
        <f t="shared" si="37"/>
        <v>4.3894124450147105</v>
      </c>
      <c r="O260" s="62">
        <f t="shared" si="38"/>
        <v>1.1936010274369355</v>
      </c>
      <c r="P260" s="62">
        <f t="shared" si="39"/>
        <v>0.97249024365216763</v>
      </c>
      <c r="Q260" s="62">
        <f t="shared" si="40"/>
        <v>-1.9438175803507818E-3</v>
      </c>
      <c r="R260" s="63">
        <f t="shared" si="41"/>
        <v>4.3982035928143715</v>
      </c>
      <c r="S260" s="63">
        <f t="shared" si="42"/>
        <v>-8.7911477996610032E-3</v>
      </c>
      <c r="T260" s="63">
        <f t="shared" si="43"/>
        <v>4.3894124450147105</v>
      </c>
    </row>
    <row r="261" spans="1:20" x14ac:dyDescent="0.3">
      <c r="A261" s="18" t="s">
        <v>109</v>
      </c>
      <c r="B261" s="18" t="s">
        <v>110</v>
      </c>
      <c r="C261" s="18" t="s">
        <v>46</v>
      </c>
      <c r="D261" s="18" t="s">
        <v>43</v>
      </c>
      <c r="E261" s="61">
        <v>2017</v>
      </c>
      <c r="F261" s="62">
        <v>1803000000</v>
      </c>
      <c r="G261" s="62">
        <v>3491000000</v>
      </c>
      <c r="H261" s="62">
        <v>1513019000</v>
      </c>
      <c r="I261" s="62">
        <v>1535988000</v>
      </c>
      <c r="J261" s="62">
        <f t="shared" ref="J261:J324" si="44">F261/H261</f>
        <v>1.1916572098565847</v>
      </c>
      <c r="K261" s="62">
        <f t="shared" ref="K261:K324" si="45">G261/I261</f>
        <v>2.2728042146162601</v>
      </c>
      <c r="L261" s="63">
        <f t="shared" ref="L261:L324" si="46">IF(F261=0,"",((G261-F261)/ABS(F261)))</f>
        <v>0.93621741541874648</v>
      </c>
      <c r="M261" s="63">
        <f t="shared" ref="M261:M324" si="47">(I261-H261)/H261</f>
        <v>1.5180906518688794E-2</v>
      </c>
      <c r="N261" s="63">
        <f t="shared" ref="N261:N324" si="48">IF(J261=0,"",((K261-J261)/ABS(J261)))</f>
        <v>0.90726342761757039</v>
      </c>
      <c r="O261" s="62">
        <f t="shared" ref="O261:O324" si="49">G261/H261</f>
        <v>2.3073074429336313</v>
      </c>
      <c r="P261" s="62">
        <f t="shared" ref="P261:P324" si="50">O261-J261</f>
        <v>1.1156502330770466</v>
      </c>
      <c r="Q261" s="62">
        <f t="shared" ref="Q261:Q324" si="51">K261-O261</f>
        <v>-3.4503228317371182E-2</v>
      </c>
      <c r="R261" s="63">
        <f t="shared" ref="R261:R324" si="52">IF(J261=0,"",P261/ABS(J261))</f>
        <v>0.93621741541874648</v>
      </c>
      <c r="S261" s="63">
        <f t="shared" ref="S261:S324" si="53">IF(J261=0,"",Q261/ABS(J261))</f>
        <v>-2.8953987801176168E-2</v>
      </c>
      <c r="T261" s="63">
        <f t="shared" ref="T261:T324" si="54">R261+S261</f>
        <v>0.90726342761757028</v>
      </c>
    </row>
    <row r="262" spans="1:20" x14ac:dyDescent="0.3">
      <c r="A262" s="18" t="s">
        <v>109</v>
      </c>
      <c r="B262" s="18" t="s">
        <v>110</v>
      </c>
      <c r="C262" s="18" t="s">
        <v>46</v>
      </c>
      <c r="D262" s="18" t="s">
        <v>43</v>
      </c>
      <c r="E262" s="61">
        <v>2018</v>
      </c>
      <c r="F262" s="62">
        <v>3491000000</v>
      </c>
      <c r="G262" s="62">
        <v>3608000000</v>
      </c>
      <c r="H262" s="62">
        <v>1535988000</v>
      </c>
      <c r="I262" s="62">
        <v>1548439000</v>
      </c>
      <c r="J262" s="62">
        <f t="shared" si="44"/>
        <v>2.2728042146162601</v>
      </c>
      <c r="K262" s="62">
        <f t="shared" si="45"/>
        <v>2.3300885601563897</v>
      </c>
      <c r="L262" s="63">
        <f t="shared" si="46"/>
        <v>3.3514752219994268E-2</v>
      </c>
      <c r="M262" s="63">
        <f t="shared" si="47"/>
        <v>8.1061831212223007E-3</v>
      </c>
      <c r="N262" s="63">
        <f t="shared" si="48"/>
        <v>2.5204258761813935E-2</v>
      </c>
      <c r="O262" s="62">
        <f t="shared" si="49"/>
        <v>2.3489766847136826</v>
      </c>
      <c r="P262" s="62">
        <f t="shared" si="50"/>
        <v>7.6172470097422451E-2</v>
      </c>
      <c r="Q262" s="62">
        <f t="shared" si="51"/>
        <v>-1.888812455729294E-2</v>
      </c>
      <c r="R262" s="63">
        <f t="shared" si="52"/>
        <v>3.3514752219994184E-2</v>
      </c>
      <c r="S262" s="63">
        <f t="shared" si="53"/>
        <v>-8.3104934581802545E-3</v>
      </c>
      <c r="T262" s="63">
        <f t="shared" si="54"/>
        <v>2.5204258761813932E-2</v>
      </c>
    </row>
    <row r="263" spans="1:20" x14ac:dyDescent="0.3">
      <c r="A263" s="18" t="s">
        <v>109</v>
      </c>
      <c r="B263" s="18" t="s">
        <v>110</v>
      </c>
      <c r="C263" s="18" t="s">
        <v>46</v>
      </c>
      <c r="D263" s="18" t="s">
        <v>43</v>
      </c>
      <c r="E263" s="61">
        <v>2019</v>
      </c>
      <c r="F263" s="62">
        <v>3608000000</v>
      </c>
      <c r="G263" s="62">
        <v>6622000000</v>
      </c>
      <c r="H263" s="62">
        <v>1548439000</v>
      </c>
      <c r="I263" s="62">
        <v>1564114000</v>
      </c>
      <c r="J263" s="62">
        <f t="shared" si="44"/>
        <v>2.3300885601563897</v>
      </c>
      <c r="K263" s="62">
        <f t="shared" si="45"/>
        <v>4.2337067502752355</v>
      </c>
      <c r="L263" s="63">
        <f t="shared" si="46"/>
        <v>0.83536585365853655</v>
      </c>
      <c r="M263" s="63">
        <f t="shared" si="47"/>
        <v>1.0123098165313583E-2</v>
      </c>
      <c r="N263" s="63">
        <f t="shared" si="48"/>
        <v>0.8169724630513957</v>
      </c>
      <c r="O263" s="62">
        <f t="shared" si="49"/>
        <v>4.2765649793114227</v>
      </c>
      <c r="P263" s="62">
        <f t="shared" si="50"/>
        <v>1.946476419155033</v>
      </c>
      <c r="Q263" s="62">
        <f t="shared" si="51"/>
        <v>-4.285822903618719E-2</v>
      </c>
      <c r="R263" s="63">
        <f t="shared" si="52"/>
        <v>0.83536585365853666</v>
      </c>
      <c r="S263" s="63">
        <f t="shared" si="53"/>
        <v>-1.8393390607140982E-2</v>
      </c>
      <c r="T263" s="63">
        <f t="shared" si="54"/>
        <v>0.8169724630513957</v>
      </c>
    </row>
    <row r="264" spans="1:20" x14ac:dyDescent="0.3">
      <c r="A264" s="18" t="s">
        <v>109</v>
      </c>
      <c r="B264" s="18" t="s">
        <v>110</v>
      </c>
      <c r="C264" s="18" t="s">
        <v>46</v>
      </c>
      <c r="D264" s="18" t="s">
        <v>43</v>
      </c>
      <c r="E264" s="61">
        <v>2020</v>
      </c>
      <c r="F264" s="62">
        <v>6622000000</v>
      </c>
      <c r="G264" s="62">
        <v>29000000</v>
      </c>
      <c r="H264" s="62">
        <v>1564114000</v>
      </c>
      <c r="I264" s="62">
        <v>1544002000</v>
      </c>
      <c r="J264" s="62">
        <f t="shared" si="44"/>
        <v>4.2337067502752355</v>
      </c>
      <c r="K264" s="62">
        <f t="shared" si="45"/>
        <v>1.8782359090208433E-2</v>
      </c>
      <c r="L264" s="63">
        <f t="shared" si="46"/>
        <v>-0.99562065841135605</v>
      </c>
      <c r="M264" s="63">
        <f t="shared" si="47"/>
        <v>-1.2858397789419442E-2</v>
      </c>
      <c r="N264" s="63">
        <f t="shared" si="48"/>
        <v>-0.99556361359015078</v>
      </c>
      <c r="O264" s="62">
        <f t="shared" si="49"/>
        <v>1.8540848045602815E-2</v>
      </c>
      <c r="P264" s="62">
        <f t="shared" si="50"/>
        <v>-4.2151659022296331</v>
      </c>
      <c r="Q264" s="62">
        <f t="shared" si="51"/>
        <v>2.4151104460561762E-4</v>
      </c>
      <c r="R264" s="63">
        <f t="shared" si="52"/>
        <v>-0.99562065841135616</v>
      </c>
      <c r="S264" s="63">
        <f t="shared" si="53"/>
        <v>5.7044821205416946E-5</v>
      </c>
      <c r="T264" s="63">
        <f t="shared" si="54"/>
        <v>-0.99556361359015078</v>
      </c>
    </row>
    <row r="265" spans="1:20" x14ac:dyDescent="0.3">
      <c r="A265" s="18" t="s">
        <v>109</v>
      </c>
      <c r="B265" s="18" t="s">
        <v>110</v>
      </c>
      <c r="C265" s="18" t="s">
        <v>46</v>
      </c>
      <c r="D265" s="18" t="s">
        <v>43</v>
      </c>
      <c r="E265" s="61">
        <v>2021</v>
      </c>
      <c r="F265" s="62">
        <v>29000000</v>
      </c>
      <c r="G265" s="62">
        <v>14200000000</v>
      </c>
      <c r="H265" s="62">
        <v>1544002000</v>
      </c>
      <c r="I265" s="62">
        <v>3059284000</v>
      </c>
      <c r="J265" s="62">
        <f t="shared" si="44"/>
        <v>1.8782359090208433E-2</v>
      </c>
      <c r="K265" s="62">
        <f t="shared" si="45"/>
        <v>4.6416089516370498</v>
      </c>
      <c r="L265" s="63">
        <f t="shared" si="46"/>
        <v>488.65517241379308</v>
      </c>
      <c r="M265" s="63">
        <f t="shared" si="47"/>
        <v>0.98139898782514534</v>
      </c>
      <c r="N265" s="63">
        <f t="shared" si="48"/>
        <v>246.12598291536236</v>
      </c>
      <c r="O265" s="62">
        <f t="shared" si="49"/>
        <v>9.1968792786537836</v>
      </c>
      <c r="P265" s="62">
        <f t="shared" si="50"/>
        <v>9.1780969195635755</v>
      </c>
      <c r="Q265" s="62">
        <f t="shared" si="51"/>
        <v>-4.5552703270167338</v>
      </c>
      <c r="R265" s="63">
        <f t="shared" si="52"/>
        <v>488.65517241379308</v>
      </c>
      <c r="S265" s="63">
        <f t="shared" si="53"/>
        <v>-242.52918949843072</v>
      </c>
      <c r="T265" s="63">
        <f t="shared" si="54"/>
        <v>246.12598291536236</v>
      </c>
    </row>
    <row r="266" spans="1:20" x14ac:dyDescent="0.3">
      <c r="A266" s="18" t="s">
        <v>109</v>
      </c>
      <c r="B266" s="18" t="s">
        <v>110</v>
      </c>
      <c r="C266" s="18" t="s">
        <v>46</v>
      </c>
      <c r="D266" s="18" t="s">
        <v>43</v>
      </c>
      <c r="E266" s="61">
        <v>2022</v>
      </c>
      <c r="F266" s="62">
        <v>14200000000</v>
      </c>
      <c r="G266" s="62">
        <v>16799000000</v>
      </c>
      <c r="H266" s="62">
        <v>3059284000</v>
      </c>
      <c r="I266" s="62">
        <v>3140089000</v>
      </c>
      <c r="J266" s="62">
        <f t="shared" si="44"/>
        <v>4.6416089516370498</v>
      </c>
      <c r="K266" s="62">
        <f t="shared" si="45"/>
        <v>5.3498483641705699</v>
      </c>
      <c r="L266" s="63">
        <f t="shared" si="46"/>
        <v>0.1830281690140845</v>
      </c>
      <c r="M266" s="63">
        <f t="shared" si="47"/>
        <v>2.6413043051903649E-2</v>
      </c>
      <c r="N266" s="63">
        <f t="shared" si="48"/>
        <v>0.15258489457276039</v>
      </c>
      <c r="O266" s="62">
        <f t="shared" si="49"/>
        <v>5.4911541393345633</v>
      </c>
      <c r="P266" s="62">
        <f t="shared" si="50"/>
        <v>0.84954518769751353</v>
      </c>
      <c r="Q266" s="62">
        <f t="shared" si="51"/>
        <v>-0.14130577516399345</v>
      </c>
      <c r="R266" s="63">
        <f t="shared" si="52"/>
        <v>0.1830281690140845</v>
      </c>
      <c r="S266" s="63">
        <f t="shared" si="53"/>
        <v>-3.0443274441324122E-2</v>
      </c>
      <c r="T266" s="63">
        <f t="shared" si="54"/>
        <v>0.15258489457276037</v>
      </c>
    </row>
    <row r="267" spans="1:20" x14ac:dyDescent="0.3">
      <c r="A267" s="18" t="s">
        <v>109</v>
      </c>
      <c r="B267" s="18" t="s">
        <v>110</v>
      </c>
      <c r="C267" s="18" t="s">
        <v>46</v>
      </c>
      <c r="D267" s="18" t="s">
        <v>43</v>
      </c>
      <c r="E267" s="61">
        <v>2023</v>
      </c>
      <c r="F267" s="62">
        <v>16799000000</v>
      </c>
      <c r="G267" s="62">
        <v>18596000000</v>
      </c>
      <c r="H267" s="62">
        <v>3140089000</v>
      </c>
      <c r="I267" s="62">
        <v>3107725000</v>
      </c>
      <c r="J267" s="62">
        <f t="shared" si="44"/>
        <v>5.3498483641705699</v>
      </c>
      <c r="K267" s="62">
        <f t="shared" si="45"/>
        <v>5.9837984377639595</v>
      </c>
      <c r="L267" s="63">
        <f t="shared" si="46"/>
        <v>0.10697065301506042</v>
      </c>
      <c r="M267" s="63">
        <f t="shared" si="47"/>
        <v>-1.0306714236443616E-2</v>
      </c>
      <c r="N267" s="63">
        <f t="shared" si="48"/>
        <v>0.11849869948448082</v>
      </c>
      <c r="O267" s="62">
        <f t="shared" si="49"/>
        <v>5.9221251372174484</v>
      </c>
      <c r="P267" s="62">
        <f t="shared" si="50"/>
        <v>0.57227677304687852</v>
      </c>
      <c r="Q267" s="62">
        <f t="shared" si="51"/>
        <v>6.1673300546511101E-2</v>
      </c>
      <c r="R267" s="63">
        <f t="shared" si="52"/>
        <v>0.1069706530150604</v>
      </c>
      <c r="S267" s="63">
        <f t="shared" si="53"/>
        <v>1.1528046469420411E-2</v>
      </c>
      <c r="T267" s="63">
        <f t="shared" si="54"/>
        <v>0.1184986994844808</v>
      </c>
    </row>
    <row r="268" spans="1:20" x14ac:dyDescent="0.3">
      <c r="A268" s="18" t="s">
        <v>109</v>
      </c>
      <c r="B268" s="18" t="s">
        <v>110</v>
      </c>
      <c r="C268" s="18" t="s">
        <v>46</v>
      </c>
      <c r="D268" s="18" t="s">
        <v>43</v>
      </c>
      <c r="E268" s="61">
        <v>2024</v>
      </c>
      <c r="F268" s="62">
        <v>18596000000</v>
      </c>
      <c r="G268" s="62">
        <v>5473000000</v>
      </c>
      <c r="H268" s="62">
        <v>3107725000</v>
      </c>
      <c r="I268" s="62">
        <v>2949652000</v>
      </c>
      <c r="J268" s="62">
        <f t="shared" si="44"/>
        <v>5.9837984377639595</v>
      </c>
      <c r="K268" s="62">
        <f t="shared" si="45"/>
        <v>1.8554731202189276</v>
      </c>
      <c r="L268" s="63">
        <f t="shared" si="46"/>
        <v>-0.7056893955689395</v>
      </c>
      <c r="M268" s="63">
        <f t="shared" si="47"/>
        <v>-5.0864539172545832E-2</v>
      </c>
      <c r="N268" s="63">
        <f t="shared" si="48"/>
        <v>-0.68991717560053967</v>
      </c>
      <c r="O268" s="62">
        <f t="shared" si="49"/>
        <v>1.761095335011946</v>
      </c>
      <c r="P268" s="62">
        <f t="shared" si="50"/>
        <v>-4.2227031027520132</v>
      </c>
      <c r="Q268" s="62">
        <f t="shared" si="51"/>
        <v>9.437778520698159E-2</v>
      </c>
      <c r="R268" s="63">
        <f t="shared" si="52"/>
        <v>-0.7056893955689395</v>
      </c>
      <c r="S268" s="63">
        <f t="shared" si="53"/>
        <v>1.5772219968400024E-2</v>
      </c>
      <c r="T268" s="63">
        <f t="shared" si="54"/>
        <v>-0.68991717560053945</v>
      </c>
    </row>
    <row r="269" spans="1:20" x14ac:dyDescent="0.3">
      <c r="A269" s="18" t="s">
        <v>111</v>
      </c>
      <c r="B269" s="18" t="s">
        <v>112</v>
      </c>
      <c r="C269" s="18" t="s">
        <v>46</v>
      </c>
      <c r="D269" s="18" t="s">
        <v>43</v>
      </c>
      <c r="E269" s="61">
        <v>2016</v>
      </c>
      <c r="F269" s="62">
        <v>175000000</v>
      </c>
      <c r="G269" s="62">
        <v>121000000</v>
      </c>
      <c r="H269" s="62">
        <v>876510959</v>
      </c>
      <c r="I269" s="62">
        <v>881246870</v>
      </c>
      <c r="J269" s="62">
        <f t="shared" si="44"/>
        <v>0.19965523328955889</v>
      </c>
      <c r="K269" s="62">
        <f t="shared" si="45"/>
        <v>0.13730545221681184</v>
      </c>
      <c r="L269" s="63">
        <f t="shared" si="46"/>
        <v>-0.30857142857142855</v>
      </c>
      <c r="M269" s="63">
        <f t="shared" si="47"/>
        <v>5.4031395173919326E-3</v>
      </c>
      <c r="N269" s="63">
        <f t="shared" si="48"/>
        <v>-0.31228723658007757</v>
      </c>
      <c r="O269" s="62">
        <f t="shared" si="49"/>
        <v>0.13804733273163788</v>
      </c>
      <c r="P269" s="62">
        <f t="shared" si="50"/>
        <v>-6.1607900557921008E-2</v>
      </c>
      <c r="Q269" s="62">
        <f t="shared" si="51"/>
        <v>-7.4188051482604322E-4</v>
      </c>
      <c r="R269" s="63">
        <f t="shared" si="52"/>
        <v>-0.30857142857142844</v>
      </c>
      <c r="S269" s="63">
        <f t="shared" si="53"/>
        <v>-3.7158080086490794E-3</v>
      </c>
      <c r="T269" s="63">
        <f t="shared" si="54"/>
        <v>-0.31228723658007751</v>
      </c>
    </row>
    <row r="270" spans="1:20" x14ac:dyDescent="0.3">
      <c r="A270" s="18" t="s">
        <v>111</v>
      </c>
      <c r="B270" s="18" t="s">
        <v>112</v>
      </c>
      <c r="C270" s="18" t="s">
        <v>46</v>
      </c>
      <c r="D270" s="18" t="s">
        <v>43</v>
      </c>
      <c r="E270" s="61">
        <v>2017</v>
      </c>
      <c r="F270" s="62">
        <v>121000000</v>
      </c>
      <c r="G270" s="62">
        <v>218000000</v>
      </c>
      <c r="H270" s="62">
        <v>881246870</v>
      </c>
      <c r="I270" s="62">
        <v>884707764</v>
      </c>
      <c r="J270" s="62">
        <f t="shared" si="44"/>
        <v>0.13730545221681184</v>
      </c>
      <c r="K270" s="62">
        <f t="shared" si="45"/>
        <v>0.24640905039011277</v>
      </c>
      <c r="L270" s="63">
        <f t="shared" si="46"/>
        <v>0.80165289256198347</v>
      </c>
      <c r="M270" s="63">
        <f t="shared" si="47"/>
        <v>3.9272695516070315E-3</v>
      </c>
      <c r="N270" s="63">
        <f t="shared" si="48"/>
        <v>0.79460499500792692</v>
      </c>
      <c r="O270" s="62">
        <f t="shared" si="49"/>
        <v>0.24737676515095028</v>
      </c>
      <c r="P270" s="62">
        <f t="shared" si="50"/>
        <v>0.11007131293413844</v>
      </c>
      <c r="Q270" s="62">
        <f t="shared" si="51"/>
        <v>-9.6771476083751251E-4</v>
      </c>
      <c r="R270" s="63">
        <f t="shared" si="52"/>
        <v>0.80165289256198358</v>
      </c>
      <c r="S270" s="63">
        <f t="shared" si="53"/>
        <v>-7.0478975540566651E-3</v>
      </c>
      <c r="T270" s="63">
        <f t="shared" si="54"/>
        <v>0.79460499500792692</v>
      </c>
    </row>
    <row r="271" spans="1:20" x14ac:dyDescent="0.3">
      <c r="A271" s="18" t="s">
        <v>111</v>
      </c>
      <c r="B271" s="18" t="s">
        <v>112</v>
      </c>
      <c r="C271" s="18" t="s">
        <v>46</v>
      </c>
      <c r="D271" s="18" t="s">
        <v>43</v>
      </c>
      <c r="E271" s="61">
        <v>2018</v>
      </c>
      <c r="F271" s="62">
        <v>218000000</v>
      </c>
      <c r="G271" s="62">
        <v>1629000000</v>
      </c>
      <c r="H271" s="62">
        <v>884707764</v>
      </c>
      <c r="I271" s="62">
        <v>899363170</v>
      </c>
      <c r="J271" s="62">
        <f t="shared" si="44"/>
        <v>0.24640905039011277</v>
      </c>
      <c r="K271" s="62">
        <f t="shared" si="45"/>
        <v>1.8112816427650689</v>
      </c>
      <c r="L271" s="63">
        <f t="shared" si="46"/>
        <v>6.4724770642201834</v>
      </c>
      <c r="M271" s="63">
        <f t="shared" si="47"/>
        <v>1.656525080523652E-2</v>
      </c>
      <c r="N271" s="63">
        <f t="shared" si="48"/>
        <v>6.3507106979125272</v>
      </c>
      <c r="O271" s="62">
        <f t="shared" si="49"/>
        <v>1.8412859774563932</v>
      </c>
      <c r="P271" s="62">
        <f t="shared" si="50"/>
        <v>1.5948769270662804</v>
      </c>
      <c r="Q271" s="62">
        <f t="shared" si="51"/>
        <v>-3.0004334691324352E-2</v>
      </c>
      <c r="R271" s="63">
        <f t="shared" si="52"/>
        <v>6.4724770642201834</v>
      </c>
      <c r="S271" s="63">
        <f t="shared" si="53"/>
        <v>-0.12176636630765687</v>
      </c>
      <c r="T271" s="63">
        <f t="shared" si="54"/>
        <v>6.3507106979125263</v>
      </c>
    </row>
    <row r="272" spans="1:20" x14ac:dyDescent="0.3">
      <c r="A272" s="18" t="s">
        <v>111</v>
      </c>
      <c r="B272" s="18" t="s">
        <v>112</v>
      </c>
      <c r="C272" s="18" t="s">
        <v>46</v>
      </c>
      <c r="D272" s="18" t="s">
        <v>43</v>
      </c>
      <c r="E272" s="61">
        <v>2019</v>
      </c>
      <c r="F272" s="62">
        <v>1629000000</v>
      </c>
      <c r="G272" s="62">
        <v>1032000000</v>
      </c>
      <c r="H272" s="62">
        <v>899363170</v>
      </c>
      <c r="I272" s="62">
        <v>897391304</v>
      </c>
      <c r="J272" s="62">
        <f t="shared" si="44"/>
        <v>1.8112816427650689</v>
      </c>
      <c r="K272" s="62">
        <f t="shared" si="45"/>
        <v>1.1500000004457365</v>
      </c>
      <c r="L272" s="63">
        <f t="shared" si="46"/>
        <v>-0.36648250460405157</v>
      </c>
      <c r="M272" s="63">
        <f t="shared" si="47"/>
        <v>-2.1925136204988247E-3</v>
      </c>
      <c r="N272" s="63">
        <f t="shared" si="48"/>
        <v>-0.36509045678276303</v>
      </c>
      <c r="O272" s="62">
        <f t="shared" si="49"/>
        <v>1.1474786097811855</v>
      </c>
      <c r="P272" s="62">
        <f t="shared" si="50"/>
        <v>-0.66380303298388332</v>
      </c>
      <c r="Q272" s="62">
        <f t="shared" si="51"/>
        <v>2.5213906645509265E-3</v>
      </c>
      <c r="R272" s="63">
        <f t="shared" si="52"/>
        <v>-0.36648250460405152</v>
      </c>
      <c r="S272" s="63">
        <f t="shared" si="53"/>
        <v>1.3920478212884765E-3</v>
      </c>
      <c r="T272" s="63">
        <f t="shared" si="54"/>
        <v>-0.36509045678276303</v>
      </c>
    </row>
    <row r="273" spans="1:20" x14ac:dyDescent="0.3">
      <c r="A273" s="18" t="s">
        <v>111</v>
      </c>
      <c r="B273" s="18" t="s">
        <v>112</v>
      </c>
      <c r="C273" s="18" t="s">
        <v>46</v>
      </c>
      <c r="D273" s="18" t="s">
        <v>43</v>
      </c>
      <c r="E273" s="61">
        <v>2020</v>
      </c>
      <c r="F273" s="62">
        <v>1032000000</v>
      </c>
      <c r="G273" s="62">
        <v>1106000000</v>
      </c>
      <c r="H273" s="62">
        <v>897391304</v>
      </c>
      <c r="I273" s="62">
        <v>894578477</v>
      </c>
      <c r="J273" s="62">
        <f t="shared" si="44"/>
        <v>1.1500000004457365</v>
      </c>
      <c r="K273" s="62">
        <f t="shared" si="45"/>
        <v>1.2363364740330098</v>
      </c>
      <c r="L273" s="63">
        <f t="shared" si="46"/>
        <v>7.170542635658915E-2</v>
      </c>
      <c r="M273" s="63">
        <f t="shared" si="47"/>
        <v>-3.1344486930753677E-3</v>
      </c>
      <c r="N273" s="63">
        <f t="shared" si="48"/>
        <v>7.5075194394617059E-2</v>
      </c>
      <c r="O273" s="62">
        <f t="shared" si="49"/>
        <v>1.2324612407877757</v>
      </c>
      <c r="P273" s="62">
        <f t="shared" si="50"/>
        <v>8.2461240342039277E-2</v>
      </c>
      <c r="Q273" s="62">
        <f t="shared" si="51"/>
        <v>3.8752332452340887E-3</v>
      </c>
      <c r="R273" s="63">
        <f t="shared" si="52"/>
        <v>7.1705426356589178E-2</v>
      </c>
      <c r="S273" s="63">
        <f t="shared" si="53"/>
        <v>3.3697680380278786E-3</v>
      </c>
      <c r="T273" s="63">
        <f t="shared" si="54"/>
        <v>7.5075194394617059E-2</v>
      </c>
    </row>
    <row r="274" spans="1:20" x14ac:dyDescent="0.3">
      <c r="A274" s="18" t="s">
        <v>111</v>
      </c>
      <c r="B274" s="18" t="s">
        <v>112</v>
      </c>
      <c r="C274" s="18" t="s">
        <v>46</v>
      </c>
      <c r="D274" s="18" t="s">
        <v>43</v>
      </c>
      <c r="E274" s="61">
        <v>2021</v>
      </c>
      <c r="F274" s="62">
        <v>1106000000</v>
      </c>
      <c r="G274" s="62">
        <v>2000000000</v>
      </c>
      <c r="H274" s="62">
        <v>894578477</v>
      </c>
      <c r="I274" s="62">
        <v>904977376</v>
      </c>
      <c r="J274" s="62">
        <f t="shared" si="44"/>
        <v>1.2363364740330098</v>
      </c>
      <c r="K274" s="62">
        <f t="shared" si="45"/>
        <v>2.2099999989392001</v>
      </c>
      <c r="L274" s="63">
        <f t="shared" si="46"/>
        <v>0.80831826401446649</v>
      </c>
      <c r="M274" s="63">
        <f t="shared" si="47"/>
        <v>1.1624356350348456E-2</v>
      </c>
      <c r="N274" s="63">
        <f t="shared" si="48"/>
        <v>0.78753927054342787</v>
      </c>
      <c r="O274" s="62">
        <f t="shared" si="49"/>
        <v>2.2356898264611389</v>
      </c>
      <c r="P274" s="62">
        <f t="shared" si="50"/>
        <v>0.99935335242812906</v>
      </c>
      <c r="Q274" s="62">
        <f t="shared" si="51"/>
        <v>-2.5689827521938824E-2</v>
      </c>
      <c r="R274" s="63">
        <f t="shared" si="52"/>
        <v>0.80831826401446649</v>
      </c>
      <c r="S274" s="63">
        <f t="shared" si="53"/>
        <v>-2.0778993471038624E-2</v>
      </c>
      <c r="T274" s="63">
        <f t="shared" si="54"/>
        <v>0.78753927054342787</v>
      </c>
    </row>
    <row r="275" spans="1:20" x14ac:dyDescent="0.3">
      <c r="A275" s="18" t="s">
        <v>111</v>
      </c>
      <c r="B275" s="18" t="s">
        <v>112</v>
      </c>
      <c r="C275" s="18" t="s">
        <v>46</v>
      </c>
      <c r="D275" s="18" t="s">
        <v>43</v>
      </c>
      <c r="E275" s="61">
        <v>2022</v>
      </c>
      <c r="F275" s="62">
        <v>2000000000</v>
      </c>
      <c r="G275" s="62">
        <v>3960000000</v>
      </c>
      <c r="H275" s="62">
        <v>904977376</v>
      </c>
      <c r="I275" s="62">
        <v>905606885</v>
      </c>
      <c r="J275" s="62">
        <f t="shared" si="44"/>
        <v>2.2099999989392001</v>
      </c>
      <c r="K275" s="62">
        <f t="shared" si="45"/>
        <v>4.3727582746900167</v>
      </c>
      <c r="L275" s="63">
        <f t="shared" si="46"/>
        <v>0.98</v>
      </c>
      <c r="M275" s="63">
        <f t="shared" si="47"/>
        <v>6.956074446661084E-4</v>
      </c>
      <c r="N275" s="63">
        <f t="shared" si="48"/>
        <v>0.97862365465562917</v>
      </c>
      <c r="O275" s="62">
        <f t="shared" si="49"/>
        <v>4.375799997899616</v>
      </c>
      <c r="P275" s="62">
        <f t="shared" si="50"/>
        <v>2.165799998960416</v>
      </c>
      <c r="Q275" s="62">
        <f t="shared" si="51"/>
        <v>-3.0417232095993896E-3</v>
      </c>
      <c r="R275" s="63">
        <f t="shared" si="52"/>
        <v>0.98</v>
      </c>
      <c r="S275" s="63">
        <f t="shared" si="53"/>
        <v>-1.3763453443707769E-3</v>
      </c>
      <c r="T275" s="63">
        <f t="shared" si="54"/>
        <v>0.97862365465562917</v>
      </c>
    </row>
    <row r="276" spans="1:20" x14ac:dyDescent="0.3">
      <c r="A276" s="18" t="s">
        <v>111</v>
      </c>
      <c r="B276" s="18" t="s">
        <v>112</v>
      </c>
      <c r="C276" s="18" t="s">
        <v>46</v>
      </c>
      <c r="D276" s="18" t="s">
        <v>43</v>
      </c>
      <c r="E276" s="61">
        <v>2023</v>
      </c>
      <c r="F276" s="62">
        <v>3960000000</v>
      </c>
      <c r="G276" s="62">
        <v>3985000000</v>
      </c>
      <c r="H276" s="62">
        <v>905606885</v>
      </c>
      <c r="I276" s="62">
        <v>909817559</v>
      </c>
      <c r="J276" s="62">
        <f t="shared" si="44"/>
        <v>4.3727582746900167</v>
      </c>
      <c r="K276" s="62">
        <f t="shared" si="45"/>
        <v>4.3799990015360875</v>
      </c>
      <c r="L276" s="63">
        <f t="shared" si="46"/>
        <v>6.313131313131313E-3</v>
      </c>
      <c r="M276" s="63">
        <f t="shared" si="47"/>
        <v>4.6495604988692199E-3</v>
      </c>
      <c r="N276" s="63">
        <f t="shared" si="48"/>
        <v>1.6558717384358714E-3</v>
      </c>
      <c r="O276" s="62">
        <f t="shared" si="49"/>
        <v>4.400364071878716</v>
      </c>
      <c r="P276" s="62">
        <f t="shared" si="50"/>
        <v>2.7605797188699377E-2</v>
      </c>
      <c r="Q276" s="62">
        <f t="shared" si="51"/>
        <v>-2.0365070342628577E-2</v>
      </c>
      <c r="R276" s="63">
        <f t="shared" si="52"/>
        <v>6.3131313131312618E-3</v>
      </c>
      <c r="S276" s="63">
        <f t="shared" si="53"/>
        <v>-4.6572595746953906E-3</v>
      </c>
      <c r="T276" s="63">
        <f t="shared" si="54"/>
        <v>1.6558717384358712E-3</v>
      </c>
    </row>
    <row r="277" spans="1:20" x14ac:dyDescent="0.3">
      <c r="A277" s="18" t="s">
        <v>111</v>
      </c>
      <c r="B277" s="18" t="s">
        <v>112</v>
      </c>
      <c r="C277" s="18" t="s">
        <v>46</v>
      </c>
      <c r="D277" s="18" t="s">
        <v>43</v>
      </c>
      <c r="E277" s="61">
        <v>2024</v>
      </c>
      <c r="F277" s="62">
        <v>3985000000</v>
      </c>
      <c r="G277" s="62">
        <v>1557000000</v>
      </c>
      <c r="H277" s="62">
        <v>909817559</v>
      </c>
      <c r="I277" s="62">
        <v>901210072</v>
      </c>
      <c r="J277" s="62">
        <f t="shared" si="44"/>
        <v>4.3799990015360875</v>
      </c>
      <c r="K277" s="62">
        <f t="shared" si="45"/>
        <v>1.727677095912439</v>
      </c>
      <c r="L277" s="63">
        <f t="shared" si="46"/>
        <v>-0.60928481806775403</v>
      </c>
      <c r="M277" s="63">
        <f t="shared" si="47"/>
        <v>-9.4606736425934378E-3</v>
      </c>
      <c r="N277" s="63">
        <f t="shared" si="48"/>
        <v>-0.60555308453117596</v>
      </c>
      <c r="O277" s="62">
        <f t="shared" si="49"/>
        <v>1.7113321067482277</v>
      </c>
      <c r="P277" s="62">
        <f t="shared" si="50"/>
        <v>-2.6686668947878598</v>
      </c>
      <c r="Q277" s="62">
        <f t="shared" si="51"/>
        <v>1.6344989164211343E-2</v>
      </c>
      <c r="R277" s="63">
        <f t="shared" si="52"/>
        <v>-0.60928481806775414</v>
      </c>
      <c r="S277" s="63">
        <f t="shared" si="53"/>
        <v>3.7317335365782216E-3</v>
      </c>
      <c r="T277" s="63">
        <f t="shared" si="54"/>
        <v>-0.60555308453117596</v>
      </c>
    </row>
    <row r="278" spans="1:20" x14ac:dyDescent="0.3">
      <c r="A278" s="18" t="s">
        <v>113</v>
      </c>
      <c r="B278" s="18" t="s">
        <v>114</v>
      </c>
      <c r="C278" s="18" t="s">
        <v>46</v>
      </c>
      <c r="D278" s="18" t="s">
        <v>43</v>
      </c>
      <c r="E278" s="61">
        <v>2016</v>
      </c>
      <c r="F278" s="62">
        <v>-80162000</v>
      </c>
      <c r="G278" s="62">
        <v>55298000</v>
      </c>
      <c r="H278" s="62">
        <v>1180537000</v>
      </c>
      <c r="I278" s="62">
        <v>1180537000</v>
      </c>
      <c r="J278" s="62">
        <f t="shared" si="44"/>
        <v>-6.7902996687100869E-2</v>
      </c>
      <c r="K278" s="62">
        <f t="shared" si="45"/>
        <v>4.6841395060044706E-2</v>
      </c>
      <c r="L278" s="63">
        <f t="shared" si="46"/>
        <v>1.6898280981013447</v>
      </c>
      <c r="M278" s="63">
        <f t="shared" si="47"/>
        <v>0</v>
      </c>
      <c r="N278" s="63">
        <f t="shared" si="48"/>
        <v>1.6898280981013447</v>
      </c>
      <c r="O278" s="62">
        <f t="shared" si="49"/>
        <v>4.6841395060044706E-2</v>
      </c>
      <c r="P278" s="62">
        <f t="shared" si="50"/>
        <v>0.11474439174714557</v>
      </c>
      <c r="Q278" s="62">
        <f t="shared" si="51"/>
        <v>0</v>
      </c>
      <c r="R278" s="63">
        <f t="shared" si="52"/>
        <v>1.6898280981013447</v>
      </c>
      <c r="S278" s="63">
        <f t="shared" si="53"/>
        <v>0</v>
      </c>
      <c r="T278" s="63">
        <f t="shared" si="54"/>
        <v>1.6898280981013447</v>
      </c>
    </row>
    <row r="279" spans="1:20" x14ac:dyDescent="0.3">
      <c r="A279" s="18" t="s">
        <v>113</v>
      </c>
      <c r="B279" s="18" t="s">
        <v>114</v>
      </c>
      <c r="C279" s="18" t="s">
        <v>46</v>
      </c>
      <c r="D279" s="18" t="s">
        <v>43</v>
      </c>
      <c r="E279" s="61">
        <v>2017</v>
      </c>
      <c r="F279" s="62">
        <v>55298000</v>
      </c>
      <c r="G279" s="62">
        <v>544737000</v>
      </c>
      <c r="H279" s="62">
        <v>1180537000</v>
      </c>
      <c r="I279" s="62">
        <v>1180536830</v>
      </c>
      <c r="J279" s="62">
        <f t="shared" si="44"/>
        <v>4.6841395060044706E-2</v>
      </c>
      <c r="K279" s="62">
        <f t="shared" si="45"/>
        <v>0.46143160141814465</v>
      </c>
      <c r="L279" s="63">
        <f t="shared" si="46"/>
        <v>8.8509349343556725</v>
      </c>
      <c r="M279" s="63">
        <f t="shared" si="47"/>
        <v>-1.4400226337675144E-7</v>
      </c>
      <c r="N279" s="63">
        <f t="shared" si="48"/>
        <v>8.8509363529128038</v>
      </c>
      <c r="O279" s="62">
        <f t="shared" si="49"/>
        <v>0.46143153497094969</v>
      </c>
      <c r="P279" s="62">
        <f t="shared" si="50"/>
        <v>0.41459013991090499</v>
      </c>
      <c r="Q279" s="62">
        <f t="shared" si="51"/>
        <v>6.6447194968510814E-8</v>
      </c>
      <c r="R279" s="63">
        <f t="shared" si="52"/>
        <v>8.8509349343556742</v>
      </c>
      <c r="S279" s="63">
        <f t="shared" si="53"/>
        <v>1.4185571305750816E-6</v>
      </c>
      <c r="T279" s="63">
        <f t="shared" si="54"/>
        <v>8.8509363529128056</v>
      </c>
    </row>
    <row r="280" spans="1:20" x14ac:dyDescent="0.3">
      <c r="A280" s="18" t="s">
        <v>113</v>
      </c>
      <c r="B280" s="18" t="s">
        <v>114</v>
      </c>
      <c r="C280" s="18" t="s">
        <v>46</v>
      </c>
      <c r="D280" s="18" t="s">
        <v>43</v>
      </c>
      <c r="E280" s="61">
        <v>2018</v>
      </c>
      <c r="F280" s="62">
        <v>544737000</v>
      </c>
      <c r="G280" s="62">
        <v>876063000</v>
      </c>
      <c r="H280" s="62">
        <v>1180536830</v>
      </c>
      <c r="I280" s="62">
        <v>1180537000</v>
      </c>
      <c r="J280" s="62">
        <f t="shared" si="44"/>
        <v>0.46143160141814465</v>
      </c>
      <c r="K280" s="62">
        <f t="shared" si="45"/>
        <v>0.74208855800368811</v>
      </c>
      <c r="L280" s="63">
        <f t="shared" si="46"/>
        <v>0.60823112804894841</v>
      </c>
      <c r="M280" s="63">
        <f t="shared" si="47"/>
        <v>1.4400228411340627E-7</v>
      </c>
      <c r="N280" s="63">
        <f t="shared" si="48"/>
        <v>0.60823089646002582</v>
      </c>
      <c r="O280" s="62">
        <f t="shared" si="49"/>
        <v>0.74208866486613556</v>
      </c>
      <c r="P280" s="62">
        <f t="shared" si="50"/>
        <v>0.28065706344799091</v>
      </c>
      <c r="Q280" s="62">
        <f t="shared" si="51"/>
        <v>-1.0686244744650963E-7</v>
      </c>
      <c r="R280" s="63">
        <f t="shared" si="52"/>
        <v>0.60823112804894852</v>
      </c>
      <c r="S280" s="63">
        <f t="shared" si="53"/>
        <v>-2.3158892264440285E-7</v>
      </c>
      <c r="T280" s="63">
        <f t="shared" si="54"/>
        <v>0.60823089646002593</v>
      </c>
    </row>
    <row r="281" spans="1:20" x14ac:dyDescent="0.3">
      <c r="A281" s="18" t="s">
        <v>113</v>
      </c>
      <c r="B281" s="18" t="s">
        <v>114</v>
      </c>
      <c r="C281" s="18" t="s">
        <v>46</v>
      </c>
      <c r="D281" s="18" t="s">
        <v>43</v>
      </c>
      <c r="E281" s="61">
        <v>2019</v>
      </c>
      <c r="F281" s="62">
        <v>876063000</v>
      </c>
      <c r="G281" s="62">
        <v>742686000</v>
      </c>
      <c r="H281" s="62">
        <v>1180537000</v>
      </c>
      <c r="I281" s="62">
        <v>1180536830</v>
      </c>
      <c r="J281" s="62">
        <f t="shared" si="44"/>
        <v>0.74208855800368811</v>
      </c>
      <c r="K281" s="62">
        <f t="shared" si="45"/>
        <v>0.62910870811205444</v>
      </c>
      <c r="L281" s="63">
        <f t="shared" si="46"/>
        <v>-0.15224590012362124</v>
      </c>
      <c r="M281" s="63">
        <f t="shared" si="47"/>
        <v>-1.4400226337675144E-7</v>
      </c>
      <c r="N281" s="63">
        <f t="shared" si="48"/>
        <v>-0.15224577804509443</v>
      </c>
      <c r="O281" s="62">
        <f t="shared" si="49"/>
        <v>0.62910861751897651</v>
      </c>
      <c r="P281" s="62">
        <f t="shared" si="50"/>
        <v>-0.11297994048471161</v>
      </c>
      <c r="Q281" s="62">
        <f t="shared" si="51"/>
        <v>9.0593077928247112E-8</v>
      </c>
      <c r="R281" s="63">
        <f t="shared" si="52"/>
        <v>-0.15224590012362124</v>
      </c>
      <c r="S281" s="63">
        <f t="shared" si="53"/>
        <v>1.2207852681619821E-7</v>
      </c>
      <c r="T281" s="63">
        <f t="shared" si="54"/>
        <v>-0.15224577804509443</v>
      </c>
    </row>
    <row r="282" spans="1:20" x14ac:dyDescent="0.3">
      <c r="A282" s="18" t="s">
        <v>113</v>
      </c>
      <c r="B282" s="18" t="s">
        <v>114</v>
      </c>
      <c r="C282" s="18" t="s">
        <v>46</v>
      </c>
      <c r="D282" s="18" t="s">
        <v>43</v>
      </c>
      <c r="E282" s="61">
        <v>2020</v>
      </c>
      <c r="F282" s="62">
        <v>742686000</v>
      </c>
      <c r="G282" s="62">
        <v>-642417000</v>
      </c>
      <c r="H282" s="62">
        <v>1180536830</v>
      </c>
      <c r="I282" s="62">
        <v>1180537000</v>
      </c>
      <c r="J282" s="62">
        <f t="shared" si="44"/>
        <v>0.62910870811205444</v>
      </c>
      <c r="K282" s="62">
        <f t="shared" si="45"/>
        <v>-0.54417354136295604</v>
      </c>
      <c r="L282" s="63">
        <f t="shared" si="46"/>
        <v>-1.8649913960947158</v>
      </c>
      <c r="M282" s="63">
        <f t="shared" si="47"/>
        <v>1.4400228411340627E-7</v>
      </c>
      <c r="N282" s="63">
        <f t="shared" si="48"/>
        <v>-1.8649912715339967</v>
      </c>
      <c r="O282" s="62">
        <f t="shared" si="49"/>
        <v>-0.54417361972518896</v>
      </c>
      <c r="P282" s="62">
        <f t="shared" si="50"/>
        <v>-1.1732823278372435</v>
      </c>
      <c r="Q282" s="62">
        <f t="shared" si="51"/>
        <v>7.8362232924789055E-8</v>
      </c>
      <c r="R282" s="63">
        <f t="shared" si="52"/>
        <v>-1.864991396094716</v>
      </c>
      <c r="S282" s="63">
        <f t="shared" si="53"/>
        <v>1.2456071886201181E-7</v>
      </c>
      <c r="T282" s="63">
        <f t="shared" si="54"/>
        <v>-1.8649912715339971</v>
      </c>
    </row>
    <row r="283" spans="1:20" x14ac:dyDescent="0.3">
      <c r="A283" s="18" t="s">
        <v>113</v>
      </c>
      <c r="B283" s="18" t="s">
        <v>114</v>
      </c>
      <c r="C283" s="18" t="s">
        <v>46</v>
      </c>
      <c r="D283" s="18" t="s">
        <v>43</v>
      </c>
      <c r="E283" s="61">
        <v>2021</v>
      </c>
      <c r="F283" s="62">
        <v>-642417000</v>
      </c>
      <c r="G283" s="62">
        <v>1100191000</v>
      </c>
      <c r="H283" s="62">
        <v>1180537000</v>
      </c>
      <c r="I283" s="62">
        <v>1180537000</v>
      </c>
      <c r="J283" s="62">
        <f t="shared" si="44"/>
        <v>-0.54417354136295604</v>
      </c>
      <c r="K283" s="62">
        <f t="shared" si="45"/>
        <v>0.93194114203959721</v>
      </c>
      <c r="L283" s="63">
        <f t="shared" si="46"/>
        <v>2.7125807691888602</v>
      </c>
      <c r="M283" s="63">
        <f t="shared" si="47"/>
        <v>0</v>
      </c>
      <c r="N283" s="63">
        <f t="shared" si="48"/>
        <v>2.7125807691888597</v>
      </c>
      <c r="O283" s="62">
        <f t="shared" si="49"/>
        <v>0.93194114203959721</v>
      </c>
      <c r="P283" s="62">
        <f t="shared" si="50"/>
        <v>1.4761146834025531</v>
      </c>
      <c r="Q283" s="62">
        <f t="shared" si="51"/>
        <v>0</v>
      </c>
      <c r="R283" s="63">
        <f t="shared" si="52"/>
        <v>2.7125807691888597</v>
      </c>
      <c r="S283" s="63">
        <f t="shared" si="53"/>
        <v>0</v>
      </c>
      <c r="T283" s="63">
        <f t="shared" si="54"/>
        <v>2.7125807691888597</v>
      </c>
    </row>
    <row r="284" spans="1:20" x14ac:dyDescent="0.3">
      <c r="A284" s="18" t="s">
        <v>113</v>
      </c>
      <c r="B284" s="18" t="s">
        <v>114</v>
      </c>
      <c r="C284" s="18" t="s">
        <v>46</v>
      </c>
      <c r="D284" s="18" t="s">
        <v>43</v>
      </c>
      <c r="E284" s="61">
        <v>2022</v>
      </c>
      <c r="F284" s="62">
        <v>1100191000</v>
      </c>
      <c r="G284" s="62">
        <v>2553280000</v>
      </c>
      <c r="H284" s="62">
        <v>1180537000</v>
      </c>
      <c r="I284" s="62">
        <v>1180537000</v>
      </c>
      <c r="J284" s="62">
        <f t="shared" si="44"/>
        <v>0.93194114203959721</v>
      </c>
      <c r="K284" s="62">
        <f t="shared" si="45"/>
        <v>2.1628123472623053</v>
      </c>
      <c r="L284" s="63">
        <f t="shared" si="46"/>
        <v>1.3207606679203883</v>
      </c>
      <c r="M284" s="63">
        <f t="shared" si="47"/>
        <v>0</v>
      </c>
      <c r="N284" s="63">
        <f t="shared" si="48"/>
        <v>1.3207606679203887</v>
      </c>
      <c r="O284" s="62">
        <f t="shared" si="49"/>
        <v>2.1628123472623053</v>
      </c>
      <c r="P284" s="62">
        <f t="shared" si="50"/>
        <v>1.2308712052227082</v>
      </c>
      <c r="Q284" s="62">
        <f t="shared" si="51"/>
        <v>0</v>
      </c>
      <c r="R284" s="63">
        <f t="shared" si="52"/>
        <v>1.3207606679203887</v>
      </c>
      <c r="S284" s="63">
        <f t="shared" si="53"/>
        <v>0</v>
      </c>
      <c r="T284" s="63">
        <f t="shared" si="54"/>
        <v>1.3207606679203887</v>
      </c>
    </row>
    <row r="285" spans="1:20" x14ac:dyDescent="0.3">
      <c r="A285" s="18" t="s">
        <v>113</v>
      </c>
      <c r="B285" s="18" t="s">
        <v>114</v>
      </c>
      <c r="C285" s="18" t="s">
        <v>46</v>
      </c>
      <c r="D285" s="18" t="s">
        <v>43</v>
      </c>
      <c r="E285" s="61">
        <v>2023</v>
      </c>
      <c r="F285" s="62">
        <v>2553280000</v>
      </c>
      <c r="G285" s="62">
        <v>3918065000</v>
      </c>
      <c r="H285" s="62">
        <v>1180537000</v>
      </c>
      <c r="I285" s="62">
        <v>1178737751</v>
      </c>
      <c r="J285" s="62">
        <f t="shared" si="44"/>
        <v>2.1628123472623053</v>
      </c>
      <c r="K285" s="62">
        <f t="shared" si="45"/>
        <v>3.3239497052470326</v>
      </c>
      <c r="L285" s="63">
        <f t="shared" si="46"/>
        <v>0.53452226156159921</v>
      </c>
      <c r="M285" s="63">
        <f t="shared" si="47"/>
        <v>-1.5240936963432743E-3</v>
      </c>
      <c r="N285" s="63">
        <f t="shared" si="48"/>
        <v>0.53686458719107033</v>
      </c>
      <c r="O285" s="62">
        <f t="shared" si="49"/>
        <v>3.3188836944543034</v>
      </c>
      <c r="P285" s="62">
        <f t="shared" si="50"/>
        <v>1.1560713471919981</v>
      </c>
      <c r="Q285" s="62">
        <f t="shared" si="51"/>
        <v>5.0660107927291698E-3</v>
      </c>
      <c r="R285" s="63">
        <f t="shared" si="52"/>
        <v>0.5345222615615991</v>
      </c>
      <c r="S285" s="63">
        <f t="shared" si="53"/>
        <v>2.3423256294711568E-3</v>
      </c>
      <c r="T285" s="63">
        <f t="shared" si="54"/>
        <v>0.53686458719107022</v>
      </c>
    </row>
    <row r="286" spans="1:20" x14ac:dyDescent="0.3">
      <c r="A286" s="18" t="s">
        <v>113</v>
      </c>
      <c r="B286" s="18" t="s">
        <v>114</v>
      </c>
      <c r="C286" s="18" t="s">
        <v>46</v>
      </c>
      <c r="D286" s="18" t="s">
        <v>43</v>
      </c>
      <c r="E286" s="61">
        <v>2024</v>
      </c>
      <c r="F286" s="62">
        <v>3918065000</v>
      </c>
      <c r="G286" s="62">
        <v>2036445000</v>
      </c>
      <c r="H286" s="62">
        <v>1178737751</v>
      </c>
      <c r="I286" s="62">
        <v>1125107734</v>
      </c>
      <c r="J286" s="62">
        <f t="shared" si="44"/>
        <v>3.3239497052470326</v>
      </c>
      <c r="K286" s="62">
        <f t="shared" si="45"/>
        <v>1.8100000012976536</v>
      </c>
      <c r="L286" s="63">
        <f t="shared" si="46"/>
        <v>-0.48024216035211259</v>
      </c>
      <c r="M286" s="63">
        <f t="shared" si="47"/>
        <v>-4.5497836100101288E-2</v>
      </c>
      <c r="N286" s="63">
        <f t="shared" si="48"/>
        <v>-0.45546709132196805</v>
      </c>
      <c r="O286" s="62">
        <f t="shared" si="49"/>
        <v>1.7276489178974297</v>
      </c>
      <c r="P286" s="62">
        <f t="shared" si="50"/>
        <v>-1.5963007873496029</v>
      </c>
      <c r="Q286" s="62">
        <f t="shared" si="51"/>
        <v>8.2351083400223901E-2</v>
      </c>
      <c r="R286" s="63">
        <f t="shared" si="52"/>
        <v>-0.48024216035211265</v>
      </c>
      <c r="S286" s="63">
        <f t="shared" si="53"/>
        <v>2.4775069030144561E-2</v>
      </c>
      <c r="T286" s="63">
        <f t="shared" si="54"/>
        <v>-0.45546709132196811</v>
      </c>
    </row>
    <row r="287" spans="1:20" x14ac:dyDescent="0.3">
      <c r="A287" s="18" t="s">
        <v>115</v>
      </c>
      <c r="B287" s="18" t="s">
        <v>116</v>
      </c>
      <c r="C287" s="18" t="s">
        <v>46</v>
      </c>
      <c r="D287" s="18" t="s">
        <v>43</v>
      </c>
      <c r="E287" s="61">
        <v>2016</v>
      </c>
      <c r="F287" s="62">
        <v>595500000</v>
      </c>
      <c r="G287" s="62">
        <v>633100000</v>
      </c>
      <c r="H287" s="62">
        <v>2011824324</v>
      </c>
      <c r="I287" s="62">
        <v>2009841269</v>
      </c>
      <c r="J287" s="62">
        <f t="shared" si="44"/>
        <v>0.29600000004771787</v>
      </c>
      <c r="K287" s="62">
        <f t="shared" si="45"/>
        <v>0.3150000001318512</v>
      </c>
      <c r="L287" s="63">
        <f t="shared" si="46"/>
        <v>6.3140218303946269E-2</v>
      </c>
      <c r="M287" s="63">
        <f t="shared" si="47"/>
        <v>-9.8569988261062503E-4</v>
      </c>
      <c r="N287" s="63">
        <f t="shared" si="48"/>
        <v>6.418918946307553E-2</v>
      </c>
      <c r="O287" s="62">
        <f t="shared" si="49"/>
        <v>0.31468950466869888</v>
      </c>
      <c r="P287" s="62">
        <f t="shared" si="50"/>
        <v>1.8689504620981012E-2</v>
      </c>
      <c r="Q287" s="62">
        <f t="shared" si="51"/>
        <v>3.1049546315231602E-4</v>
      </c>
      <c r="R287" s="63">
        <f t="shared" si="52"/>
        <v>6.3140218303946269E-2</v>
      </c>
      <c r="S287" s="63">
        <f t="shared" si="53"/>
        <v>1.0489711591292613E-3</v>
      </c>
      <c r="T287" s="63">
        <f t="shared" si="54"/>
        <v>6.418918946307553E-2</v>
      </c>
    </row>
    <row r="288" spans="1:20" x14ac:dyDescent="0.3">
      <c r="A288" s="18" t="s">
        <v>115</v>
      </c>
      <c r="B288" s="18" t="s">
        <v>116</v>
      </c>
      <c r="C288" s="18" t="s">
        <v>46</v>
      </c>
      <c r="D288" s="18" t="s">
        <v>43</v>
      </c>
      <c r="E288" s="61">
        <v>2017</v>
      </c>
      <c r="F288" s="62">
        <v>633100000</v>
      </c>
      <c r="G288" s="62">
        <v>688300000</v>
      </c>
      <c r="H288" s="62">
        <v>2009841269</v>
      </c>
      <c r="I288" s="62">
        <v>2012573099</v>
      </c>
      <c r="J288" s="62">
        <f t="shared" si="44"/>
        <v>0.3150000001318512</v>
      </c>
      <c r="K288" s="62">
        <f t="shared" si="45"/>
        <v>0.34200000007055642</v>
      </c>
      <c r="L288" s="63">
        <f t="shared" si="46"/>
        <v>8.7190017374822307E-2</v>
      </c>
      <c r="M288" s="63">
        <f t="shared" si="47"/>
        <v>1.3592267419999923E-3</v>
      </c>
      <c r="N288" s="63">
        <f t="shared" si="48"/>
        <v>8.5714285483821234E-2</v>
      </c>
      <c r="O288" s="62">
        <f t="shared" si="49"/>
        <v>0.34246485561641632</v>
      </c>
      <c r="P288" s="62">
        <f t="shared" si="50"/>
        <v>2.746485548456512E-2</v>
      </c>
      <c r="Q288" s="62">
        <f t="shared" si="51"/>
        <v>-4.6485554585989908E-4</v>
      </c>
      <c r="R288" s="63">
        <f t="shared" si="52"/>
        <v>8.7190017374822265E-2</v>
      </c>
      <c r="S288" s="63">
        <f t="shared" si="53"/>
        <v>-1.4757318910010224E-3</v>
      </c>
      <c r="T288" s="63">
        <f t="shared" si="54"/>
        <v>8.5714285483821248E-2</v>
      </c>
    </row>
    <row r="289" spans="1:20" x14ac:dyDescent="0.3">
      <c r="A289" s="18" t="s">
        <v>115</v>
      </c>
      <c r="B289" s="18" t="s">
        <v>116</v>
      </c>
      <c r="C289" s="18" t="s">
        <v>46</v>
      </c>
      <c r="D289" s="18" t="s">
        <v>43</v>
      </c>
      <c r="E289" s="61">
        <v>2018</v>
      </c>
      <c r="F289" s="62">
        <v>688300000</v>
      </c>
      <c r="G289" s="62">
        <v>706600000</v>
      </c>
      <c r="H289" s="62">
        <v>2012573099</v>
      </c>
      <c r="I289" s="62">
        <v>2007386363</v>
      </c>
      <c r="J289" s="62">
        <f t="shared" si="44"/>
        <v>0.34200000007055642</v>
      </c>
      <c r="K289" s="62">
        <f t="shared" si="45"/>
        <v>0.35200000011158789</v>
      </c>
      <c r="L289" s="63">
        <f t="shared" si="46"/>
        <v>2.658724393433096E-2</v>
      </c>
      <c r="M289" s="63">
        <f t="shared" si="47"/>
        <v>-2.5771665151328748E-3</v>
      </c>
      <c r="N289" s="63">
        <f t="shared" si="48"/>
        <v>2.923976619581407E-2</v>
      </c>
      <c r="O289" s="62">
        <f t="shared" si="49"/>
        <v>0.35109283749797354</v>
      </c>
      <c r="P289" s="62">
        <f t="shared" si="50"/>
        <v>9.092837427417122E-3</v>
      </c>
      <c r="Q289" s="62">
        <f t="shared" si="51"/>
        <v>9.0716261361434292E-4</v>
      </c>
      <c r="R289" s="63">
        <f t="shared" si="52"/>
        <v>2.6587243934331057E-2</v>
      </c>
      <c r="S289" s="63">
        <f t="shared" si="53"/>
        <v>2.6525222614830128E-3</v>
      </c>
      <c r="T289" s="63">
        <f t="shared" si="54"/>
        <v>2.923976619581407E-2</v>
      </c>
    </row>
    <row r="290" spans="1:20" x14ac:dyDescent="0.3">
      <c r="A290" s="18" t="s">
        <v>115</v>
      </c>
      <c r="B290" s="18" t="s">
        <v>116</v>
      </c>
      <c r="C290" s="18" t="s">
        <v>46</v>
      </c>
      <c r="D290" s="18" t="s">
        <v>43</v>
      </c>
      <c r="E290" s="61">
        <v>2019</v>
      </c>
      <c r="F290" s="62">
        <v>706600000</v>
      </c>
      <c r="G290" s="62">
        <v>757300000</v>
      </c>
      <c r="H290" s="62">
        <v>2007386363</v>
      </c>
      <c r="I290" s="62">
        <v>2008753315</v>
      </c>
      <c r="J290" s="62">
        <f t="shared" si="44"/>
        <v>0.35200000011158789</v>
      </c>
      <c r="K290" s="62">
        <f t="shared" si="45"/>
        <v>0.37700000012196622</v>
      </c>
      <c r="L290" s="63">
        <f t="shared" si="46"/>
        <v>7.1752052080384945E-2</v>
      </c>
      <c r="M290" s="63">
        <f t="shared" si="47"/>
        <v>6.8096108711086225E-4</v>
      </c>
      <c r="N290" s="63">
        <f t="shared" si="48"/>
        <v>7.1022727279696177E-2</v>
      </c>
      <c r="O290" s="62">
        <f t="shared" si="49"/>
        <v>0.37725672245189007</v>
      </c>
      <c r="P290" s="62">
        <f t="shared" si="50"/>
        <v>2.5256722340302185E-2</v>
      </c>
      <c r="Q290" s="62">
        <f t="shared" si="51"/>
        <v>-2.5672232992385302E-4</v>
      </c>
      <c r="R290" s="63">
        <f t="shared" si="52"/>
        <v>7.1752052080385015E-2</v>
      </c>
      <c r="S290" s="63">
        <f t="shared" si="53"/>
        <v>-7.29324800688833E-4</v>
      </c>
      <c r="T290" s="63">
        <f t="shared" si="54"/>
        <v>7.1022727279696177E-2</v>
      </c>
    </row>
    <row r="291" spans="1:20" x14ac:dyDescent="0.3">
      <c r="A291" s="18" t="s">
        <v>115</v>
      </c>
      <c r="B291" s="18" t="s">
        <v>116</v>
      </c>
      <c r="C291" s="18" t="s">
        <v>46</v>
      </c>
      <c r="D291" s="18" t="s">
        <v>43</v>
      </c>
      <c r="E291" s="61">
        <v>2020</v>
      </c>
      <c r="F291" s="62">
        <v>757300000</v>
      </c>
      <c r="G291" s="62">
        <v>785500000</v>
      </c>
      <c r="H291" s="62">
        <v>2008753315</v>
      </c>
      <c r="I291" s="62">
        <v>2008951406</v>
      </c>
      <c r="J291" s="62">
        <f t="shared" si="44"/>
        <v>0.37700000012196622</v>
      </c>
      <c r="K291" s="62">
        <f t="shared" si="45"/>
        <v>0.3910000001264341</v>
      </c>
      <c r="L291" s="63">
        <f t="shared" si="46"/>
        <v>3.7237554469827017E-2</v>
      </c>
      <c r="M291" s="63">
        <f t="shared" si="47"/>
        <v>9.86139007317581E-5</v>
      </c>
      <c r="N291" s="63">
        <f t="shared" si="48"/>
        <v>3.7135278514426086E-2</v>
      </c>
      <c r="O291" s="62">
        <f t="shared" si="49"/>
        <v>0.39103855816163269</v>
      </c>
      <c r="P291" s="62">
        <f t="shared" si="50"/>
        <v>1.4038558039666471E-2</v>
      </c>
      <c r="Q291" s="62">
        <f t="shared" si="51"/>
        <v>-3.8558035198588136E-5</v>
      </c>
      <c r="R291" s="63">
        <f t="shared" si="52"/>
        <v>3.723755446982692E-2</v>
      </c>
      <c r="S291" s="63">
        <f t="shared" si="53"/>
        <v>-1.022759554008327E-4</v>
      </c>
      <c r="T291" s="63">
        <f t="shared" si="54"/>
        <v>3.7135278514426086E-2</v>
      </c>
    </row>
    <row r="292" spans="1:20" x14ac:dyDescent="0.3">
      <c r="A292" s="18" t="s">
        <v>115</v>
      </c>
      <c r="B292" s="18" t="s">
        <v>116</v>
      </c>
      <c r="C292" s="18" t="s">
        <v>46</v>
      </c>
      <c r="D292" s="18" t="s">
        <v>43</v>
      </c>
      <c r="E292" s="61">
        <v>2021</v>
      </c>
      <c r="F292" s="62">
        <v>785500000</v>
      </c>
      <c r="G292" s="62">
        <v>789400000</v>
      </c>
      <c r="H292" s="62">
        <v>2008951406</v>
      </c>
      <c r="I292" s="62">
        <v>1976603267</v>
      </c>
      <c r="J292" s="62">
        <f t="shared" si="44"/>
        <v>0.3910000001264341</v>
      </c>
      <c r="K292" s="62">
        <f t="shared" si="45"/>
        <v>0.39937200002614381</v>
      </c>
      <c r="L292" s="63">
        <f t="shared" si="46"/>
        <v>4.964990451941439E-3</v>
      </c>
      <c r="M292" s="63">
        <f t="shared" si="47"/>
        <v>-1.6102001722584226E-2</v>
      </c>
      <c r="N292" s="63">
        <f t="shared" si="48"/>
        <v>2.1411764442461734E-2</v>
      </c>
      <c r="O292" s="62">
        <f t="shared" si="49"/>
        <v>0.39294131139377098</v>
      </c>
      <c r="P292" s="62">
        <f t="shared" si="50"/>
        <v>1.941311267336876E-3</v>
      </c>
      <c r="Q292" s="62">
        <f t="shared" si="51"/>
        <v>6.4306886323728385E-3</v>
      </c>
      <c r="R292" s="63">
        <f t="shared" si="52"/>
        <v>4.9649904519415136E-3</v>
      </c>
      <c r="S292" s="63">
        <f t="shared" si="53"/>
        <v>1.6446773990520219E-2</v>
      </c>
      <c r="T292" s="63">
        <f t="shared" si="54"/>
        <v>2.1411764442461734E-2</v>
      </c>
    </row>
    <row r="293" spans="1:20" x14ac:dyDescent="0.3">
      <c r="A293" s="18" t="s">
        <v>115</v>
      </c>
      <c r="B293" s="18" t="s">
        <v>116</v>
      </c>
      <c r="C293" s="18" t="s">
        <v>46</v>
      </c>
      <c r="D293" s="18" t="s">
        <v>43</v>
      </c>
      <c r="E293" s="61">
        <v>2022</v>
      </c>
      <c r="F293" s="62">
        <v>789400000</v>
      </c>
      <c r="G293" s="62">
        <v>857000000</v>
      </c>
      <c r="H293" s="62">
        <v>1976603267</v>
      </c>
      <c r="I293" s="62">
        <v>1960586940</v>
      </c>
      <c r="J293" s="62">
        <f t="shared" si="44"/>
        <v>0.39937200002614381</v>
      </c>
      <c r="K293" s="62">
        <f t="shared" si="45"/>
        <v>0.43711400015752427</v>
      </c>
      <c r="L293" s="63">
        <f t="shared" si="46"/>
        <v>8.5634659234861923E-2</v>
      </c>
      <c r="M293" s="63">
        <f t="shared" si="47"/>
        <v>-8.1029548353974256E-3</v>
      </c>
      <c r="N293" s="63">
        <f t="shared" si="48"/>
        <v>9.4503370614138646E-2</v>
      </c>
      <c r="O293" s="62">
        <f t="shared" si="49"/>
        <v>0.43357208515632795</v>
      </c>
      <c r="P293" s="62">
        <f t="shared" si="50"/>
        <v>3.4200085130184132E-2</v>
      </c>
      <c r="Q293" s="62">
        <f t="shared" si="51"/>
        <v>3.5419150011963274E-3</v>
      </c>
      <c r="R293" s="63">
        <f t="shared" si="52"/>
        <v>8.5634659234862021E-2</v>
      </c>
      <c r="S293" s="63">
        <f t="shared" si="53"/>
        <v>8.8687113792766288E-3</v>
      </c>
      <c r="T293" s="63">
        <f t="shared" si="54"/>
        <v>9.4503370614138646E-2</v>
      </c>
    </row>
    <row r="294" spans="1:20" x14ac:dyDescent="0.3">
      <c r="A294" s="18" t="s">
        <v>115</v>
      </c>
      <c r="B294" s="18" t="s">
        <v>116</v>
      </c>
      <c r="C294" s="18" t="s">
        <v>46</v>
      </c>
      <c r="D294" s="18" t="s">
        <v>43</v>
      </c>
      <c r="E294" s="61">
        <v>2023</v>
      </c>
      <c r="F294" s="62">
        <v>857000000</v>
      </c>
      <c r="G294" s="62">
        <v>885400000</v>
      </c>
      <c r="H294" s="62">
        <v>1960586940</v>
      </c>
      <c r="I294" s="62">
        <v>2005710736</v>
      </c>
      <c r="J294" s="62">
        <f t="shared" si="44"/>
        <v>0.43711400015752427</v>
      </c>
      <c r="K294" s="62">
        <f t="shared" si="45"/>
        <v>0.44143952769867412</v>
      </c>
      <c r="L294" s="63">
        <f t="shared" si="46"/>
        <v>3.3138856476079344E-2</v>
      </c>
      <c r="M294" s="63">
        <f t="shared" si="47"/>
        <v>2.3015452709278988E-2</v>
      </c>
      <c r="N294" s="63">
        <f t="shared" si="48"/>
        <v>9.8956508819004595E-3</v>
      </c>
      <c r="O294" s="62">
        <f t="shared" si="49"/>
        <v>0.45159945827242937</v>
      </c>
      <c r="P294" s="62">
        <f t="shared" si="50"/>
        <v>1.4485458114905092E-2</v>
      </c>
      <c r="Q294" s="62">
        <f t="shared" si="51"/>
        <v>-1.0159930573755249E-2</v>
      </c>
      <c r="R294" s="63">
        <f t="shared" si="52"/>
        <v>3.3138856476079281E-2</v>
      </c>
      <c r="S294" s="63">
        <f t="shared" si="53"/>
        <v>-2.324320559417882E-2</v>
      </c>
      <c r="T294" s="63">
        <f t="shared" si="54"/>
        <v>9.8956508819004613E-3</v>
      </c>
    </row>
    <row r="295" spans="1:20" x14ac:dyDescent="0.3">
      <c r="A295" s="18" t="s">
        <v>115</v>
      </c>
      <c r="B295" s="18" t="s">
        <v>116</v>
      </c>
      <c r="C295" s="18" t="s">
        <v>46</v>
      </c>
      <c r="D295" s="18" t="s">
        <v>43</v>
      </c>
      <c r="E295" s="61">
        <v>2024</v>
      </c>
      <c r="F295" s="62">
        <v>885400000</v>
      </c>
      <c r="G295" s="62">
        <v>1061900000</v>
      </c>
      <c r="H295" s="62">
        <v>2005710736</v>
      </c>
      <c r="I295" s="62">
        <v>2010032179</v>
      </c>
      <c r="J295" s="62">
        <f t="shared" si="44"/>
        <v>0.44143952769867412</v>
      </c>
      <c r="K295" s="62">
        <f t="shared" si="45"/>
        <v>0.52829999991756349</v>
      </c>
      <c r="L295" s="63">
        <f t="shared" si="46"/>
        <v>0.19934492884571944</v>
      </c>
      <c r="M295" s="63">
        <f t="shared" si="47"/>
        <v>2.1545694114487703E-3</v>
      </c>
      <c r="N295" s="63">
        <f t="shared" si="48"/>
        <v>0.19676641254061006</v>
      </c>
      <c r="O295" s="62">
        <f t="shared" si="49"/>
        <v>0.52943825893745433</v>
      </c>
      <c r="P295" s="62">
        <f t="shared" si="50"/>
        <v>8.7998731238780215E-2</v>
      </c>
      <c r="Q295" s="62">
        <f t="shared" si="51"/>
        <v>-1.1382590198908416E-3</v>
      </c>
      <c r="R295" s="63">
        <f t="shared" si="52"/>
        <v>0.1993449288457195</v>
      </c>
      <c r="S295" s="63">
        <f t="shared" si="53"/>
        <v>-2.5785163051094402E-3</v>
      </c>
      <c r="T295" s="63">
        <f t="shared" si="54"/>
        <v>0.19676641254061006</v>
      </c>
    </row>
    <row r="296" spans="1:20" x14ac:dyDescent="0.3">
      <c r="A296" s="18" t="s">
        <v>117</v>
      </c>
      <c r="B296" s="18" t="s">
        <v>118</v>
      </c>
      <c r="C296" s="18" t="s">
        <v>46</v>
      </c>
      <c r="D296" s="18" t="s">
        <v>43</v>
      </c>
      <c r="E296" s="61">
        <v>2016</v>
      </c>
      <c r="F296" s="62">
        <v>1694240000</v>
      </c>
      <c r="G296" s="62">
        <v>-11790094000</v>
      </c>
      <c r="H296" s="62">
        <v>1682894737</v>
      </c>
      <c r="I296" s="62">
        <v>1682894737</v>
      </c>
      <c r="J296" s="62">
        <f t="shared" si="44"/>
        <v>1.006741516715552</v>
      </c>
      <c r="K296" s="62">
        <f t="shared" si="45"/>
        <v>-7.005841625613213</v>
      </c>
      <c r="L296" s="63">
        <f t="shared" si="46"/>
        <v>-7.9589278968741146</v>
      </c>
      <c r="M296" s="63">
        <f t="shared" si="47"/>
        <v>0</v>
      </c>
      <c r="N296" s="63">
        <f t="shared" si="48"/>
        <v>-7.9589278968741146</v>
      </c>
      <c r="O296" s="62">
        <f t="shared" si="49"/>
        <v>-7.005841625613213</v>
      </c>
      <c r="P296" s="62">
        <f t="shared" si="50"/>
        <v>-8.012583142328765</v>
      </c>
      <c r="Q296" s="62">
        <f t="shared" si="51"/>
        <v>0</v>
      </c>
      <c r="R296" s="63">
        <f t="shared" si="52"/>
        <v>-7.9589278968741146</v>
      </c>
      <c r="S296" s="63">
        <f t="shared" si="53"/>
        <v>0</v>
      </c>
      <c r="T296" s="63">
        <f t="shared" si="54"/>
        <v>-7.9589278968741146</v>
      </c>
    </row>
    <row r="297" spans="1:20" x14ac:dyDescent="0.3">
      <c r="A297" s="18" t="s">
        <v>117</v>
      </c>
      <c r="B297" s="18" t="s">
        <v>118</v>
      </c>
      <c r="C297" s="18" t="s">
        <v>46</v>
      </c>
      <c r="D297" s="18" t="s">
        <v>43</v>
      </c>
      <c r="E297" s="61">
        <v>2017</v>
      </c>
      <c r="F297" s="62">
        <v>-11790094000</v>
      </c>
      <c r="G297" s="62">
        <v>5473075000</v>
      </c>
      <c r="H297" s="62">
        <v>1682894737</v>
      </c>
      <c r="I297" s="62">
        <v>1947449190</v>
      </c>
      <c r="J297" s="62">
        <f t="shared" si="44"/>
        <v>-7.005841625613213</v>
      </c>
      <c r="K297" s="62">
        <f t="shared" si="45"/>
        <v>2.8103814097455349</v>
      </c>
      <c r="L297" s="63">
        <f t="shared" si="46"/>
        <v>1.4642096152922954</v>
      </c>
      <c r="M297" s="63">
        <f t="shared" si="47"/>
        <v>0.15720202053255336</v>
      </c>
      <c r="N297" s="63">
        <f t="shared" si="48"/>
        <v>1.4011482930859924</v>
      </c>
      <c r="O297" s="62">
        <f t="shared" si="49"/>
        <v>3.2521790458246587</v>
      </c>
      <c r="P297" s="62">
        <f t="shared" si="50"/>
        <v>10.258020671437873</v>
      </c>
      <c r="Q297" s="62">
        <f t="shared" si="51"/>
        <v>-0.44179763607912381</v>
      </c>
      <c r="R297" s="63">
        <f t="shared" si="52"/>
        <v>1.4642096152922954</v>
      </c>
      <c r="S297" s="63">
        <f t="shared" si="53"/>
        <v>-6.3061322206302908E-2</v>
      </c>
      <c r="T297" s="63">
        <f t="shared" si="54"/>
        <v>1.4011482930859924</v>
      </c>
    </row>
    <row r="298" spans="1:20" x14ac:dyDescent="0.3">
      <c r="A298" s="18" t="s">
        <v>117</v>
      </c>
      <c r="B298" s="18" t="s">
        <v>118</v>
      </c>
      <c r="C298" s="18" t="s">
        <v>46</v>
      </c>
      <c r="D298" s="18" t="s">
        <v>43</v>
      </c>
      <c r="E298" s="61">
        <v>2018</v>
      </c>
      <c r="F298" s="62">
        <v>5473075000</v>
      </c>
      <c r="G298" s="62">
        <v>4107000000</v>
      </c>
      <c r="H298" s="62">
        <v>1947449190</v>
      </c>
      <c r="I298" s="62">
        <v>2219405841</v>
      </c>
      <c r="J298" s="62">
        <f t="shared" si="44"/>
        <v>2.8103814097455349</v>
      </c>
      <c r="K298" s="62">
        <f t="shared" si="45"/>
        <v>1.850495265052337</v>
      </c>
      <c r="L298" s="63">
        <f t="shared" si="46"/>
        <v>-0.24959917413885246</v>
      </c>
      <c r="M298" s="63">
        <f t="shared" si="47"/>
        <v>0.13964762336110037</v>
      </c>
      <c r="N298" s="63">
        <f t="shared" si="48"/>
        <v>-0.34155013314726934</v>
      </c>
      <c r="O298" s="62">
        <f t="shared" si="49"/>
        <v>2.1089125308578653</v>
      </c>
      <c r="P298" s="62">
        <f t="shared" si="50"/>
        <v>-0.70146887888766951</v>
      </c>
      <c r="Q298" s="62">
        <f t="shared" si="51"/>
        <v>-0.25841726580552837</v>
      </c>
      <c r="R298" s="63">
        <f t="shared" si="52"/>
        <v>-0.24959917413885249</v>
      </c>
      <c r="S298" s="63">
        <f t="shared" si="53"/>
        <v>-9.1950959008416822E-2</v>
      </c>
      <c r="T298" s="63">
        <f t="shared" si="54"/>
        <v>-0.34155013314726934</v>
      </c>
    </row>
    <row r="299" spans="1:20" x14ac:dyDescent="0.3">
      <c r="A299" s="18" t="s">
        <v>117</v>
      </c>
      <c r="B299" s="18" t="s">
        <v>118</v>
      </c>
      <c r="C299" s="18" t="s">
        <v>46</v>
      </c>
      <c r="D299" s="18" t="s">
        <v>43</v>
      </c>
      <c r="E299" s="61">
        <v>2019</v>
      </c>
      <c r="F299" s="62">
        <v>4107000000</v>
      </c>
      <c r="G299" s="62">
        <v>3373000000</v>
      </c>
      <c r="H299" s="62">
        <v>2219405841</v>
      </c>
      <c r="I299" s="62">
        <v>2222881000</v>
      </c>
      <c r="J299" s="62">
        <f t="shared" si="44"/>
        <v>1.850495265052337</v>
      </c>
      <c r="K299" s="62">
        <f t="shared" si="45"/>
        <v>1.5174001667205756</v>
      </c>
      <c r="L299" s="63">
        <f t="shared" si="46"/>
        <v>-0.17871925980034087</v>
      </c>
      <c r="M299" s="63">
        <f t="shared" si="47"/>
        <v>1.5658060079873422E-3</v>
      </c>
      <c r="N299" s="63">
        <f t="shared" si="48"/>
        <v>-0.18000321569174105</v>
      </c>
      <c r="O299" s="62">
        <f t="shared" si="49"/>
        <v>1.5197761210181477</v>
      </c>
      <c r="P299" s="62">
        <f t="shared" si="50"/>
        <v>-0.33071914403418923</v>
      </c>
      <c r="Q299" s="62">
        <f t="shared" si="51"/>
        <v>-2.3759542975720915E-3</v>
      </c>
      <c r="R299" s="63">
        <f t="shared" si="52"/>
        <v>-0.17871925980034087</v>
      </c>
      <c r="S299" s="63">
        <f t="shared" si="53"/>
        <v>-1.2839558914001831E-3</v>
      </c>
      <c r="T299" s="63">
        <f t="shared" si="54"/>
        <v>-0.18000321569174105</v>
      </c>
    </row>
    <row r="300" spans="1:20" x14ac:dyDescent="0.3">
      <c r="A300" s="18" t="s">
        <v>117</v>
      </c>
      <c r="B300" s="18" t="s">
        <v>118</v>
      </c>
      <c r="C300" s="18" t="s">
        <v>46</v>
      </c>
      <c r="D300" s="18" t="s">
        <v>43</v>
      </c>
      <c r="E300" s="61">
        <v>2020</v>
      </c>
      <c r="F300" s="62">
        <v>3373000000</v>
      </c>
      <c r="G300" s="62">
        <v>-2785000000</v>
      </c>
      <c r="H300" s="62">
        <v>2222881000</v>
      </c>
      <c r="I300" s="62">
        <v>2226668543</v>
      </c>
      <c r="J300" s="62">
        <f t="shared" si="44"/>
        <v>1.5174001667205756</v>
      </c>
      <c r="K300" s="62">
        <f t="shared" si="45"/>
        <v>-1.2507474490333248</v>
      </c>
      <c r="L300" s="63">
        <f t="shared" si="46"/>
        <v>-1.8256744737622295</v>
      </c>
      <c r="M300" s="63">
        <f t="shared" si="47"/>
        <v>1.7038892320371626E-3</v>
      </c>
      <c r="N300" s="63">
        <f t="shared" si="48"/>
        <v>-1.8242700089696549</v>
      </c>
      <c r="O300" s="62">
        <f t="shared" si="49"/>
        <v>-1.2528785841437307</v>
      </c>
      <c r="P300" s="62">
        <f t="shared" si="50"/>
        <v>-2.7702787508643061</v>
      </c>
      <c r="Q300" s="62">
        <f t="shared" si="51"/>
        <v>2.1311351104058573E-3</v>
      </c>
      <c r="R300" s="63">
        <f t="shared" si="52"/>
        <v>-1.8256744737622295</v>
      </c>
      <c r="S300" s="63">
        <f t="shared" si="53"/>
        <v>1.4044647925745871E-3</v>
      </c>
      <c r="T300" s="63">
        <f t="shared" si="54"/>
        <v>-1.8242700089696549</v>
      </c>
    </row>
    <row r="301" spans="1:20" x14ac:dyDescent="0.3">
      <c r="A301" s="18" t="s">
        <v>117</v>
      </c>
      <c r="B301" s="18" t="s">
        <v>118</v>
      </c>
      <c r="C301" s="18" t="s">
        <v>46</v>
      </c>
      <c r="D301" s="18" t="s">
        <v>43</v>
      </c>
      <c r="E301" s="61">
        <v>2021</v>
      </c>
      <c r="F301" s="62">
        <v>-2785000000</v>
      </c>
      <c r="G301" s="62">
        <v>2096000000</v>
      </c>
      <c r="H301" s="62">
        <v>2226668543</v>
      </c>
      <c r="I301" s="62">
        <v>2221699000</v>
      </c>
      <c r="J301" s="62">
        <f t="shared" si="44"/>
        <v>-1.2507474490333248</v>
      </c>
      <c r="K301" s="62">
        <f t="shared" si="45"/>
        <v>0.94342212874021192</v>
      </c>
      <c r="L301" s="63">
        <f t="shared" si="46"/>
        <v>1.7526032315978457</v>
      </c>
      <c r="M301" s="63">
        <f t="shared" si="47"/>
        <v>-2.231828807939467E-3</v>
      </c>
      <c r="N301" s="63">
        <f t="shared" si="48"/>
        <v>1.7542866703181061</v>
      </c>
      <c r="O301" s="62">
        <f t="shared" si="49"/>
        <v>0.94131657205524188</v>
      </c>
      <c r="P301" s="62">
        <f t="shared" si="50"/>
        <v>2.1920640210885667</v>
      </c>
      <c r="Q301" s="62">
        <f t="shared" si="51"/>
        <v>2.1055566849700336E-3</v>
      </c>
      <c r="R301" s="63">
        <f t="shared" si="52"/>
        <v>1.7526032315978455</v>
      </c>
      <c r="S301" s="63">
        <f t="shared" si="53"/>
        <v>1.6834387202607306E-3</v>
      </c>
      <c r="T301" s="63">
        <f t="shared" si="54"/>
        <v>1.7542866703181061</v>
      </c>
    </row>
    <row r="302" spans="1:20" x14ac:dyDescent="0.3">
      <c r="A302" s="18" t="s">
        <v>117</v>
      </c>
      <c r="B302" s="18" t="s">
        <v>118</v>
      </c>
      <c r="C302" s="18" t="s">
        <v>46</v>
      </c>
      <c r="D302" s="18" t="s">
        <v>43</v>
      </c>
      <c r="E302" s="61">
        <v>2022</v>
      </c>
      <c r="F302" s="62">
        <v>2096000000</v>
      </c>
      <c r="G302" s="62">
        <v>6458000000</v>
      </c>
      <c r="H302" s="62">
        <v>2221699000</v>
      </c>
      <c r="I302" s="62">
        <v>2069492000</v>
      </c>
      <c r="J302" s="62">
        <f t="shared" si="44"/>
        <v>0.94342212874021192</v>
      </c>
      <c r="K302" s="62">
        <f t="shared" si="45"/>
        <v>3.1205725849628796</v>
      </c>
      <c r="L302" s="63">
        <f t="shared" si="46"/>
        <v>2.0811068702290076</v>
      </c>
      <c r="M302" s="63">
        <f t="shared" si="47"/>
        <v>-6.8509280510096096E-2</v>
      </c>
      <c r="N302" s="63">
        <f t="shared" si="48"/>
        <v>2.307716121869964</v>
      </c>
      <c r="O302" s="62">
        <f t="shared" si="49"/>
        <v>2.906784402387542</v>
      </c>
      <c r="P302" s="62">
        <f t="shared" si="50"/>
        <v>1.9633622736473302</v>
      </c>
      <c r="Q302" s="62">
        <f t="shared" si="51"/>
        <v>0.2137881825753376</v>
      </c>
      <c r="R302" s="63">
        <f t="shared" si="52"/>
        <v>2.0811068702290076</v>
      </c>
      <c r="S302" s="63">
        <f t="shared" si="53"/>
        <v>0.22660925164095658</v>
      </c>
      <c r="T302" s="63">
        <f t="shared" si="54"/>
        <v>2.307716121869964</v>
      </c>
    </row>
    <row r="303" spans="1:20" x14ac:dyDescent="0.3">
      <c r="A303" s="18" t="s">
        <v>117</v>
      </c>
      <c r="B303" s="18" t="s">
        <v>118</v>
      </c>
      <c r="C303" s="18" t="s">
        <v>46</v>
      </c>
      <c r="D303" s="18" t="s">
        <v>43</v>
      </c>
      <c r="E303" s="61">
        <v>2023</v>
      </c>
      <c r="F303" s="62">
        <v>6458000000</v>
      </c>
      <c r="G303" s="62">
        <v>9507000000</v>
      </c>
      <c r="H303" s="62">
        <v>2069492000</v>
      </c>
      <c r="I303" s="62">
        <v>1712424000</v>
      </c>
      <c r="J303" s="62">
        <f t="shared" si="44"/>
        <v>3.1205725849628796</v>
      </c>
      <c r="K303" s="62">
        <f t="shared" si="45"/>
        <v>5.5517792322462194</v>
      </c>
      <c r="L303" s="63">
        <f t="shared" si="46"/>
        <v>0.47212759368225454</v>
      </c>
      <c r="M303" s="63">
        <f t="shared" si="47"/>
        <v>-0.17253896125232665</v>
      </c>
      <c r="N303" s="63">
        <f t="shared" si="48"/>
        <v>0.77908992054810988</v>
      </c>
      <c r="O303" s="62">
        <f t="shared" si="49"/>
        <v>4.5938810104122174</v>
      </c>
      <c r="P303" s="62">
        <f t="shared" si="50"/>
        <v>1.4733084254493378</v>
      </c>
      <c r="Q303" s="62">
        <f t="shared" si="51"/>
        <v>0.95789822183400197</v>
      </c>
      <c r="R303" s="63">
        <f t="shared" si="52"/>
        <v>0.47212759368225476</v>
      </c>
      <c r="S303" s="63">
        <f t="shared" si="53"/>
        <v>0.30696232686585517</v>
      </c>
      <c r="T303" s="63">
        <f t="shared" si="54"/>
        <v>0.77908992054810988</v>
      </c>
    </row>
    <row r="304" spans="1:20" x14ac:dyDescent="0.3">
      <c r="A304" s="18" t="s">
        <v>117</v>
      </c>
      <c r="B304" s="18" t="s">
        <v>118</v>
      </c>
      <c r="C304" s="18" t="s">
        <v>46</v>
      </c>
      <c r="D304" s="18" t="s">
        <v>43</v>
      </c>
      <c r="E304" s="61">
        <v>2024</v>
      </c>
      <c r="F304" s="62">
        <v>9507000000</v>
      </c>
      <c r="G304" s="62">
        <v>9719000000</v>
      </c>
      <c r="H304" s="62">
        <v>1712424000</v>
      </c>
      <c r="I304" s="62">
        <v>1693206000</v>
      </c>
      <c r="J304" s="62">
        <f t="shared" si="44"/>
        <v>5.5517792322462194</v>
      </c>
      <c r="K304" s="62">
        <f t="shared" si="45"/>
        <v>5.7399985589467555</v>
      </c>
      <c r="L304" s="63">
        <f t="shared" si="46"/>
        <v>2.229935836751867E-2</v>
      </c>
      <c r="M304" s="63">
        <f t="shared" si="47"/>
        <v>-1.1222687838993146E-2</v>
      </c>
      <c r="N304" s="63">
        <f t="shared" si="48"/>
        <v>3.3902523646348881E-2</v>
      </c>
      <c r="O304" s="62">
        <f t="shared" si="49"/>
        <v>5.6755803469234252</v>
      </c>
      <c r="P304" s="62">
        <f t="shared" si="50"/>
        <v>0.12380111467720578</v>
      </c>
      <c r="Q304" s="62">
        <f t="shared" si="51"/>
        <v>6.4418212023330312E-2</v>
      </c>
      <c r="R304" s="63">
        <f t="shared" si="52"/>
        <v>2.2299358367518611E-2</v>
      </c>
      <c r="S304" s="63">
        <f t="shared" si="53"/>
        <v>1.1603165278830272E-2</v>
      </c>
      <c r="T304" s="63">
        <f t="shared" si="54"/>
        <v>3.3902523646348881E-2</v>
      </c>
    </row>
    <row r="305" spans="1:20" x14ac:dyDescent="0.3">
      <c r="A305" s="18" t="s">
        <v>119</v>
      </c>
      <c r="B305" s="18" t="s">
        <v>120</v>
      </c>
      <c r="C305" s="18" t="s">
        <v>46</v>
      </c>
      <c r="D305" s="18" t="s">
        <v>43</v>
      </c>
      <c r="E305" s="61">
        <v>2016</v>
      </c>
      <c r="F305" s="62">
        <v>578700000</v>
      </c>
      <c r="G305" s="62">
        <v>535000000</v>
      </c>
      <c r="H305" s="62">
        <v>707700000</v>
      </c>
      <c r="I305" s="62">
        <v>708700000</v>
      </c>
      <c r="J305" s="62">
        <f t="shared" si="44"/>
        <v>0.81771937261551508</v>
      </c>
      <c r="K305" s="62">
        <f t="shared" si="45"/>
        <v>0.75490334415126292</v>
      </c>
      <c r="L305" s="63">
        <f t="shared" si="46"/>
        <v>-7.5514083290133052E-2</v>
      </c>
      <c r="M305" s="63">
        <f t="shared" si="47"/>
        <v>1.4130281192595733E-3</v>
      </c>
      <c r="N305" s="63">
        <f t="shared" si="48"/>
        <v>-7.6818564617506913E-2</v>
      </c>
      <c r="O305" s="62">
        <f t="shared" si="49"/>
        <v>0.75597004380387167</v>
      </c>
      <c r="P305" s="62">
        <f t="shared" si="50"/>
        <v>-6.1749328811643411E-2</v>
      </c>
      <c r="Q305" s="62">
        <f t="shared" si="51"/>
        <v>-1.0666996526087491E-3</v>
      </c>
      <c r="R305" s="63">
        <f t="shared" si="52"/>
        <v>-7.5514083290133122E-2</v>
      </c>
      <c r="S305" s="63">
        <f t="shared" si="53"/>
        <v>-1.304481327373789E-3</v>
      </c>
      <c r="T305" s="63">
        <f t="shared" si="54"/>
        <v>-7.6818564617506913E-2</v>
      </c>
    </row>
    <row r="306" spans="1:20" x14ac:dyDescent="0.3">
      <c r="A306" s="18" t="s">
        <v>119</v>
      </c>
      <c r="B306" s="18" t="s">
        <v>120</v>
      </c>
      <c r="C306" s="18" t="s">
        <v>46</v>
      </c>
      <c r="D306" s="18" t="s">
        <v>43</v>
      </c>
      <c r="E306" s="61">
        <v>2017</v>
      </c>
      <c r="F306" s="62">
        <v>535000000</v>
      </c>
      <c r="G306" s="62">
        <v>-169100000</v>
      </c>
      <c r="H306" s="62">
        <v>708700000</v>
      </c>
      <c r="I306" s="62">
        <v>710300000</v>
      </c>
      <c r="J306" s="62">
        <f t="shared" si="44"/>
        <v>0.75490334415126292</v>
      </c>
      <c r="K306" s="62">
        <f t="shared" si="45"/>
        <v>-0.23806842179360835</v>
      </c>
      <c r="L306" s="63">
        <f t="shared" si="46"/>
        <v>-1.3160747663551402</v>
      </c>
      <c r="M306" s="63">
        <f t="shared" si="47"/>
        <v>2.2576548610131228E-3</v>
      </c>
      <c r="N306" s="63">
        <f t="shared" si="48"/>
        <v>-1.3153627860282808</v>
      </c>
      <c r="O306" s="62">
        <f t="shared" si="49"/>
        <v>-0.23860589812332439</v>
      </c>
      <c r="P306" s="62">
        <f t="shared" si="50"/>
        <v>-0.99350924227458726</v>
      </c>
      <c r="Q306" s="62">
        <f t="shared" si="51"/>
        <v>5.374763297160412E-4</v>
      </c>
      <c r="R306" s="63">
        <f t="shared" si="52"/>
        <v>-1.31607476635514</v>
      </c>
      <c r="S306" s="63">
        <f t="shared" si="53"/>
        <v>7.1198032685936149E-4</v>
      </c>
      <c r="T306" s="63">
        <f t="shared" si="54"/>
        <v>-1.3153627860282806</v>
      </c>
    </row>
    <row r="307" spans="1:20" x14ac:dyDescent="0.3">
      <c r="A307" s="18" t="s">
        <v>119</v>
      </c>
      <c r="B307" s="18" t="s">
        <v>120</v>
      </c>
      <c r="C307" s="18" t="s">
        <v>46</v>
      </c>
      <c r="D307" s="18" t="s">
        <v>43</v>
      </c>
      <c r="E307" s="61">
        <v>2018</v>
      </c>
      <c r="F307" s="62">
        <v>-169100000</v>
      </c>
      <c r="G307" s="62">
        <v>932800000</v>
      </c>
      <c r="H307" s="62">
        <v>710300000</v>
      </c>
      <c r="I307" s="62">
        <v>713500000</v>
      </c>
      <c r="J307" s="62">
        <f t="shared" si="44"/>
        <v>-0.23806842179360835</v>
      </c>
      <c r="K307" s="62">
        <f t="shared" si="45"/>
        <v>1.3073580939032936</v>
      </c>
      <c r="L307" s="63">
        <f t="shared" si="46"/>
        <v>6.5162625665286811</v>
      </c>
      <c r="M307" s="63">
        <f t="shared" si="47"/>
        <v>4.505138673799803E-3</v>
      </c>
      <c r="N307" s="63">
        <f t="shared" si="48"/>
        <v>6.4915224961532196</v>
      </c>
      <c r="O307" s="62">
        <f t="shared" si="49"/>
        <v>1.3132479234126426</v>
      </c>
      <c r="P307" s="62">
        <f t="shared" si="50"/>
        <v>1.5513163452062511</v>
      </c>
      <c r="Q307" s="62">
        <f t="shared" si="51"/>
        <v>-5.8898295093490205E-3</v>
      </c>
      <c r="R307" s="63">
        <f t="shared" si="52"/>
        <v>6.516262566528682</v>
      </c>
      <c r="S307" s="63">
        <f t="shared" si="53"/>
        <v>-2.4740070375461911E-2</v>
      </c>
      <c r="T307" s="63">
        <f t="shared" si="54"/>
        <v>6.4915224961532196</v>
      </c>
    </row>
    <row r="308" spans="1:20" x14ac:dyDescent="0.3">
      <c r="A308" s="18" t="s">
        <v>119</v>
      </c>
      <c r="B308" s="18" t="s">
        <v>120</v>
      </c>
      <c r="C308" s="18" t="s">
        <v>46</v>
      </c>
      <c r="D308" s="18" t="s">
        <v>43</v>
      </c>
      <c r="E308" s="61">
        <v>2019</v>
      </c>
      <c r="F308" s="62">
        <v>932800000</v>
      </c>
      <c r="G308" s="62">
        <v>902500000</v>
      </c>
      <c r="H308" s="62">
        <v>713500000</v>
      </c>
      <c r="I308" s="62">
        <v>716000000</v>
      </c>
      <c r="J308" s="62">
        <f t="shared" si="44"/>
        <v>1.3073580939032936</v>
      </c>
      <c r="K308" s="62">
        <f t="shared" si="45"/>
        <v>1.2604748603351956</v>
      </c>
      <c r="L308" s="63">
        <f t="shared" si="46"/>
        <v>-3.2482847341337905E-2</v>
      </c>
      <c r="M308" s="63">
        <f t="shared" si="47"/>
        <v>3.5038542396636299E-3</v>
      </c>
      <c r="N308" s="63">
        <f t="shared" si="48"/>
        <v>-3.5861049690006336E-2</v>
      </c>
      <c r="O308" s="62">
        <f t="shared" si="49"/>
        <v>1.2648913805185704</v>
      </c>
      <c r="P308" s="62">
        <f t="shared" si="50"/>
        <v>-4.2466713384723187E-2</v>
      </c>
      <c r="Q308" s="62">
        <f t="shared" si="51"/>
        <v>-4.4165201833747947E-3</v>
      </c>
      <c r="R308" s="63">
        <f t="shared" si="52"/>
        <v>-3.2482847341337905E-2</v>
      </c>
      <c r="S308" s="63">
        <f t="shared" si="53"/>
        <v>-3.3782023486684347E-3</v>
      </c>
      <c r="T308" s="63">
        <f t="shared" si="54"/>
        <v>-3.5861049690006336E-2</v>
      </c>
    </row>
    <row r="309" spans="1:20" x14ac:dyDescent="0.3">
      <c r="A309" s="18" t="s">
        <v>119</v>
      </c>
      <c r="B309" s="18" t="s">
        <v>120</v>
      </c>
      <c r="C309" s="18" t="s">
        <v>46</v>
      </c>
      <c r="D309" s="18" t="s">
        <v>43</v>
      </c>
      <c r="E309" s="61">
        <v>2020</v>
      </c>
      <c r="F309" s="62">
        <v>902500000</v>
      </c>
      <c r="G309" s="62">
        <v>707400000</v>
      </c>
      <c r="H309" s="62">
        <v>716000000</v>
      </c>
      <c r="I309" s="62">
        <v>716100000</v>
      </c>
      <c r="J309" s="62">
        <f t="shared" si="44"/>
        <v>1.2604748603351956</v>
      </c>
      <c r="K309" s="62">
        <f t="shared" si="45"/>
        <v>0.9878508588186008</v>
      </c>
      <c r="L309" s="63">
        <f t="shared" si="46"/>
        <v>-0.21617728531855956</v>
      </c>
      <c r="M309" s="63">
        <f t="shared" si="47"/>
        <v>1.3966480446927373E-4</v>
      </c>
      <c r="N309" s="63">
        <f t="shared" si="48"/>
        <v>-0.21628674247743146</v>
      </c>
      <c r="O309" s="62">
        <f t="shared" si="49"/>
        <v>0.98798882681564248</v>
      </c>
      <c r="P309" s="62">
        <f t="shared" si="50"/>
        <v>-0.27248603351955314</v>
      </c>
      <c r="Q309" s="62">
        <f t="shared" si="51"/>
        <v>-1.3796799704168805E-4</v>
      </c>
      <c r="R309" s="63">
        <f t="shared" si="52"/>
        <v>-0.21617728531855959</v>
      </c>
      <c r="S309" s="63">
        <f t="shared" si="53"/>
        <v>-1.0945715887185444E-4</v>
      </c>
      <c r="T309" s="63">
        <f t="shared" si="54"/>
        <v>-0.21628674247743146</v>
      </c>
    </row>
    <row r="310" spans="1:20" x14ac:dyDescent="0.3">
      <c r="A310" s="18" t="s">
        <v>119</v>
      </c>
      <c r="B310" s="18" t="s">
        <v>120</v>
      </c>
      <c r="C310" s="18" t="s">
        <v>46</v>
      </c>
      <c r="D310" s="18" t="s">
        <v>43</v>
      </c>
      <c r="E310" s="61">
        <v>2021</v>
      </c>
      <c r="F310" s="62">
        <v>707400000</v>
      </c>
      <c r="G310" s="62">
        <v>626600000</v>
      </c>
      <c r="H310" s="62">
        <v>716100000</v>
      </c>
      <c r="I310" s="62">
        <v>716100000</v>
      </c>
      <c r="J310" s="62">
        <f t="shared" si="44"/>
        <v>0.9878508588186008</v>
      </c>
      <c r="K310" s="62">
        <f t="shared" si="45"/>
        <v>0.87501745566261691</v>
      </c>
      <c r="L310" s="63">
        <f t="shared" si="46"/>
        <v>-0.11422109132032796</v>
      </c>
      <c r="M310" s="63">
        <f t="shared" si="47"/>
        <v>0</v>
      </c>
      <c r="N310" s="63">
        <f t="shared" si="48"/>
        <v>-0.11422109132032805</v>
      </c>
      <c r="O310" s="62">
        <f t="shared" si="49"/>
        <v>0.87501745566261691</v>
      </c>
      <c r="P310" s="62">
        <f t="shared" si="50"/>
        <v>-0.11283340315598389</v>
      </c>
      <c r="Q310" s="62">
        <f t="shared" si="51"/>
        <v>0</v>
      </c>
      <c r="R310" s="63">
        <f t="shared" si="52"/>
        <v>-0.11422109132032805</v>
      </c>
      <c r="S310" s="63">
        <f t="shared" si="53"/>
        <v>0</v>
      </c>
      <c r="T310" s="63">
        <f t="shared" si="54"/>
        <v>-0.11422109132032805</v>
      </c>
    </row>
    <row r="311" spans="1:20" x14ac:dyDescent="0.3">
      <c r="A311" s="18" t="s">
        <v>119</v>
      </c>
      <c r="B311" s="18" t="s">
        <v>120</v>
      </c>
      <c r="C311" s="18" t="s">
        <v>46</v>
      </c>
      <c r="D311" s="18" t="s">
        <v>43</v>
      </c>
      <c r="E311" s="61">
        <v>2022</v>
      </c>
      <c r="F311" s="62">
        <v>626600000</v>
      </c>
      <c r="G311" s="62">
        <v>525000000</v>
      </c>
      <c r="H311" s="62">
        <v>716100000</v>
      </c>
      <c r="I311" s="62">
        <v>715300000</v>
      </c>
      <c r="J311" s="62">
        <f t="shared" si="44"/>
        <v>0.87501745566261691</v>
      </c>
      <c r="K311" s="62">
        <f t="shared" si="45"/>
        <v>0.73395777995246747</v>
      </c>
      <c r="L311" s="63">
        <f t="shared" si="46"/>
        <v>-0.16214490903287584</v>
      </c>
      <c r="M311" s="63">
        <f t="shared" si="47"/>
        <v>-1.1171624074849881E-3</v>
      </c>
      <c r="N311" s="63">
        <f t="shared" si="48"/>
        <v>-0.16120784196622728</v>
      </c>
      <c r="O311" s="62">
        <f t="shared" si="49"/>
        <v>0.73313782991202348</v>
      </c>
      <c r="P311" s="62">
        <f t="shared" si="50"/>
        <v>-0.14187962575059343</v>
      </c>
      <c r="Q311" s="62">
        <f t="shared" si="51"/>
        <v>8.1995004044399522E-4</v>
      </c>
      <c r="R311" s="63">
        <f t="shared" si="52"/>
        <v>-0.16214490903287576</v>
      </c>
      <c r="S311" s="63">
        <f t="shared" si="53"/>
        <v>9.3706706664849183E-4</v>
      </c>
      <c r="T311" s="63">
        <f t="shared" si="54"/>
        <v>-0.16120784196622728</v>
      </c>
    </row>
    <row r="312" spans="1:20" x14ac:dyDescent="0.3">
      <c r="A312" s="18" t="s">
        <v>119</v>
      </c>
      <c r="B312" s="18" t="s">
        <v>120</v>
      </c>
      <c r="C312" s="18" t="s">
        <v>46</v>
      </c>
      <c r="D312" s="18" t="s">
        <v>43</v>
      </c>
      <c r="E312" s="61">
        <v>2023</v>
      </c>
      <c r="F312" s="62">
        <v>525000000</v>
      </c>
      <c r="G312" s="62">
        <v>1101000000</v>
      </c>
      <c r="H312" s="62">
        <v>715300000</v>
      </c>
      <c r="I312" s="62">
        <v>716000000</v>
      </c>
      <c r="J312" s="62">
        <f t="shared" si="44"/>
        <v>0.73395777995246747</v>
      </c>
      <c r="K312" s="62">
        <f t="shared" si="45"/>
        <v>1.5377094972067038</v>
      </c>
      <c r="L312" s="63">
        <f t="shared" si="46"/>
        <v>1.0971428571428572</v>
      </c>
      <c r="M312" s="63">
        <f t="shared" si="47"/>
        <v>9.7861037326995659E-4</v>
      </c>
      <c r="N312" s="63">
        <f t="shared" si="48"/>
        <v>1.0950925778132481</v>
      </c>
      <c r="O312" s="62">
        <f t="shared" si="49"/>
        <v>1.5392143156717462</v>
      </c>
      <c r="P312" s="62">
        <f t="shared" si="50"/>
        <v>0.80525653571927869</v>
      </c>
      <c r="Q312" s="62">
        <f t="shared" si="51"/>
        <v>-1.5048184650423568E-3</v>
      </c>
      <c r="R312" s="63">
        <f t="shared" si="52"/>
        <v>1.0971428571428572</v>
      </c>
      <c r="S312" s="63">
        <f t="shared" si="53"/>
        <v>-2.0502793296091389E-3</v>
      </c>
      <c r="T312" s="63">
        <f t="shared" si="54"/>
        <v>1.0950925778132481</v>
      </c>
    </row>
    <row r="313" spans="1:20" x14ac:dyDescent="0.3">
      <c r="A313" s="18" t="s">
        <v>119</v>
      </c>
      <c r="B313" s="18" t="s">
        <v>120</v>
      </c>
      <c r="C313" s="18" t="s">
        <v>46</v>
      </c>
      <c r="D313" s="18" t="s">
        <v>43</v>
      </c>
      <c r="E313" s="61">
        <v>2024</v>
      </c>
      <c r="F313" s="62">
        <v>1101000000</v>
      </c>
      <c r="G313" s="62">
        <v>1074000000</v>
      </c>
      <c r="H313" s="62">
        <v>716000000</v>
      </c>
      <c r="I313" s="62">
        <v>716000000</v>
      </c>
      <c r="J313" s="62">
        <f t="shared" si="44"/>
        <v>1.5377094972067038</v>
      </c>
      <c r="K313" s="62">
        <f t="shared" si="45"/>
        <v>1.5</v>
      </c>
      <c r="L313" s="63">
        <f t="shared" si="46"/>
        <v>-2.4523160762942781E-2</v>
      </c>
      <c r="M313" s="63">
        <f t="shared" si="47"/>
        <v>0</v>
      </c>
      <c r="N313" s="63">
        <f t="shared" si="48"/>
        <v>-2.4523160762942711E-2</v>
      </c>
      <c r="O313" s="62">
        <f t="shared" si="49"/>
        <v>1.5</v>
      </c>
      <c r="P313" s="62">
        <f t="shared" si="50"/>
        <v>-3.7709497206703801E-2</v>
      </c>
      <c r="Q313" s="62">
        <f t="shared" si="51"/>
        <v>0</v>
      </c>
      <c r="R313" s="63">
        <f t="shared" si="52"/>
        <v>-2.4523160762942711E-2</v>
      </c>
      <c r="S313" s="63">
        <f t="shared" si="53"/>
        <v>0</v>
      </c>
      <c r="T313" s="63">
        <f t="shared" si="54"/>
        <v>-2.4523160762942711E-2</v>
      </c>
    </row>
    <row r="314" spans="1:20" x14ac:dyDescent="0.3">
      <c r="A314" s="18" t="s">
        <v>125</v>
      </c>
      <c r="B314" s="18" t="s">
        <v>126</v>
      </c>
      <c r="C314" s="18" t="s">
        <v>124</v>
      </c>
      <c r="D314" s="18" t="s">
        <v>121</v>
      </c>
      <c r="E314" s="61">
        <v>2016</v>
      </c>
      <c r="F314" s="62">
        <v>2696000000</v>
      </c>
      <c r="G314" s="62">
        <v>995000000</v>
      </c>
      <c r="H314" s="62">
        <v>785621099</v>
      </c>
      <c r="I314" s="62">
        <v>773798837</v>
      </c>
      <c r="J314" s="62">
        <f t="shared" si="44"/>
        <v>3.431679728856162</v>
      </c>
      <c r="K314" s="62">
        <f t="shared" si="45"/>
        <v>1.2858639124576507</v>
      </c>
      <c r="L314" s="63">
        <f t="shared" si="46"/>
        <v>-0.63093471810089019</v>
      </c>
      <c r="M314" s="63">
        <f t="shared" si="47"/>
        <v>-1.5048300020262058E-2</v>
      </c>
      <c r="N314" s="63">
        <f t="shared" si="48"/>
        <v>-0.62529606080511146</v>
      </c>
      <c r="O314" s="62">
        <f t="shared" si="49"/>
        <v>1.2665138465177601</v>
      </c>
      <c r="P314" s="62">
        <f t="shared" si="50"/>
        <v>-2.1651658823384019</v>
      </c>
      <c r="Q314" s="62">
        <f t="shared" si="51"/>
        <v>1.9350065939890637E-2</v>
      </c>
      <c r="R314" s="63">
        <f t="shared" si="52"/>
        <v>-0.63093471810089019</v>
      </c>
      <c r="S314" s="63">
        <f t="shared" si="53"/>
        <v>5.6386572957786906E-3</v>
      </c>
      <c r="T314" s="63">
        <f t="shared" si="54"/>
        <v>-0.62529606080511146</v>
      </c>
    </row>
    <row r="315" spans="1:20" x14ac:dyDescent="0.3">
      <c r="A315" s="18" t="s">
        <v>125</v>
      </c>
      <c r="B315" s="18" t="s">
        <v>126</v>
      </c>
      <c r="C315" s="18" t="s">
        <v>124</v>
      </c>
      <c r="D315" s="18" t="s">
        <v>121</v>
      </c>
      <c r="E315" s="61">
        <v>2017</v>
      </c>
      <c r="F315" s="62">
        <v>995000000</v>
      </c>
      <c r="G315" s="62">
        <v>2873000000</v>
      </c>
      <c r="H315" s="62">
        <v>773798837</v>
      </c>
      <c r="I315" s="62">
        <v>773772702</v>
      </c>
      <c r="J315" s="62">
        <f t="shared" si="44"/>
        <v>1.2858639124576507</v>
      </c>
      <c r="K315" s="62">
        <f t="shared" si="45"/>
        <v>3.7129766823952908</v>
      </c>
      <c r="L315" s="63">
        <f t="shared" si="46"/>
        <v>1.8874371859296482</v>
      </c>
      <c r="M315" s="63">
        <f t="shared" si="47"/>
        <v>-3.377492799204091E-5</v>
      </c>
      <c r="N315" s="63">
        <f t="shared" si="48"/>
        <v>1.8875347122066277</v>
      </c>
      <c r="O315" s="62">
        <f t="shared" si="49"/>
        <v>3.7128512768752069</v>
      </c>
      <c r="P315" s="62">
        <f t="shared" si="50"/>
        <v>2.4269873644175561</v>
      </c>
      <c r="Q315" s="62">
        <f t="shared" si="51"/>
        <v>1.2540552008388772E-4</v>
      </c>
      <c r="R315" s="63">
        <f t="shared" si="52"/>
        <v>1.8874371859296484</v>
      </c>
      <c r="S315" s="63">
        <f t="shared" si="53"/>
        <v>9.7526276979188406E-5</v>
      </c>
      <c r="T315" s="63">
        <f t="shared" si="54"/>
        <v>1.8875347122066275</v>
      </c>
    </row>
    <row r="316" spans="1:20" x14ac:dyDescent="0.3">
      <c r="A316" s="18" t="s">
        <v>125</v>
      </c>
      <c r="B316" s="18" t="s">
        <v>126</v>
      </c>
      <c r="C316" s="18" t="s">
        <v>124</v>
      </c>
      <c r="D316" s="18" t="s">
        <v>121</v>
      </c>
      <c r="E316" s="61">
        <v>2018</v>
      </c>
      <c r="F316" s="62">
        <v>2873000000</v>
      </c>
      <c r="G316" s="62">
        <v>3054000000</v>
      </c>
      <c r="H316" s="62">
        <v>773772702</v>
      </c>
      <c r="I316" s="62">
        <v>775167941</v>
      </c>
      <c r="J316" s="62">
        <f t="shared" si="44"/>
        <v>3.7129766823952908</v>
      </c>
      <c r="K316" s="62">
        <f t="shared" si="45"/>
        <v>3.9397914161158529</v>
      </c>
      <c r="L316" s="63">
        <f t="shared" si="46"/>
        <v>6.3000348068221371E-2</v>
      </c>
      <c r="M316" s="63">
        <f t="shared" si="47"/>
        <v>1.8031638960558729E-3</v>
      </c>
      <c r="N316" s="63">
        <f t="shared" si="48"/>
        <v>6.1087034237511273E-2</v>
      </c>
      <c r="O316" s="62">
        <f t="shared" si="49"/>
        <v>3.9468955057553838</v>
      </c>
      <c r="P316" s="62">
        <f t="shared" si="50"/>
        <v>0.23391882336009306</v>
      </c>
      <c r="Q316" s="62">
        <f t="shared" si="51"/>
        <v>-7.1040896395309083E-3</v>
      </c>
      <c r="R316" s="63">
        <f t="shared" si="52"/>
        <v>6.3000348068221343E-2</v>
      </c>
      <c r="S316" s="63">
        <f t="shared" si="53"/>
        <v>-1.9133138307100719E-3</v>
      </c>
      <c r="T316" s="63">
        <f t="shared" si="54"/>
        <v>6.1087034237511273E-2</v>
      </c>
    </row>
    <row r="317" spans="1:20" x14ac:dyDescent="0.3">
      <c r="A317" s="18" t="s">
        <v>125</v>
      </c>
      <c r="B317" s="18" t="s">
        <v>126</v>
      </c>
      <c r="C317" s="18" t="s">
        <v>124</v>
      </c>
      <c r="D317" s="18" t="s">
        <v>121</v>
      </c>
      <c r="E317" s="61">
        <v>2019</v>
      </c>
      <c r="F317" s="62">
        <v>3054000000</v>
      </c>
      <c r="G317" s="62">
        <v>-1325000000</v>
      </c>
      <c r="H317" s="62">
        <v>775167941</v>
      </c>
      <c r="I317" s="62">
        <v>777039858</v>
      </c>
      <c r="J317" s="62">
        <f t="shared" si="44"/>
        <v>3.9397914161158529</v>
      </c>
      <c r="K317" s="62">
        <f t="shared" si="45"/>
        <v>-1.7051892336776371</v>
      </c>
      <c r="L317" s="63">
        <f t="shared" si="46"/>
        <v>-1.4338572364112638</v>
      </c>
      <c r="M317" s="63">
        <f t="shared" si="47"/>
        <v>2.4148534801183169E-3</v>
      </c>
      <c r="N317" s="63">
        <f t="shared" si="48"/>
        <v>-1.432812058705063</v>
      </c>
      <c r="O317" s="62">
        <f t="shared" si="49"/>
        <v>-1.7093070158328438</v>
      </c>
      <c r="P317" s="62">
        <f t="shared" si="50"/>
        <v>-5.6490984319486968</v>
      </c>
      <c r="Q317" s="62">
        <f t="shared" si="51"/>
        <v>4.1177821552067506E-3</v>
      </c>
      <c r="R317" s="63">
        <f t="shared" si="52"/>
        <v>-1.4338572364112638</v>
      </c>
      <c r="S317" s="63">
        <f t="shared" si="53"/>
        <v>1.0451777062011E-3</v>
      </c>
      <c r="T317" s="63">
        <f t="shared" si="54"/>
        <v>-1.4328120587050628</v>
      </c>
    </row>
    <row r="318" spans="1:20" x14ac:dyDescent="0.3">
      <c r="A318" s="18" t="s">
        <v>125</v>
      </c>
      <c r="B318" s="18" t="s">
        <v>126</v>
      </c>
      <c r="C318" s="18" t="s">
        <v>124</v>
      </c>
      <c r="D318" s="18" t="s">
        <v>121</v>
      </c>
      <c r="E318" s="61">
        <v>2020</v>
      </c>
      <c r="F318" s="62">
        <v>-1325000000</v>
      </c>
      <c r="G318" s="62">
        <v>-1169000000</v>
      </c>
      <c r="H318" s="62">
        <v>777039858</v>
      </c>
      <c r="I318" s="62">
        <v>783178191</v>
      </c>
      <c r="J318" s="62">
        <f t="shared" si="44"/>
        <v>-1.7051892336776371</v>
      </c>
      <c r="K318" s="62">
        <f t="shared" si="45"/>
        <v>-1.4926360481353087</v>
      </c>
      <c r="L318" s="63">
        <f t="shared" si="46"/>
        <v>0.11773584905660377</v>
      </c>
      <c r="M318" s="63">
        <f t="shared" si="47"/>
        <v>7.8996372410023788E-3</v>
      </c>
      <c r="N318" s="63">
        <f t="shared" si="48"/>
        <v>0.12465079027264793</v>
      </c>
      <c r="O318" s="62">
        <f t="shared" si="49"/>
        <v>-1.5044273314484211</v>
      </c>
      <c r="P318" s="62">
        <f t="shared" si="50"/>
        <v>0.20076190222921597</v>
      </c>
      <c r="Q318" s="62">
        <f t="shared" si="51"/>
        <v>1.1791283313112411E-2</v>
      </c>
      <c r="R318" s="63">
        <f t="shared" si="52"/>
        <v>0.11773584905660367</v>
      </c>
      <c r="S318" s="63">
        <f t="shared" si="53"/>
        <v>6.9149412160442545E-3</v>
      </c>
      <c r="T318" s="63">
        <f t="shared" si="54"/>
        <v>0.12465079027264793</v>
      </c>
    </row>
    <row r="319" spans="1:20" x14ac:dyDescent="0.3">
      <c r="A319" s="18" t="s">
        <v>125</v>
      </c>
      <c r="B319" s="18" t="s">
        <v>126</v>
      </c>
      <c r="C319" s="18" t="s">
        <v>124</v>
      </c>
      <c r="D319" s="18" t="s">
        <v>121</v>
      </c>
      <c r="E319" s="61">
        <v>2021</v>
      </c>
      <c r="F319" s="62">
        <v>-1169000000</v>
      </c>
      <c r="G319" s="62">
        <v>4213000000</v>
      </c>
      <c r="H319" s="62">
        <v>783178191</v>
      </c>
      <c r="I319" s="62">
        <v>785326074</v>
      </c>
      <c r="J319" s="62">
        <f t="shared" si="44"/>
        <v>-1.4926360481353087</v>
      </c>
      <c r="K319" s="62">
        <f t="shared" si="45"/>
        <v>5.3646506075385956</v>
      </c>
      <c r="L319" s="63">
        <f t="shared" si="46"/>
        <v>4.60393498716852</v>
      </c>
      <c r="M319" s="63">
        <f t="shared" si="47"/>
        <v>2.7425214653353392E-3</v>
      </c>
      <c r="N319" s="63">
        <f t="shared" si="48"/>
        <v>4.5940781506921544</v>
      </c>
      <c r="O319" s="62">
        <f t="shared" si="49"/>
        <v>5.3793632769837947</v>
      </c>
      <c r="P319" s="62">
        <f t="shared" si="50"/>
        <v>6.8719993251191038</v>
      </c>
      <c r="Q319" s="62">
        <f t="shared" si="51"/>
        <v>-1.4712669445199111E-2</v>
      </c>
      <c r="R319" s="63">
        <f t="shared" si="52"/>
        <v>4.6039349871685209</v>
      </c>
      <c r="S319" s="63">
        <f t="shared" si="53"/>
        <v>-9.8568364763661365E-3</v>
      </c>
      <c r="T319" s="63">
        <f t="shared" si="54"/>
        <v>4.5940781506921544</v>
      </c>
    </row>
    <row r="320" spans="1:20" x14ac:dyDescent="0.3">
      <c r="A320" s="18" t="s">
        <v>125</v>
      </c>
      <c r="B320" s="18" t="s">
        <v>126</v>
      </c>
      <c r="C320" s="18" t="s">
        <v>124</v>
      </c>
      <c r="D320" s="18" t="s">
        <v>121</v>
      </c>
      <c r="E320" s="61">
        <v>2022</v>
      </c>
      <c r="F320" s="62">
        <v>4213000000</v>
      </c>
      <c r="G320" s="62">
        <v>4247000000</v>
      </c>
      <c r="H320" s="62">
        <v>785326074</v>
      </c>
      <c r="I320" s="62">
        <v>787080579</v>
      </c>
      <c r="J320" s="62">
        <f t="shared" si="44"/>
        <v>5.3646506075385956</v>
      </c>
      <c r="K320" s="62">
        <f t="shared" si="45"/>
        <v>5.395889713599451</v>
      </c>
      <c r="L320" s="63">
        <f t="shared" si="46"/>
        <v>8.0702587230002381E-3</v>
      </c>
      <c r="M320" s="63">
        <f t="shared" si="47"/>
        <v>2.2341102098693338E-3</v>
      </c>
      <c r="N320" s="63">
        <f t="shared" si="48"/>
        <v>5.8231389788846932E-3</v>
      </c>
      <c r="O320" s="62">
        <f t="shared" si="49"/>
        <v>5.4079447258999327</v>
      </c>
      <c r="P320" s="62">
        <f t="shared" si="50"/>
        <v>4.3294118361337119E-2</v>
      </c>
      <c r="Q320" s="62">
        <f t="shared" si="51"/>
        <v>-1.2055012300481671E-2</v>
      </c>
      <c r="R320" s="63">
        <f t="shared" si="52"/>
        <v>8.0702587230002832E-3</v>
      </c>
      <c r="S320" s="63">
        <f t="shared" si="53"/>
        <v>-2.2471197441155896E-3</v>
      </c>
      <c r="T320" s="63">
        <f t="shared" si="54"/>
        <v>5.8231389788846941E-3</v>
      </c>
    </row>
    <row r="321" spans="1:20" x14ac:dyDescent="0.3">
      <c r="A321" s="18" t="s">
        <v>125</v>
      </c>
      <c r="B321" s="18" t="s">
        <v>126</v>
      </c>
      <c r="C321" s="18" t="s">
        <v>124</v>
      </c>
      <c r="D321" s="18" t="s">
        <v>121</v>
      </c>
      <c r="E321" s="61">
        <v>2023</v>
      </c>
      <c r="F321" s="62">
        <v>4247000000</v>
      </c>
      <c r="G321" s="62">
        <v>3789000000</v>
      </c>
      <c r="H321" s="62">
        <v>787080579</v>
      </c>
      <c r="I321" s="62">
        <v>788720779</v>
      </c>
      <c r="J321" s="62">
        <f t="shared" si="44"/>
        <v>5.395889713599451</v>
      </c>
      <c r="K321" s="62">
        <f t="shared" si="45"/>
        <v>4.8039814607191929</v>
      </c>
      <c r="L321" s="63">
        <f t="shared" si="46"/>
        <v>-0.10784082882034378</v>
      </c>
      <c r="M321" s="63">
        <f t="shared" si="47"/>
        <v>2.0839035338464373E-3</v>
      </c>
      <c r="N321" s="63">
        <f t="shared" si="48"/>
        <v>-0.10969613618833812</v>
      </c>
      <c r="O321" s="62">
        <f t="shared" si="49"/>
        <v>4.8139924946617185</v>
      </c>
      <c r="P321" s="62">
        <f t="shared" si="50"/>
        <v>-0.5818972189377325</v>
      </c>
      <c r="Q321" s="62">
        <f t="shared" si="51"/>
        <v>-1.0011033942525671E-2</v>
      </c>
      <c r="R321" s="63">
        <f t="shared" si="52"/>
        <v>-0.10784082882034383</v>
      </c>
      <c r="S321" s="63">
        <f t="shared" si="53"/>
        <v>-1.855307367994292E-3</v>
      </c>
      <c r="T321" s="63">
        <f t="shared" si="54"/>
        <v>-0.10969613618833812</v>
      </c>
    </row>
    <row r="322" spans="1:20" x14ac:dyDescent="0.3">
      <c r="A322" s="18" t="s">
        <v>125</v>
      </c>
      <c r="B322" s="18" t="s">
        <v>126</v>
      </c>
      <c r="C322" s="18" t="s">
        <v>124</v>
      </c>
      <c r="D322" s="18" t="s">
        <v>121</v>
      </c>
      <c r="E322" s="61">
        <v>2024</v>
      </c>
      <c r="F322" s="62">
        <v>3789000000</v>
      </c>
      <c r="G322" s="62">
        <v>4232000000</v>
      </c>
      <c r="H322" s="62">
        <v>788720779</v>
      </c>
      <c r="I322" s="62">
        <v>789961671</v>
      </c>
      <c r="J322" s="62">
        <f t="shared" si="44"/>
        <v>4.8039814607191929</v>
      </c>
      <c r="K322" s="62">
        <f t="shared" si="45"/>
        <v>5.3572219455189236</v>
      </c>
      <c r="L322" s="63">
        <f t="shared" si="46"/>
        <v>0.11691739245183426</v>
      </c>
      <c r="M322" s="63">
        <f t="shared" si="47"/>
        <v>1.5732969550685566E-3</v>
      </c>
      <c r="N322" s="63">
        <f t="shared" si="48"/>
        <v>0.11516291004106131</v>
      </c>
      <c r="O322" s="62">
        <f t="shared" si="49"/>
        <v>5.3656504464934356</v>
      </c>
      <c r="P322" s="62">
        <f t="shared" si="50"/>
        <v>0.56166898577424273</v>
      </c>
      <c r="Q322" s="62">
        <f t="shared" si="51"/>
        <v>-8.4285009745119766E-3</v>
      </c>
      <c r="R322" s="63">
        <f t="shared" si="52"/>
        <v>0.11691739245183444</v>
      </c>
      <c r="S322" s="63">
        <f t="shared" si="53"/>
        <v>-1.7544824107731186E-3</v>
      </c>
      <c r="T322" s="63">
        <f t="shared" si="54"/>
        <v>0.11516291004106133</v>
      </c>
    </row>
    <row r="323" spans="1:20" x14ac:dyDescent="0.3">
      <c r="A323" s="18" t="s">
        <v>127</v>
      </c>
      <c r="B323" s="18" t="s">
        <v>128</v>
      </c>
      <c r="C323" s="18" t="s">
        <v>124</v>
      </c>
      <c r="D323" s="18" t="s">
        <v>121</v>
      </c>
      <c r="E323" s="61">
        <v>2016</v>
      </c>
      <c r="F323" s="62">
        <v>6616000000</v>
      </c>
      <c r="G323" s="62">
        <v>6883000000</v>
      </c>
      <c r="H323" s="62">
        <v>454367277</v>
      </c>
      <c r="I323" s="62">
        <v>454699370</v>
      </c>
      <c r="J323" s="62">
        <f t="shared" si="44"/>
        <v>14.56090773896114</v>
      </c>
      <c r="K323" s="62">
        <f t="shared" si="45"/>
        <v>15.137474239297934</v>
      </c>
      <c r="L323" s="63">
        <f t="shared" si="46"/>
        <v>4.0356711003627567E-2</v>
      </c>
      <c r="M323" s="63">
        <f t="shared" si="47"/>
        <v>7.3089110244178087E-4</v>
      </c>
      <c r="N323" s="63">
        <f t="shared" si="48"/>
        <v>3.9596878894717143E-2</v>
      </c>
      <c r="O323" s="62">
        <f t="shared" si="49"/>
        <v>15.148538084532879</v>
      </c>
      <c r="P323" s="62">
        <f t="shared" si="50"/>
        <v>0.5876303455717391</v>
      </c>
      <c r="Q323" s="62">
        <f t="shared" si="51"/>
        <v>-1.1063845234945191E-2</v>
      </c>
      <c r="R323" s="63">
        <f t="shared" si="52"/>
        <v>4.0356711003627588E-2</v>
      </c>
      <c r="S323" s="63">
        <f t="shared" si="53"/>
        <v>-7.5983210891044013E-4</v>
      </c>
      <c r="T323" s="63">
        <f t="shared" si="54"/>
        <v>3.959687889471715E-2</v>
      </c>
    </row>
    <row r="324" spans="1:20" x14ac:dyDescent="0.3">
      <c r="A324" s="18" t="s">
        <v>127</v>
      </c>
      <c r="B324" s="18" t="s">
        <v>128</v>
      </c>
      <c r="C324" s="18" t="s">
        <v>124</v>
      </c>
      <c r="D324" s="18" t="s">
        <v>121</v>
      </c>
      <c r="E324" s="61">
        <v>2017</v>
      </c>
      <c r="F324" s="62">
        <v>6883000000</v>
      </c>
      <c r="G324" s="62">
        <v>6803000000</v>
      </c>
      <c r="H324" s="62">
        <v>454699370</v>
      </c>
      <c r="I324" s="62">
        <v>446440727</v>
      </c>
      <c r="J324" s="62">
        <f t="shared" si="44"/>
        <v>15.137474239297934</v>
      </c>
      <c r="K324" s="62">
        <f t="shared" si="45"/>
        <v>15.238305084114783</v>
      </c>
      <c r="L324" s="63">
        <f t="shared" si="46"/>
        <v>-1.1622838878396049E-2</v>
      </c>
      <c r="M324" s="63">
        <f t="shared" si="47"/>
        <v>-1.8162864399834115E-2</v>
      </c>
      <c r="N324" s="63">
        <f t="shared" si="48"/>
        <v>6.6610085158781435E-3</v>
      </c>
      <c r="O324" s="62">
        <f t="shared" si="49"/>
        <v>14.961533815188703</v>
      </c>
      <c r="P324" s="62">
        <f t="shared" si="50"/>
        <v>-0.17594042410923016</v>
      </c>
      <c r="Q324" s="62">
        <f t="shared" si="51"/>
        <v>0.27677126892607973</v>
      </c>
      <c r="R324" s="63">
        <f t="shared" si="52"/>
        <v>-1.1622838878396016E-2</v>
      </c>
      <c r="S324" s="63">
        <f t="shared" si="53"/>
        <v>1.8283847394274157E-2</v>
      </c>
      <c r="T324" s="63">
        <f t="shared" si="54"/>
        <v>6.6610085158781418E-3</v>
      </c>
    </row>
    <row r="325" spans="1:20" x14ac:dyDescent="0.3">
      <c r="A325" s="18" t="s">
        <v>127</v>
      </c>
      <c r="B325" s="18" t="s">
        <v>128</v>
      </c>
      <c r="C325" s="18" t="s">
        <v>124</v>
      </c>
      <c r="D325" s="18" t="s">
        <v>121</v>
      </c>
      <c r="E325" s="61">
        <v>2018</v>
      </c>
      <c r="F325" s="62">
        <v>6803000000</v>
      </c>
      <c r="G325" s="62">
        <v>7462000000</v>
      </c>
      <c r="H325" s="62">
        <v>446440727</v>
      </c>
      <c r="I325" s="62">
        <v>428106916</v>
      </c>
      <c r="J325" s="62">
        <f t="shared" ref="J325:J388" si="55">F325/H325</f>
        <v>15.238305084114783</v>
      </c>
      <c r="K325" s="62">
        <f t="shared" ref="K325:K388" si="56">G325/I325</f>
        <v>17.430225303811724</v>
      </c>
      <c r="L325" s="63">
        <f t="shared" ref="L325:L388" si="57">IF(F325=0,"",((G325-F325)/ABS(F325)))</f>
        <v>9.6869028369836838E-2</v>
      </c>
      <c r="M325" s="63">
        <f t="shared" ref="M325:M388" si="58">(I325-H325)/H325</f>
        <v>-4.1066618458400636E-2</v>
      </c>
      <c r="N325" s="63">
        <f t="shared" ref="N325:N388" si="59">IF(J325=0,"",((K325-J325)/ABS(J325)))</f>
        <v>0.14384278353777777</v>
      </c>
      <c r="O325" s="62">
        <f t="shared" ref="O325:O388" si="60">G325/H325</f>
        <v>16.714424891616126</v>
      </c>
      <c r="P325" s="62">
        <f t="shared" ref="P325:P388" si="61">O325-J325</f>
        <v>1.4761198075013429</v>
      </c>
      <c r="Q325" s="62">
        <f t="shared" ref="Q325:Q388" si="62">K325-O325</f>
        <v>0.71580041219559831</v>
      </c>
      <c r="R325" s="63">
        <f t="shared" ref="R325:R388" si="63">IF(J325=0,"",P325/ABS(J325))</f>
        <v>9.6869028369836768E-2</v>
      </c>
      <c r="S325" s="63">
        <f t="shared" ref="S325:S388" si="64">IF(J325=0,"",Q325/ABS(J325))</f>
        <v>4.6973755167940993E-2</v>
      </c>
      <c r="T325" s="63">
        <f t="shared" ref="T325:T388" si="65">R325+S325</f>
        <v>0.14384278353777777</v>
      </c>
    </row>
    <row r="326" spans="1:20" x14ac:dyDescent="0.3">
      <c r="A326" s="18" t="s">
        <v>127</v>
      </c>
      <c r="B326" s="18" t="s">
        <v>128</v>
      </c>
      <c r="C326" s="18" t="s">
        <v>124</v>
      </c>
      <c r="D326" s="18" t="s">
        <v>121</v>
      </c>
      <c r="E326" s="61">
        <v>2019</v>
      </c>
      <c r="F326" s="62">
        <v>7462000000</v>
      </c>
      <c r="G326" s="62">
        <v>7914000000</v>
      </c>
      <c r="H326" s="62">
        <v>428106916</v>
      </c>
      <c r="I326" s="62">
        <v>418653403</v>
      </c>
      <c r="J326" s="62">
        <f t="shared" si="55"/>
        <v>17.430225303811724</v>
      </c>
      <c r="K326" s="62">
        <f t="shared" si="56"/>
        <v>18.903465117659632</v>
      </c>
      <c r="L326" s="63">
        <f t="shared" si="57"/>
        <v>6.0573572768694718E-2</v>
      </c>
      <c r="M326" s="63">
        <f t="shared" si="58"/>
        <v>-2.208213099738851E-2</v>
      </c>
      <c r="N326" s="63">
        <f t="shared" si="59"/>
        <v>8.4522132569665218E-2</v>
      </c>
      <c r="O326" s="62">
        <f t="shared" si="60"/>
        <v>18.486036324626905</v>
      </c>
      <c r="P326" s="62">
        <f t="shared" si="61"/>
        <v>1.055811020815181</v>
      </c>
      <c r="Q326" s="62">
        <f t="shared" si="62"/>
        <v>0.41742879303272673</v>
      </c>
      <c r="R326" s="63">
        <f t="shared" si="63"/>
        <v>6.0573572768694572E-2</v>
      </c>
      <c r="S326" s="63">
        <f t="shared" si="64"/>
        <v>2.3948559800970642E-2</v>
      </c>
      <c r="T326" s="63">
        <f t="shared" si="65"/>
        <v>8.4522132569665218E-2</v>
      </c>
    </row>
    <row r="327" spans="1:20" x14ac:dyDescent="0.3">
      <c r="A327" s="18" t="s">
        <v>127</v>
      </c>
      <c r="B327" s="18" t="s">
        <v>128</v>
      </c>
      <c r="C327" s="18" t="s">
        <v>124</v>
      </c>
      <c r="D327" s="18" t="s">
        <v>121</v>
      </c>
      <c r="E327" s="61">
        <v>2020</v>
      </c>
      <c r="F327" s="62">
        <v>7914000000</v>
      </c>
      <c r="G327" s="62">
        <v>6807000000</v>
      </c>
      <c r="H327" s="62">
        <v>418653403</v>
      </c>
      <c r="I327" s="62">
        <v>412927486</v>
      </c>
      <c r="J327" s="62">
        <f t="shared" si="55"/>
        <v>18.903465117659632</v>
      </c>
      <c r="K327" s="62">
        <f t="shared" si="56"/>
        <v>16.48473456184508</v>
      </c>
      <c r="L327" s="63">
        <f t="shared" si="57"/>
        <v>-0.13987869598180439</v>
      </c>
      <c r="M327" s="63">
        <f t="shared" si="58"/>
        <v>-1.3676986640904004E-2</v>
      </c>
      <c r="N327" s="63">
        <f t="shared" si="59"/>
        <v>-0.12795170307453166</v>
      </c>
      <c r="O327" s="62">
        <f t="shared" si="60"/>
        <v>16.259273067463877</v>
      </c>
      <c r="P327" s="62">
        <f t="shared" si="61"/>
        <v>-2.6441920501957554</v>
      </c>
      <c r="Q327" s="62">
        <f t="shared" si="62"/>
        <v>0.22546149438120366</v>
      </c>
      <c r="R327" s="63">
        <f t="shared" si="63"/>
        <v>-0.13987869598180436</v>
      </c>
      <c r="S327" s="63">
        <f t="shared" si="64"/>
        <v>1.1926992907272718E-2</v>
      </c>
      <c r="T327" s="63">
        <f t="shared" si="65"/>
        <v>-0.12795170307453163</v>
      </c>
    </row>
    <row r="328" spans="1:20" x14ac:dyDescent="0.3">
      <c r="A328" s="18" t="s">
        <v>127</v>
      </c>
      <c r="B328" s="18" t="s">
        <v>128</v>
      </c>
      <c r="C328" s="18" t="s">
        <v>124</v>
      </c>
      <c r="D328" s="18" t="s">
        <v>121</v>
      </c>
      <c r="E328" s="61">
        <v>2021</v>
      </c>
      <c r="F328" s="62">
        <v>6807000000</v>
      </c>
      <c r="G328" s="62">
        <v>6610000000</v>
      </c>
      <c r="H328" s="62">
        <v>412927486</v>
      </c>
      <c r="I328" s="62">
        <v>410924074</v>
      </c>
      <c r="J328" s="62">
        <f t="shared" si="55"/>
        <v>16.48473456184508</v>
      </c>
      <c r="K328" s="62">
        <f t="shared" si="56"/>
        <v>16.085696648670918</v>
      </c>
      <c r="L328" s="63">
        <f t="shared" si="57"/>
        <v>-2.8940796239165564E-2</v>
      </c>
      <c r="M328" s="63">
        <f t="shared" si="58"/>
        <v>-4.8517283734413356E-3</v>
      </c>
      <c r="N328" s="63">
        <f t="shared" si="59"/>
        <v>-2.4206511283339643E-2</v>
      </c>
      <c r="O328" s="62">
        <f t="shared" si="60"/>
        <v>16.00765321783399</v>
      </c>
      <c r="P328" s="62">
        <f t="shared" si="61"/>
        <v>-0.47708134401108993</v>
      </c>
      <c r="Q328" s="62">
        <f t="shared" si="62"/>
        <v>7.8043430836927996E-2</v>
      </c>
      <c r="R328" s="63">
        <f t="shared" si="63"/>
        <v>-2.894079623916564E-2</v>
      </c>
      <c r="S328" s="63">
        <f t="shared" si="64"/>
        <v>4.7342849558259957E-3</v>
      </c>
      <c r="T328" s="63">
        <f t="shared" si="65"/>
        <v>-2.4206511283339643E-2</v>
      </c>
    </row>
    <row r="329" spans="1:20" x14ac:dyDescent="0.3">
      <c r="A329" s="18" t="s">
        <v>127</v>
      </c>
      <c r="B329" s="18" t="s">
        <v>128</v>
      </c>
      <c r="C329" s="18" t="s">
        <v>124</v>
      </c>
      <c r="D329" s="18" t="s">
        <v>121</v>
      </c>
      <c r="E329" s="61">
        <v>2022</v>
      </c>
      <c r="F329" s="62">
        <v>6610000000</v>
      </c>
      <c r="G329" s="62">
        <v>6421000000</v>
      </c>
      <c r="H329" s="62">
        <v>410924074</v>
      </c>
      <c r="I329" s="62">
        <v>404793132</v>
      </c>
      <c r="J329" s="62">
        <f t="shared" si="55"/>
        <v>16.085696648670918</v>
      </c>
      <c r="K329" s="62">
        <f t="shared" si="56"/>
        <v>15.862423278466098</v>
      </c>
      <c r="L329" s="63">
        <f t="shared" si="57"/>
        <v>-2.8593040847201209E-2</v>
      </c>
      <c r="M329" s="63">
        <f t="shared" si="58"/>
        <v>-1.4919890042752765E-2</v>
      </c>
      <c r="N329" s="63">
        <f t="shared" si="59"/>
        <v>-1.3880242496259456E-2</v>
      </c>
      <c r="O329" s="62">
        <f t="shared" si="60"/>
        <v>15.625757667339782</v>
      </c>
      <c r="P329" s="62">
        <f t="shared" si="61"/>
        <v>-0.45993898133113653</v>
      </c>
      <c r="Q329" s="62">
        <f t="shared" si="62"/>
        <v>0.23666561112631612</v>
      </c>
      <c r="R329" s="63">
        <f t="shared" si="63"/>
        <v>-2.8593040847201295E-2</v>
      </c>
      <c r="S329" s="63">
        <f t="shared" si="64"/>
        <v>1.4712798350941837E-2</v>
      </c>
      <c r="T329" s="63">
        <f t="shared" si="65"/>
        <v>-1.3880242496259458E-2</v>
      </c>
    </row>
    <row r="330" spans="1:20" x14ac:dyDescent="0.3">
      <c r="A330" s="18" t="s">
        <v>127</v>
      </c>
      <c r="B330" s="18" t="s">
        <v>128</v>
      </c>
      <c r="C330" s="18" t="s">
        <v>124</v>
      </c>
      <c r="D330" s="18" t="s">
        <v>121</v>
      </c>
      <c r="E330" s="61">
        <v>2023</v>
      </c>
      <c r="F330" s="62">
        <v>6421000000</v>
      </c>
      <c r="G330" s="62">
        <v>8541000000</v>
      </c>
      <c r="H330" s="62">
        <v>404793132</v>
      </c>
      <c r="I330" s="62">
        <v>396190104</v>
      </c>
      <c r="J330" s="62">
        <f t="shared" si="55"/>
        <v>15.862423278466098</v>
      </c>
      <c r="K330" s="62">
        <f t="shared" si="56"/>
        <v>21.557832751925577</v>
      </c>
      <c r="L330" s="63">
        <f t="shared" si="57"/>
        <v>0.33016664071016977</v>
      </c>
      <c r="M330" s="63">
        <f t="shared" si="58"/>
        <v>-2.1252900110963344E-2</v>
      </c>
      <c r="N330" s="63">
        <f t="shared" si="59"/>
        <v>0.35905040317460418</v>
      </c>
      <c r="O330" s="62">
        <f t="shared" si="60"/>
        <v>21.099666285840048</v>
      </c>
      <c r="P330" s="62">
        <f t="shared" si="61"/>
        <v>5.2372430073739498</v>
      </c>
      <c r="Q330" s="62">
        <f t="shared" si="62"/>
        <v>0.45816646608552958</v>
      </c>
      <c r="R330" s="63">
        <f t="shared" si="63"/>
        <v>0.33016664071016977</v>
      </c>
      <c r="S330" s="63">
        <f t="shared" si="64"/>
        <v>2.8883762464434404E-2</v>
      </c>
      <c r="T330" s="63">
        <f t="shared" si="65"/>
        <v>0.35905040317460418</v>
      </c>
    </row>
    <row r="331" spans="1:20" x14ac:dyDescent="0.3">
      <c r="A331" s="18" t="s">
        <v>127</v>
      </c>
      <c r="B331" s="18" t="s">
        <v>128</v>
      </c>
      <c r="C331" s="18" t="s">
        <v>124</v>
      </c>
      <c r="D331" s="18" t="s">
        <v>121</v>
      </c>
      <c r="E331" s="61">
        <v>2024</v>
      </c>
      <c r="F331" s="62">
        <v>8541000000</v>
      </c>
      <c r="G331" s="62">
        <v>9931000000</v>
      </c>
      <c r="H331" s="62">
        <v>396190104</v>
      </c>
      <c r="I331" s="62">
        <v>388462000</v>
      </c>
      <c r="J331" s="62">
        <f t="shared" si="55"/>
        <v>21.557832751925577</v>
      </c>
      <c r="K331" s="62">
        <f t="shared" si="56"/>
        <v>25.564920120886985</v>
      </c>
      <c r="L331" s="63">
        <f t="shared" si="57"/>
        <v>0.16274440931975179</v>
      </c>
      <c r="M331" s="63">
        <f t="shared" si="58"/>
        <v>-1.9506050055202791E-2</v>
      </c>
      <c r="N331" s="63">
        <f t="shared" si="59"/>
        <v>0.18587616923614406</v>
      </c>
      <c r="O331" s="62">
        <f t="shared" si="60"/>
        <v>25.066249509351703</v>
      </c>
      <c r="P331" s="62">
        <f t="shared" si="61"/>
        <v>3.5084167574261258</v>
      </c>
      <c r="Q331" s="62">
        <f t="shared" si="62"/>
        <v>0.49867061153528169</v>
      </c>
      <c r="R331" s="63">
        <f t="shared" si="63"/>
        <v>0.16274440931975173</v>
      </c>
      <c r="S331" s="63">
        <f t="shared" si="64"/>
        <v>2.3131759916392325E-2</v>
      </c>
      <c r="T331" s="63">
        <f t="shared" si="65"/>
        <v>0.18587616923614406</v>
      </c>
    </row>
    <row r="332" spans="1:20" x14ac:dyDescent="0.3">
      <c r="A332" s="18" t="s">
        <v>129</v>
      </c>
      <c r="B332" s="18" t="s">
        <v>130</v>
      </c>
      <c r="C332" s="18" t="s">
        <v>124</v>
      </c>
      <c r="D332" s="18" t="s">
        <v>121</v>
      </c>
      <c r="E332" s="61">
        <v>2016</v>
      </c>
      <c r="F332" s="62">
        <v>3987000000</v>
      </c>
      <c r="G332" s="62">
        <v>4056000000</v>
      </c>
      <c r="H332" s="62">
        <v>918479000</v>
      </c>
      <c r="I332" s="62">
        <v>918479000</v>
      </c>
      <c r="J332" s="62">
        <f t="shared" si="55"/>
        <v>4.340872246398666</v>
      </c>
      <c r="K332" s="62">
        <f t="shared" si="56"/>
        <v>4.4159964462987178</v>
      </c>
      <c r="L332" s="63">
        <f t="shared" si="57"/>
        <v>1.7306245297215951E-2</v>
      </c>
      <c r="M332" s="63">
        <f t="shared" si="58"/>
        <v>0</v>
      </c>
      <c r="N332" s="63">
        <f t="shared" si="59"/>
        <v>1.7306245297215871E-2</v>
      </c>
      <c r="O332" s="62">
        <f t="shared" si="60"/>
        <v>4.4159964462987178</v>
      </c>
      <c r="P332" s="62">
        <f t="shared" si="61"/>
        <v>7.5124199900051813E-2</v>
      </c>
      <c r="Q332" s="62">
        <f t="shared" si="62"/>
        <v>0</v>
      </c>
      <c r="R332" s="63">
        <f t="shared" si="63"/>
        <v>1.7306245297215871E-2</v>
      </c>
      <c r="S332" s="63">
        <f t="shared" si="64"/>
        <v>0</v>
      </c>
      <c r="T332" s="63">
        <f t="shared" si="65"/>
        <v>1.7306245297215871E-2</v>
      </c>
    </row>
    <row r="333" spans="1:20" x14ac:dyDescent="0.3">
      <c r="A333" s="18" t="s">
        <v>129</v>
      </c>
      <c r="B333" s="18" t="s">
        <v>130</v>
      </c>
      <c r="C333" s="18" t="s">
        <v>124</v>
      </c>
      <c r="D333" s="18" t="s">
        <v>121</v>
      </c>
      <c r="E333" s="61">
        <v>2017</v>
      </c>
      <c r="F333" s="62">
        <v>4056000000</v>
      </c>
      <c r="G333" s="62">
        <v>6078000000</v>
      </c>
      <c r="H333" s="62">
        <v>918479000</v>
      </c>
      <c r="I333" s="62">
        <v>918479000</v>
      </c>
      <c r="J333" s="62">
        <f t="shared" si="55"/>
        <v>4.4159964462987178</v>
      </c>
      <c r="K333" s="62">
        <f t="shared" si="56"/>
        <v>6.6174621303263326</v>
      </c>
      <c r="L333" s="63">
        <f t="shared" si="57"/>
        <v>0.49852071005917159</v>
      </c>
      <c r="M333" s="63">
        <f t="shared" si="58"/>
        <v>0</v>
      </c>
      <c r="N333" s="63">
        <f t="shared" si="59"/>
        <v>0.49852071005917148</v>
      </c>
      <c r="O333" s="62">
        <f t="shared" si="60"/>
        <v>6.6174621303263326</v>
      </c>
      <c r="P333" s="62">
        <f t="shared" si="61"/>
        <v>2.2014656840276148</v>
      </c>
      <c r="Q333" s="62">
        <f t="shared" si="62"/>
        <v>0</v>
      </c>
      <c r="R333" s="63">
        <f t="shared" si="63"/>
        <v>0.49852071005917148</v>
      </c>
      <c r="S333" s="63">
        <f t="shared" si="64"/>
        <v>0</v>
      </c>
      <c r="T333" s="63">
        <f t="shared" si="65"/>
        <v>0.49852071005917148</v>
      </c>
    </row>
    <row r="334" spans="1:20" x14ac:dyDescent="0.3">
      <c r="A334" s="18" t="s">
        <v>129</v>
      </c>
      <c r="B334" s="18" t="s">
        <v>130</v>
      </c>
      <c r="C334" s="18" t="s">
        <v>124</v>
      </c>
      <c r="D334" s="18" t="s">
        <v>121</v>
      </c>
      <c r="E334" s="61">
        <v>2018</v>
      </c>
      <c r="F334" s="62">
        <v>6078000000</v>
      </c>
      <c r="G334" s="62">
        <v>4707000000</v>
      </c>
      <c r="H334" s="62">
        <v>918479000</v>
      </c>
      <c r="I334" s="62">
        <v>918479000</v>
      </c>
      <c r="J334" s="62">
        <f t="shared" si="55"/>
        <v>6.6174621303263326</v>
      </c>
      <c r="K334" s="62">
        <f t="shared" si="56"/>
        <v>5.1247769410079052</v>
      </c>
      <c r="L334" s="63">
        <f t="shared" si="57"/>
        <v>-0.22556762092793683</v>
      </c>
      <c r="M334" s="63">
        <f t="shared" si="58"/>
        <v>0</v>
      </c>
      <c r="N334" s="63">
        <f t="shared" si="59"/>
        <v>-0.22556762092793681</v>
      </c>
      <c r="O334" s="62">
        <f t="shared" si="60"/>
        <v>5.1247769410079052</v>
      </c>
      <c r="P334" s="62">
        <f t="shared" si="61"/>
        <v>-1.4926851893184274</v>
      </c>
      <c r="Q334" s="62">
        <f t="shared" si="62"/>
        <v>0</v>
      </c>
      <c r="R334" s="63">
        <f t="shared" si="63"/>
        <v>-0.22556762092793681</v>
      </c>
      <c r="S334" s="63">
        <f t="shared" si="64"/>
        <v>0</v>
      </c>
      <c r="T334" s="63">
        <f t="shared" si="65"/>
        <v>-0.22556762092793681</v>
      </c>
    </row>
    <row r="335" spans="1:20" x14ac:dyDescent="0.3">
      <c r="A335" s="18" t="s">
        <v>129</v>
      </c>
      <c r="B335" s="18" t="s">
        <v>130</v>
      </c>
      <c r="C335" s="18" t="s">
        <v>124</v>
      </c>
      <c r="D335" s="18" t="s">
        <v>121</v>
      </c>
      <c r="E335" s="61">
        <v>2019</v>
      </c>
      <c r="F335" s="62">
        <v>4707000000</v>
      </c>
      <c r="G335" s="62">
        <v>2546000000</v>
      </c>
      <c r="H335" s="62">
        <v>918479000</v>
      </c>
      <c r="I335" s="62">
        <v>918479000</v>
      </c>
      <c r="J335" s="62">
        <f t="shared" si="55"/>
        <v>5.1247769410079052</v>
      </c>
      <c r="K335" s="62">
        <f t="shared" si="56"/>
        <v>2.7719741006598952</v>
      </c>
      <c r="L335" s="63">
        <f t="shared" si="57"/>
        <v>-0.45910346292755472</v>
      </c>
      <c r="M335" s="63">
        <f t="shared" si="58"/>
        <v>0</v>
      </c>
      <c r="N335" s="63">
        <f t="shared" si="59"/>
        <v>-0.45910346292755466</v>
      </c>
      <c r="O335" s="62">
        <f t="shared" si="60"/>
        <v>2.7719741006598952</v>
      </c>
      <c r="P335" s="62">
        <f t="shared" si="61"/>
        <v>-2.3528028403480099</v>
      </c>
      <c r="Q335" s="62">
        <f t="shared" si="62"/>
        <v>0</v>
      </c>
      <c r="R335" s="63">
        <f t="shared" si="63"/>
        <v>-0.45910346292755466</v>
      </c>
      <c r="S335" s="63">
        <f t="shared" si="64"/>
        <v>0</v>
      </c>
      <c r="T335" s="63">
        <f t="shared" si="65"/>
        <v>-0.45910346292755466</v>
      </c>
    </row>
    <row r="336" spans="1:20" x14ac:dyDescent="0.3">
      <c r="A336" s="18" t="s">
        <v>129</v>
      </c>
      <c r="B336" s="18" t="s">
        <v>130</v>
      </c>
      <c r="C336" s="18" t="s">
        <v>124</v>
      </c>
      <c r="D336" s="18" t="s">
        <v>121</v>
      </c>
      <c r="E336" s="61">
        <v>2020</v>
      </c>
      <c r="F336" s="62">
        <v>2546000000</v>
      </c>
      <c r="G336" s="62">
        <v>-1471000000</v>
      </c>
      <c r="H336" s="62">
        <v>918479000</v>
      </c>
      <c r="I336" s="62">
        <v>918479000</v>
      </c>
      <c r="J336" s="62">
        <f t="shared" si="55"/>
        <v>2.7719741006598952</v>
      </c>
      <c r="K336" s="62">
        <f t="shared" si="56"/>
        <v>-1.6015608413474887</v>
      </c>
      <c r="L336" s="63">
        <f t="shared" si="57"/>
        <v>-1.5777690494893952</v>
      </c>
      <c r="M336" s="63">
        <f t="shared" si="58"/>
        <v>0</v>
      </c>
      <c r="N336" s="63">
        <f t="shared" si="59"/>
        <v>-1.577769049489395</v>
      </c>
      <c r="O336" s="62">
        <f t="shared" si="60"/>
        <v>-1.6015608413474887</v>
      </c>
      <c r="P336" s="62">
        <f t="shared" si="61"/>
        <v>-4.3735349420073835</v>
      </c>
      <c r="Q336" s="62">
        <f t="shared" si="62"/>
        <v>0</v>
      </c>
      <c r="R336" s="63">
        <f t="shared" si="63"/>
        <v>-1.577769049489395</v>
      </c>
      <c r="S336" s="63">
        <f t="shared" si="64"/>
        <v>0</v>
      </c>
      <c r="T336" s="63">
        <f t="shared" si="65"/>
        <v>-1.577769049489395</v>
      </c>
    </row>
    <row r="337" spans="1:20" x14ac:dyDescent="0.3">
      <c r="A337" s="18" t="s">
        <v>129</v>
      </c>
      <c r="B337" s="18" t="s">
        <v>130</v>
      </c>
      <c r="C337" s="18" t="s">
        <v>124</v>
      </c>
      <c r="D337" s="18" t="s">
        <v>121</v>
      </c>
      <c r="E337" s="61">
        <v>2021</v>
      </c>
      <c r="F337" s="62">
        <v>-1471000000</v>
      </c>
      <c r="G337" s="62">
        <v>5523000000</v>
      </c>
      <c r="H337" s="62">
        <v>918479000</v>
      </c>
      <c r="I337" s="62">
        <v>918479000</v>
      </c>
      <c r="J337" s="62">
        <f t="shared" si="55"/>
        <v>-1.6015608413474887</v>
      </c>
      <c r="K337" s="62">
        <f t="shared" si="56"/>
        <v>6.013202261565044</v>
      </c>
      <c r="L337" s="63">
        <f t="shared" si="57"/>
        <v>4.7545887151597555</v>
      </c>
      <c r="M337" s="63">
        <f t="shared" si="58"/>
        <v>0</v>
      </c>
      <c r="N337" s="63">
        <f t="shared" si="59"/>
        <v>4.7545887151597555</v>
      </c>
      <c r="O337" s="62">
        <f t="shared" si="60"/>
        <v>6.013202261565044</v>
      </c>
      <c r="P337" s="62">
        <f t="shared" si="61"/>
        <v>7.6147631029125327</v>
      </c>
      <c r="Q337" s="62">
        <f t="shared" si="62"/>
        <v>0</v>
      </c>
      <c r="R337" s="63">
        <f t="shared" si="63"/>
        <v>4.7545887151597555</v>
      </c>
      <c r="S337" s="63">
        <f t="shared" si="64"/>
        <v>0</v>
      </c>
      <c r="T337" s="63">
        <f t="shared" si="65"/>
        <v>4.7545887151597555</v>
      </c>
    </row>
    <row r="338" spans="1:20" x14ac:dyDescent="0.3">
      <c r="A338" s="18" t="s">
        <v>129</v>
      </c>
      <c r="B338" s="18" t="s">
        <v>130</v>
      </c>
      <c r="C338" s="18" t="s">
        <v>124</v>
      </c>
      <c r="D338" s="18" t="s">
        <v>121</v>
      </c>
      <c r="E338" s="61">
        <v>2022</v>
      </c>
      <c r="F338" s="62">
        <v>5523000000</v>
      </c>
      <c r="G338" s="62">
        <v>-391000000</v>
      </c>
      <c r="H338" s="62">
        <v>918479000</v>
      </c>
      <c r="I338" s="62">
        <v>901754000</v>
      </c>
      <c r="J338" s="62">
        <f t="shared" si="55"/>
        <v>6.013202261565044</v>
      </c>
      <c r="K338" s="62">
        <f t="shared" si="56"/>
        <v>-0.43359940737717828</v>
      </c>
      <c r="L338" s="63">
        <f t="shared" si="57"/>
        <v>-1.0707948578671012</v>
      </c>
      <c r="M338" s="63">
        <f t="shared" si="58"/>
        <v>-1.8209452801860468E-2</v>
      </c>
      <c r="N338" s="63">
        <f t="shared" si="59"/>
        <v>-1.0721079033294194</v>
      </c>
      <c r="O338" s="62">
        <f t="shared" si="60"/>
        <v>-0.42570379943362885</v>
      </c>
      <c r="P338" s="62">
        <f t="shared" si="61"/>
        <v>-6.438906060998673</v>
      </c>
      <c r="Q338" s="62">
        <f t="shared" si="62"/>
        <v>-7.895607943549432E-3</v>
      </c>
      <c r="R338" s="63">
        <f t="shared" si="63"/>
        <v>-1.0707948578671012</v>
      </c>
      <c r="S338" s="63">
        <f t="shared" si="64"/>
        <v>-1.3130454623181856E-3</v>
      </c>
      <c r="T338" s="63">
        <f t="shared" si="65"/>
        <v>-1.0721079033294194</v>
      </c>
    </row>
    <row r="339" spans="1:20" x14ac:dyDescent="0.3">
      <c r="A339" s="18" t="s">
        <v>129</v>
      </c>
      <c r="B339" s="18" t="s">
        <v>130</v>
      </c>
      <c r="C339" s="18" t="s">
        <v>124</v>
      </c>
      <c r="D339" s="18" t="s">
        <v>121</v>
      </c>
      <c r="E339" s="61">
        <v>2023</v>
      </c>
      <c r="F339" s="62">
        <v>-391000000</v>
      </c>
      <c r="G339" s="62">
        <v>225000000</v>
      </c>
      <c r="H339" s="62">
        <v>901754000</v>
      </c>
      <c r="I339" s="62">
        <v>892641000</v>
      </c>
      <c r="J339" s="62">
        <f t="shared" si="55"/>
        <v>-0.43359940737717828</v>
      </c>
      <c r="K339" s="62">
        <f t="shared" si="56"/>
        <v>0.25206101893146293</v>
      </c>
      <c r="L339" s="63">
        <f t="shared" si="57"/>
        <v>1.5754475703324808</v>
      </c>
      <c r="M339" s="63">
        <f t="shared" si="58"/>
        <v>-1.0105860356593927E-2</v>
      </c>
      <c r="N339" s="63">
        <f t="shared" si="59"/>
        <v>1.5813223326483949</v>
      </c>
      <c r="O339" s="62">
        <f t="shared" si="60"/>
        <v>0.24951372547280079</v>
      </c>
      <c r="P339" s="62">
        <f t="shared" si="61"/>
        <v>0.6831131328499791</v>
      </c>
      <c r="Q339" s="62">
        <f t="shared" si="62"/>
        <v>2.5472934586621421E-3</v>
      </c>
      <c r="R339" s="63">
        <f t="shared" si="63"/>
        <v>1.5754475703324808</v>
      </c>
      <c r="S339" s="63">
        <f t="shared" si="64"/>
        <v>5.8747623159141208E-3</v>
      </c>
      <c r="T339" s="63">
        <f t="shared" si="65"/>
        <v>1.5813223326483949</v>
      </c>
    </row>
    <row r="340" spans="1:20" x14ac:dyDescent="0.3">
      <c r="A340" s="18" t="s">
        <v>129</v>
      </c>
      <c r="B340" s="18" t="s">
        <v>130</v>
      </c>
      <c r="C340" s="18" t="s">
        <v>124</v>
      </c>
      <c r="D340" s="18" t="s">
        <v>121</v>
      </c>
      <c r="E340" s="61">
        <v>2024</v>
      </c>
      <c r="F340" s="62">
        <v>225000000</v>
      </c>
      <c r="G340" s="62">
        <v>1298000000</v>
      </c>
      <c r="H340" s="62">
        <v>892641000</v>
      </c>
      <c r="I340" s="62">
        <v>895172000</v>
      </c>
      <c r="J340" s="62">
        <f t="shared" si="55"/>
        <v>0.25206101893146293</v>
      </c>
      <c r="K340" s="62">
        <f t="shared" si="56"/>
        <v>1.4500006702622512</v>
      </c>
      <c r="L340" s="63">
        <f t="shared" si="57"/>
        <v>4.7688888888888892</v>
      </c>
      <c r="M340" s="63">
        <f t="shared" si="58"/>
        <v>2.8354063951801451E-3</v>
      </c>
      <c r="N340" s="63">
        <f t="shared" si="59"/>
        <v>4.752577992460294</v>
      </c>
      <c r="O340" s="62">
        <f t="shared" si="60"/>
        <v>1.4541120114357284</v>
      </c>
      <c r="P340" s="62">
        <f t="shared" si="61"/>
        <v>1.2020509925042655</v>
      </c>
      <c r="Q340" s="62">
        <f t="shared" si="62"/>
        <v>-4.1113411734772232E-3</v>
      </c>
      <c r="R340" s="63">
        <f t="shared" si="63"/>
        <v>4.7688888888888892</v>
      </c>
      <c r="S340" s="63">
        <f t="shared" si="64"/>
        <v>-1.6310896428595029E-2</v>
      </c>
      <c r="T340" s="63">
        <f t="shared" si="65"/>
        <v>4.752577992460294</v>
      </c>
    </row>
    <row r="341" spans="1:20" x14ac:dyDescent="0.3">
      <c r="A341" s="18" t="s">
        <v>131</v>
      </c>
      <c r="B341" s="18" t="s">
        <v>132</v>
      </c>
      <c r="C341" s="18" t="s">
        <v>124</v>
      </c>
      <c r="D341" s="18" t="s">
        <v>121</v>
      </c>
      <c r="E341" s="61">
        <v>2016</v>
      </c>
      <c r="F341" s="62">
        <v>6369000000</v>
      </c>
      <c r="G341" s="62">
        <v>6863000000</v>
      </c>
      <c r="H341" s="62">
        <v>656494656</v>
      </c>
      <c r="I341" s="62">
        <v>656804571</v>
      </c>
      <c r="J341" s="62">
        <f t="shared" si="55"/>
        <v>9.7015260395356524</v>
      </c>
      <c r="K341" s="62">
        <f t="shared" si="56"/>
        <v>10.449074660900921</v>
      </c>
      <c r="L341" s="63">
        <f t="shared" si="57"/>
        <v>7.7563196734181189E-2</v>
      </c>
      <c r="M341" s="63">
        <f t="shared" si="58"/>
        <v>4.7207543453331631E-4</v>
      </c>
      <c r="N341" s="63">
        <f t="shared" si="59"/>
        <v>7.7054745647113565E-2</v>
      </c>
      <c r="O341" s="62">
        <f t="shared" si="60"/>
        <v>10.454007412361937</v>
      </c>
      <c r="P341" s="62">
        <f t="shared" si="61"/>
        <v>0.75248137282628491</v>
      </c>
      <c r="Q341" s="62">
        <f t="shared" si="62"/>
        <v>-4.9327514610162382E-3</v>
      </c>
      <c r="R341" s="63">
        <f t="shared" si="63"/>
        <v>7.7563196734181133E-2</v>
      </c>
      <c r="S341" s="63">
        <f t="shared" si="64"/>
        <v>-5.0845108706756988E-4</v>
      </c>
      <c r="T341" s="63">
        <f t="shared" si="65"/>
        <v>7.7054745647113565E-2</v>
      </c>
    </row>
    <row r="342" spans="1:20" x14ac:dyDescent="0.3">
      <c r="A342" s="18" t="s">
        <v>131</v>
      </c>
      <c r="B342" s="18" t="s">
        <v>132</v>
      </c>
      <c r="C342" s="18" t="s">
        <v>124</v>
      </c>
      <c r="D342" s="18" t="s">
        <v>121</v>
      </c>
      <c r="E342" s="61">
        <v>2017</v>
      </c>
      <c r="F342" s="62">
        <v>6863000000</v>
      </c>
      <c r="G342" s="62">
        <v>8620000000</v>
      </c>
      <c r="H342" s="62">
        <v>656804571</v>
      </c>
      <c r="I342" s="62">
        <v>657109486</v>
      </c>
      <c r="J342" s="62">
        <f t="shared" si="55"/>
        <v>10.449074660900921</v>
      </c>
      <c r="K342" s="62">
        <f t="shared" si="56"/>
        <v>13.118057467823558</v>
      </c>
      <c r="L342" s="63">
        <f t="shared" si="57"/>
        <v>0.25601049103890428</v>
      </c>
      <c r="M342" s="63">
        <f t="shared" si="58"/>
        <v>4.6424006997356903E-4</v>
      </c>
      <c r="N342" s="63">
        <f t="shared" si="59"/>
        <v>0.25542767120897542</v>
      </c>
      <c r="O342" s="62">
        <f t="shared" si="60"/>
        <v>13.124147395740339</v>
      </c>
      <c r="P342" s="62">
        <f t="shared" si="61"/>
        <v>2.6750727348394179</v>
      </c>
      <c r="Q342" s="62">
        <f t="shared" si="62"/>
        <v>-6.0899279167809794E-3</v>
      </c>
      <c r="R342" s="63">
        <f t="shared" si="63"/>
        <v>0.25601049103890439</v>
      </c>
      <c r="S342" s="63">
        <f t="shared" si="64"/>
        <v>-5.8281982992893118E-4</v>
      </c>
      <c r="T342" s="63">
        <f t="shared" si="65"/>
        <v>0.25542767120897547</v>
      </c>
    </row>
    <row r="343" spans="1:20" x14ac:dyDescent="0.3">
      <c r="A343" s="18" t="s">
        <v>131</v>
      </c>
      <c r="B343" s="18" t="s">
        <v>132</v>
      </c>
      <c r="C343" s="18" t="s">
        <v>124</v>
      </c>
      <c r="D343" s="18" t="s">
        <v>121</v>
      </c>
      <c r="E343" s="61">
        <v>2018</v>
      </c>
      <c r="F343" s="62">
        <v>8620000000</v>
      </c>
      <c r="G343" s="62">
        <v>7117000000</v>
      </c>
      <c r="H343" s="62">
        <v>657109486</v>
      </c>
      <c r="I343" s="62">
        <v>657600576</v>
      </c>
      <c r="J343" s="62">
        <f t="shared" si="55"/>
        <v>13.118057467823558</v>
      </c>
      <c r="K343" s="62">
        <f t="shared" si="56"/>
        <v>10.822679084757979</v>
      </c>
      <c r="L343" s="63">
        <f t="shared" si="57"/>
        <v>-0.17436194895591647</v>
      </c>
      <c r="M343" s="63">
        <f t="shared" si="58"/>
        <v>7.4734882156304774E-4</v>
      </c>
      <c r="N343" s="63">
        <f t="shared" si="59"/>
        <v>-0.17497852778094358</v>
      </c>
      <c r="O343" s="62">
        <f t="shared" si="60"/>
        <v>10.830767401218129</v>
      </c>
      <c r="P343" s="62">
        <f t="shared" si="61"/>
        <v>-2.2872900666054292</v>
      </c>
      <c r="Q343" s="62">
        <f t="shared" si="62"/>
        <v>-8.0883164601495139E-3</v>
      </c>
      <c r="R343" s="63">
        <f t="shared" si="63"/>
        <v>-0.17436194895591642</v>
      </c>
      <c r="S343" s="63">
        <f t="shared" si="64"/>
        <v>-6.1657882502716779E-4</v>
      </c>
      <c r="T343" s="63">
        <f t="shared" si="65"/>
        <v>-0.17497852778094358</v>
      </c>
    </row>
    <row r="344" spans="1:20" x14ac:dyDescent="0.3">
      <c r="A344" s="18" t="s">
        <v>131</v>
      </c>
      <c r="B344" s="18" t="s">
        <v>132</v>
      </c>
      <c r="C344" s="18" t="s">
        <v>124</v>
      </c>
      <c r="D344" s="18" t="s">
        <v>121</v>
      </c>
      <c r="E344" s="61">
        <v>2019</v>
      </c>
      <c r="F344" s="62">
        <v>7117000000</v>
      </c>
      <c r="G344" s="62">
        <v>4915000000</v>
      </c>
      <c r="H344" s="62">
        <v>657600576</v>
      </c>
      <c r="I344" s="62">
        <v>658118053</v>
      </c>
      <c r="J344" s="62">
        <f t="shared" si="55"/>
        <v>10.822679084757979</v>
      </c>
      <c r="K344" s="62">
        <f t="shared" si="56"/>
        <v>7.4682649679570483</v>
      </c>
      <c r="L344" s="63">
        <f t="shared" si="57"/>
        <v>-0.30940002810172823</v>
      </c>
      <c r="M344" s="63">
        <f t="shared" si="58"/>
        <v>7.8691688980515732E-4</v>
      </c>
      <c r="N344" s="63">
        <f t="shared" si="59"/>
        <v>-0.30994304557409352</v>
      </c>
      <c r="O344" s="62">
        <f t="shared" si="60"/>
        <v>7.4741418717978743</v>
      </c>
      <c r="P344" s="62">
        <f t="shared" si="61"/>
        <v>-3.348537212960105</v>
      </c>
      <c r="Q344" s="62">
        <f t="shared" si="62"/>
        <v>-5.8769038408259533E-3</v>
      </c>
      <c r="R344" s="63">
        <f t="shared" si="63"/>
        <v>-0.30940002810172823</v>
      </c>
      <c r="S344" s="63">
        <f t="shared" si="64"/>
        <v>-5.4301747236528862E-4</v>
      </c>
      <c r="T344" s="63">
        <f t="shared" si="65"/>
        <v>-0.30994304557409352</v>
      </c>
    </row>
    <row r="345" spans="1:20" x14ac:dyDescent="0.3">
      <c r="A345" s="18" t="s">
        <v>131</v>
      </c>
      <c r="B345" s="18" t="s">
        <v>132</v>
      </c>
      <c r="C345" s="18" t="s">
        <v>124</v>
      </c>
      <c r="D345" s="18" t="s">
        <v>121</v>
      </c>
      <c r="E345" s="61">
        <v>2020</v>
      </c>
      <c r="F345" s="62">
        <v>4915000000</v>
      </c>
      <c r="G345" s="62">
        <v>3775000000</v>
      </c>
      <c r="H345" s="62">
        <v>658118053</v>
      </c>
      <c r="I345" s="62">
        <v>659460977</v>
      </c>
      <c r="J345" s="62">
        <f t="shared" si="55"/>
        <v>7.4682649679570483</v>
      </c>
      <c r="K345" s="62">
        <f t="shared" si="56"/>
        <v>5.7243720730423142</v>
      </c>
      <c r="L345" s="63">
        <f t="shared" si="57"/>
        <v>-0.23194303153611392</v>
      </c>
      <c r="M345" s="63">
        <f t="shared" si="58"/>
        <v>2.0405518339427775E-3</v>
      </c>
      <c r="N345" s="63">
        <f t="shared" si="59"/>
        <v>-0.23350710002885419</v>
      </c>
      <c r="O345" s="62">
        <f t="shared" si="60"/>
        <v>5.7360529509741314</v>
      </c>
      <c r="P345" s="62">
        <f t="shared" si="61"/>
        <v>-1.7322120169829169</v>
      </c>
      <c r="Q345" s="62">
        <f t="shared" si="62"/>
        <v>-1.1680877931817157E-2</v>
      </c>
      <c r="R345" s="63">
        <f t="shared" si="63"/>
        <v>-0.23194303153611398</v>
      </c>
      <c r="S345" s="63">
        <f t="shared" si="64"/>
        <v>-1.5640684927402187E-3</v>
      </c>
      <c r="T345" s="63">
        <f t="shared" si="65"/>
        <v>-0.23350710002885419</v>
      </c>
    </row>
    <row r="346" spans="1:20" x14ac:dyDescent="0.3">
      <c r="A346" s="18" t="s">
        <v>131</v>
      </c>
      <c r="B346" s="18" t="s">
        <v>132</v>
      </c>
      <c r="C346" s="18" t="s">
        <v>124</v>
      </c>
      <c r="D346" s="18" t="s">
        <v>121</v>
      </c>
      <c r="E346" s="61">
        <v>2021</v>
      </c>
      <c r="F346" s="62">
        <v>3775000000</v>
      </c>
      <c r="G346" s="62">
        <v>12382000000</v>
      </c>
      <c r="H346" s="62">
        <v>659460977</v>
      </c>
      <c r="I346" s="62">
        <v>659880348</v>
      </c>
      <c r="J346" s="62">
        <f t="shared" si="55"/>
        <v>5.7243720730423142</v>
      </c>
      <c r="K346" s="62">
        <f t="shared" si="56"/>
        <v>18.764007804639153</v>
      </c>
      <c r="L346" s="63">
        <f t="shared" si="57"/>
        <v>2.2799999999999998</v>
      </c>
      <c r="M346" s="63">
        <f t="shared" si="58"/>
        <v>6.3592997103147769E-4</v>
      </c>
      <c r="N346" s="63">
        <f t="shared" si="59"/>
        <v>2.2779154753067448</v>
      </c>
      <c r="O346" s="62">
        <f t="shared" si="60"/>
        <v>18.77594039957879</v>
      </c>
      <c r="P346" s="62">
        <f t="shared" si="61"/>
        <v>13.051568326536476</v>
      </c>
      <c r="Q346" s="62">
        <f t="shared" si="62"/>
        <v>-1.1932594939636942E-2</v>
      </c>
      <c r="R346" s="63">
        <f t="shared" si="63"/>
        <v>2.2799999999999998</v>
      </c>
      <c r="S346" s="63">
        <f t="shared" si="64"/>
        <v>-2.0845246932551615E-3</v>
      </c>
      <c r="T346" s="63">
        <f t="shared" si="65"/>
        <v>2.2779154753067448</v>
      </c>
    </row>
    <row r="347" spans="1:20" x14ac:dyDescent="0.3">
      <c r="A347" s="18" t="s">
        <v>131</v>
      </c>
      <c r="B347" s="18" t="s">
        <v>132</v>
      </c>
      <c r="C347" s="18" t="s">
        <v>124</v>
      </c>
      <c r="D347" s="18" t="s">
        <v>121</v>
      </c>
      <c r="E347" s="61">
        <v>2022</v>
      </c>
      <c r="F347" s="62">
        <v>12382000000</v>
      </c>
      <c r="G347" s="62">
        <v>17941000000</v>
      </c>
      <c r="H347" s="62">
        <v>659880348</v>
      </c>
      <c r="I347" s="62">
        <v>657098549</v>
      </c>
      <c r="J347" s="62">
        <f t="shared" si="55"/>
        <v>18.764007804639153</v>
      </c>
      <c r="K347" s="62">
        <f t="shared" si="56"/>
        <v>27.303362680230176</v>
      </c>
      <c r="L347" s="63">
        <f t="shared" si="57"/>
        <v>0.44895816507833952</v>
      </c>
      <c r="M347" s="63">
        <f t="shared" si="58"/>
        <v>-4.2156112216877231E-3</v>
      </c>
      <c r="N347" s="63">
        <f t="shared" si="59"/>
        <v>0.45509226837348576</v>
      </c>
      <c r="O347" s="62">
        <f t="shared" si="60"/>
        <v>27.188262318125588</v>
      </c>
      <c r="P347" s="62">
        <f t="shared" si="61"/>
        <v>8.4242545134864351</v>
      </c>
      <c r="Q347" s="62">
        <f t="shared" si="62"/>
        <v>0.11510036210458807</v>
      </c>
      <c r="R347" s="63">
        <f t="shared" si="63"/>
        <v>0.44895816507833947</v>
      </c>
      <c r="S347" s="63">
        <f t="shared" si="64"/>
        <v>6.1341032951463086E-3</v>
      </c>
      <c r="T347" s="63">
        <f t="shared" si="65"/>
        <v>0.45509226837348576</v>
      </c>
    </row>
    <row r="348" spans="1:20" x14ac:dyDescent="0.3">
      <c r="A348" s="18" t="s">
        <v>131</v>
      </c>
      <c r="B348" s="18" t="s">
        <v>132</v>
      </c>
      <c r="C348" s="18" t="s">
        <v>124</v>
      </c>
      <c r="D348" s="18" t="s">
        <v>121</v>
      </c>
      <c r="E348" s="61">
        <v>2023</v>
      </c>
      <c r="F348" s="62">
        <v>17941000000</v>
      </c>
      <c r="G348" s="62">
        <v>11290000000</v>
      </c>
      <c r="H348" s="62">
        <v>657098549</v>
      </c>
      <c r="I348" s="62">
        <v>638913477</v>
      </c>
      <c r="J348" s="62">
        <f t="shared" si="55"/>
        <v>27.303362680230176</v>
      </c>
      <c r="K348" s="62">
        <f t="shared" si="56"/>
        <v>17.670624280789745</v>
      </c>
      <c r="L348" s="63">
        <f t="shared" si="57"/>
        <v>-0.37071512178808314</v>
      </c>
      <c r="M348" s="63">
        <f t="shared" si="58"/>
        <v>-2.7674801637706858E-2</v>
      </c>
      <c r="N348" s="63">
        <f t="shared" si="59"/>
        <v>-0.35280410373830273</v>
      </c>
      <c r="O348" s="62">
        <f t="shared" si="60"/>
        <v>17.18159325900444</v>
      </c>
      <c r="P348" s="62">
        <f t="shared" si="61"/>
        <v>-10.121769421225736</v>
      </c>
      <c r="Q348" s="62">
        <f t="shared" si="62"/>
        <v>0.48903102178530489</v>
      </c>
      <c r="R348" s="63">
        <f t="shared" si="63"/>
        <v>-0.37071512178808319</v>
      </c>
      <c r="S348" s="63">
        <f t="shared" si="64"/>
        <v>1.7911018049780462E-2</v>
      </c>
      <c r="T348" s="63">
        <f t="shared" si="65"/>
        <v>-0.35280410373830273</v>
      </c>
    </row>
    <row r="349" spans="1:20" x14ac:dyDescent="0.3">
      <c r="A349" s="18" t="s">
        <v>131</v>
      </c>
      <c r="B349" s="18" t="s">
        <v>132</v>
      </c>
      <c r="C349" s="18" t="s">
        <v>124</v>
      </c>
      <c r="D349" s="18" t="s">
        <v>121</v>
      </c>
      <c r="E349" s="61">
        <v>2024</v>
      </c>
      <c r="F349" s="62">
        <v>11290000000</v>
      </c>
      <c r="G349" s="62">
        <v>7290000000</v>
      </c>
      <c r="H349" s="62">
        <v>638913477</v>
      </c>
      <c r="I349" s="62">
        <v>570599065</v>
      </c>
      <c r="J349" s="62">
        <f t="shared" si="55"/>
        <v>17.670624280789745</v>
      </c>
      <c r="K349" s="62">
        <f t="shared" si="56"/>
        <v>12.776046171754592</v>
      </c>
      <c r="L349" s="63">
        <f t="shared" si="57"/>
        <v>-0.35429583702391498</v>
      </c>
      <c r="M349" s="63">
        <f t="shared" si="58"/>
        <v>-0.10692279073649905</v>
      </c>
      <c r="N349" s="63">
        <f t="shared" si="59"/>
        <v>-0.27698954101786843</v>
      </c>
      <c r="O349" s="62">
        <f t="shared" si="60"/>
        <v>11.409995660492227</v>
      </c>
      <c r="P349" s="62">
        <f t="shared" si="61"/>
        <v>-6.2606286202975188</v>
      </c>
      <c r="Q349" s="62">
        <f t="shared" si="62"/>
        <v>1.3660505112623653</v>
      </c>
      <c r="R349" s="63">
        <f t="shared" si="63"/>
        <v>-0.35429583702391498</v>
      </c>
      <c r="S349" s="63">
        <f t="shared" si="64"/>
        <v>7.7306296006046535E-2</v>
      </c>
      <c r="T349" s="63">
        <f t="shared" si="65"/>
        <v>-0.27698954101786843</v>
      </c>
    </row>
    <row r="350" spans="1:20" x14ac:dyDescent="0.3">
      <c r="A350" s="18" t="s">
        <v>133</v>
      </c>
      <c r="B350" s="18" t="s">
        <v>134</v>
      </c>
      <c r="C350" s="18" t="s">
        <v>124</v>
      </c>
      <c r="D350" s="18" t="s">
        <v>121</v>
      </c>
      <c r="E350" s="61">
        <v>2016</v>
      </c>
      <c r="F350" s="62">
        <v>4110000000</v>
      </c>
      <c r="G350" s="62">
        <v>4531000000</v>
      </c>
      <c r="H350" s="62">
        <v>826947808</v>
      </c>
      <c r="I350" s="62">
        <v>832502808</v>
      </c>
      <c r="J350" s="62">
        <f t="shared" si="55"/>
        <v>4.9700839161061054</v>
      </c>
      <c r="K350" s="62">
        <f t="shared" si="56"/>
        <v>5.4426242848180282</v>
      </c>
      <c r="L350" s="63">
        <f t="shared" si="57"/>
        <v>0.1024330900243309</v>
      </c>
      <c r="M350" s="63">
        <f t="shared" si="58"/>
        <v>6.7174735167808801E-3</v>
      </c>
      <c r="N350" s="63">
        <f t="shared" si="59"/>
        <v>9.5076939683171852E-2</v>
      </c>
      <c r="O350" s="62">
        <f t="shared" si="60"/>
        <v>5.4791849693130814</v>
      </c>
      <c r="P350" s="62">
        <f t="shared" si="61"/>
        <v>0.50910105320697596</v>
      </c>
      <c r="Q350" s="62">
        <f t="shared" si="62"/>
        <v>-3.6560684495053231E-2</v>
      </c>
      <c r="R350" s="63">
        <f t="shared" si="63"/>
        <v>0.10243309002433094</v>
      </c>
      <c r="S350" s="63">
        <f t="shared" si="64"/>
        <v>-7.3561503411590894E-3</v>
      </c>
      <c r="T350" s="63">
        <f t="shared" si="65"/>
        <v>9.5076939683171852E-2</v>
      </c>
    </row>
    <row r="351" spans="1:20" x14ac:dyDescent="0.3">
      <c r="A351" s="18" t="s">
        <v>133</v>
      </c>
      <c r="B351" s="18" t="s">
        <v>134</v>
      </c>
      <c r="C351" s="18" t="s">
        <v>124</v>
      </c>
      <c r="D351" s="18" t="s">
        <v>121</v>
      </c>
      <c r="E351" s="61">
        <v>2017</v>
      </c>
      <c r="F351" s="62">
        <v>4531000000</v>
      </c>
      <c r="G351" s="62">
        <v>7336000000</v>
      </c>
      <c r="H351" s="62">
        <v>832502808</v>
      </c>
      <c r="I351" s="62">
        <v>872108005</v>
      </c>
      <c r="J351" s="62">
        <f t="shared" si="55"/>
        <v>5.4426242848180282</v>
      </c>
      <c r="K351" s="62">
        <f t="shared" si="56"/>
        <v>8.4118021597565775</v>
      </c>
      <c r="L351" s="63">
        <f t="shared" si="57"/>
        <v>0.6190686382696976</v>
      </c>
      <c r="M351" s="63">
        <f t="shared" si="58"/>
        <v>4.7573649745575396E-2</v>
      </c>
      <c r="N351" s="63">
        <f t="shared" si="59"/>
        <v>0.54554158427230526</v>
      </c>
      <c r="O351" s="62">
        <f t="shared" si="60"/>
        <v>8.8119822894339119</v>
      </c>
      <c r="P351" s="62">
        <f t="shared" si="61"/>
        <v>3.3693580046158838</v>
      </c>
      <c r="Q351" s="62">
        <f t="shared" si="62"/>
        <v>-0.40018012967733441</v>
      </c>
      <c r="R351" s="63">
        <f t="shared" si="63"/>
        <v>0.6190686382696976</v>
      </c>
      <c r="S351" s="63">
        <f t="shared" si="64"/>
        <v>-7.3527053997392414E-2</v>
      </c>
      <c r="T351" s="63">
        <f t="shared" si="65"/>
        <v>0.54554158427230515</v>
      </c>
    </row>
    <row r="352" spans="1:20" x14ac:dyDescent="0.3">
      <c r="A352" s="18" t="s">
        <v>133</v>
      </c>
      <c r="B352" s="18" t="s">
        <v>134</v>
      </c>
      <c r="C352" s="18" t="s">
        <v>124</v>
      </c>
      <c r="D352" s="18" t="s">
        <v>121</v>
      </c>
      <c r="E352" s="61">
        <v>2018</v>
      </c>
      <c r="F352" s="62">
        <v>7336000000</v>
      </c>
      <c r="G352" s="62">
        <v>1695000000</v>
      </c>
      <c r="H352" s="62">
        <v>872108005</v>
      </c>
      <c r="I352" s="62">
        <v>940760000</v>
      </c>
      <c r="J352" s="62">
        <f t="shared" si="55"/>
        <v>8.4118021597565775</v>
      </c>
      <c r="K352" s="62">
        <f t="shared" si="56"/>
        <v>1.8017347676346784</v>
      </c>
      <c r="L352" s="63">
        <f t="shared" si="57"/>
        <v>-0.76894765539803711</v>
      </c>
      <c r="M352" s="63">
        <f t="shared" si="58"/>
        <v>7.871960193737701E-2</v>
      </c>
      <c r="N352" s="63">
        <f t="shared" si="59"/>
        <v>-0.78580870859582641</v>
      </c>
      <c r="O352" s="62">
        <f t="shared" si="60"/>
        <v>1.9435666113396126</v>
      </c>
      <c r="P352" s="62">
        <f t="shared" si="61"/>
        <v>-6.4682355484169651</v>
      </c>
      <c r="Q352" s="62">
        <f t="shared" si="62"/>
        <v>-0.14183184370493418</v>
      </c>
      <c r="R352" s="63">
        <f t="shared" si="63"/>
        <v>-0.76894765539803711</v>
      </c>
      <c r="S352" s="63">
        <f t="shared" si="64"/>
        <v>-1.6861053197789251E-2</v>
      </c>
      <c r="T352" s="63">
        <f t="shared" si="65"/>
        <v>-0.78580870859582641</v>
      </c>
    </row>
    <row r="353" spans="1:20" x14ac:dyDescent="0.3">
      <c r="A353" s="18" t="s">
        <v>133</v>
      </c>
      <c r="B353" s="18" t="s">
        <v>134</v>
      </c>
      <c r="C353" s="18" t="s">
        <v>124</v>
      </c>
      <c r="D353" s="18" t="s">
        <v>121</v>
      </c>
      <c r="E353" s="61">
        <v>2019</v>
      </c>
      <c r="F353" s="62">
        <v>1695000000</v>
      </c>
      <c r="G353" s="62">
        <v>2430000000</v>
      </c>
      <c r="H353" s="62">
        <v>940760000</v>
      </c>
      <c r="I353" s="62">
        <v>981690000</v>
      </c>
      <c r="J353" s="62">
        <f t="shared" si="55"/>
        <v>1.8017347676346784</v>
      </c>
      <c r="K353" s="62">
        <f t="shared" si="56"/>
        <v>2.4753231671912723</v>
      </c>
      <c r="L353" s="63">
        <f t="shared" si="57"/>
        <v>0.4336283185840708</v>
      </c>
      <c r="M353" s="63">
        <f t="shared" si="58"/>
        <v>4.3507377014328844E-2</v>
      </c>
      <c r="N353" s="63">
        <f t="shared" si="59"/>
        <v>0.37385547065891517</v>
      </c>
      <c r="O353" s="62">
        <f t="shared" si="60"/>
        <v>2.5830179854585653</v>
      </c>
      <c r="P353" s="62">
        <f t="shared" si="61"/>
        <v>0.78128321782388688</v>
      </c>
      <c r="Q353" s="62">
        <f t="shared" si="62"/>
        <v>-0.10769481826729299</v>
      </c>
      <c r="R353" s="63">
        <f t="shared" si="63"/>
        <v>0.43362831858407069</v>
      </c>
      <c r="S353" s="63">
        <f t="shared" si="64"/>
        <v>-5.9772847925155484E-2</v>
      </c>
      <c r="T353" s="63">
        <f t="shared" si="65"/>
        <v>0.37385547065891522</v>
      </c>
    </row>
    <row r="354" spans="1:20" x14ac:dyDescent="0.3">
      <c r="A354" s="18" t="s">
        <v>133</v>
      </c>
      <c r="B354" s="18" t="s">
        <v>134</v>
      </c>
      <c r="C354" s="18" t="s">
        <v>124</v>
      </c>
      <c r="D354" s="18" t="s">
        <v>121</v>
      </c>
      <c r="E354" s="61">
        <v>2020</v>
      </c>
      <c r="F354" s="62">
        <v>2430000000</v>
      </c>
      <c r="G354" s="62">
        <v>-15561000000</v>
      </c>
      <c r="H354" s="62">
        <v>981690000</v>
      </c>
      <c r="I354" s="62">
        <v>982420000</v>
      </c>
      <c r="J354" s="62">
        <f t="shared" si="55"/>
        <v>2.4753231671912723</v>
      </c>
      <c r="K354" s="62">
        <f t="shared" si="56"/>
        <v>-15.839457665764133</v>
      </c>
      <c r="L354" s="63">
        <f t="shared" si="57"/>
        <v>-7.4037037037037035</v>
      </c>
      <c r="M354" s="63">
        <f t="shared" si="58"/>
        <v>7.4361560166651391E-4</v>
      </c>
      <c r="N354" s="63">
        <f t="shared" si="59"/>
        <v>-7.3989453481086391</v>
      </c>
      <c r="O354" s="62">
        <f t="shared" si="60"/>
        <v>-15.851236133606331</v>
      </c>
      <c r="P354" s="62">
        <f t="shared" si="61"/>
        <v>-18.326559300797605</v>
      </c>
      <c r="Q354" s="62">
        <f t="shared" si="62"/>
        <v>1.1778467842198381E-2</v>
      </c>
      <c r="R354" s="63">
        <f t="shared" si="63"/>
        <v>-7.4037037037037035</v>
      </c>
      <c r="S354" s="63">
        <f t="shared" si="64"/>
        <v>4.7583555950649085E-3</v>
      </c>
      <c r="T354" s="63">
        <f t="shared" si="65"/>
        <v>-7.3989453481086382</v>
      </c>
    </row>
    <row r="355" spans="1:20" x14ac:dyDescent="0.3">
      <c r="A355" s="18" t="s">
        <v>133</v>
      </c>
      <c r="B355" s="18" t="s">
        <v>134</v>
      </c>
      <c r="C355" s="18" t="s">
        <v>124</v>
      </c>
      <c r="D355" s="18" t="s">
        <v>121</v>
      </c>
      <c r="E355" s="61">
        <v>2021</v>
      </c>
      <c r="F355" s="62">
        <v>-15561000000</v>
      </c>
      <c r="G355" s="62">
        <v>1000000000</v>
      </c>
      <c r="H355" s="62">
        <v>982420000</v>
      </c>
      <c r="I355" s="62">
        <v>982420000</v>
      </c>
      <c r="J355" s="62">
        <f t="shared" si="55"/>
        <v>-15.839457665764133</v>
      </c>
      <c r="K355" s="62">
        <f t="shared" si="56"/>
        <v>1.0178945868365872</v>
      </c>
      <c r="L355" s="63">
        <f t="shared" si="57"/>
        <v>1.0642632221579591</v>
      </c>
      <c r="M355" s="63">
        <f t="shared" si="58"/>
        <v>0</v>
      </c>
      <c r="N355" s="63">
        <f t="shared" si="59"/>
        <v>1.0642632221579589</v>
      </c>
      <c r="O355" s="62">
        <f t="shared" si="60"/>
        <v>1.0178945868365872</v>
      </c>
      <c r="P355" s="62">
        <f t="shared" si="61"/>
        <v>16.85735225260072</v>
      </c>
      <c r="Q355" s="62">
        <f t="shared" si="62"/>
        <v>0</v>
      </c>
      <c r="R355" s="63">
        <f t="shared" si="63"/>
        <v>1.0642632221579589</v>
      </c>
      <c r="S355" s="63">
        <f t="shared" si="64"/>
        <v>0</v>
      </c>
      <c r="T355" s="63">
        <f t="shared" si="65"/>
        <v>1.0642632221579589</v>
      </c>
    </row>
    <row r="356" spans="1:20" x14ac:dyDescent="0.3">
      <c r="A356" s="18" t="s">
        <v>133</v>
      </c>
      <c r="B356" s="18" t="s">
        <v>134</v>
      </c>
      <c r="C356" s="18" t="s">
        <v>124</v>
      </c>
      <c r="D356" s="18" t="s">
        <v>121</v>
      </c>
      <c r="E356" s="61">
        <v>2022</v>
      </c>
      <c r="F356" s="62">
        <v>1000000000</v>
      </c>
      <c r="G356" s="62">
        <v>4150000000</v>
      </c>
      <c r="H356" s="62">
        <v>982420000</v>
      </c>
      <c r="I356" s="62">
        <v>982420000</v>
      </c>
      <c r="J356" s="62">
        <f t="shared" si="55"/>
        <v>1.0178945868365872</v>
      </c>
      <c r="K356" s="62">
        <f t="shared" si="56"/>
        <v>4.224262535371837</v>
      </c>
      <c r="L356" s="63">
        <f t="shared" si="57"/>
        <v>3.15</v>
      </c>
      <c r="M356" s="63">
        <f t="shared" si="58"/>
        <v>0</v>
      </c>
      <c r="N356" s="63">
        <f t="shared" si="59"/>
        <v>3.15</v>
      </c>
      <c r="O356" s="62">
        <f t="shared" si="60"/>
        <v>4.224262535371837</v>
      </c>
      <c r="P356" s="62">
        <f t="shared" si="61"/>
        <v>3.2063679485352496</v>
      </c>
      <c r="Q356" s="62">
        <f t="shared" si="62"/>
        <v>0</v>
      </c>
      <c r="R356" s="63">
        <f t="shared" si="63"/>
        <v>3.15</v>
      </c>
      <c r="S356" s="63">
        <f t="shared" si="64"/>
        <v>0</v>
      </c>
      <c r="T356" s="63">
        <f t="shared" si="65"/>
        <v>3.15</v>
      </c>
    </row>
    <row r="357" spans="1:20" x14ac:dyDescent="0.3">
      <c r="A357" s="18" t="s">
        <v>133</v>
      </c>
      <c r="B357" s="18" t="s">
        <v>134</v>
      </c>
      <c r="C357" s="18" t="s">
        <v>124</v>
      </c>
      <c r="D357" s="18" t="s">
        <v>121</v>
      </c>
      <c r="E357" s="61">
        <v>2023</v>
      </c>
      <c r="F357" s="62">
        <v>4150000000</v>
      </c>
      <c r="G357" s="62">
        <v>-2941000000</v>
      </c>
      <c r="H357" s="62">
        <v>982420000</v>
      </c>
      <c r="I357" s="62">
        <v>982420000</v>
      </c>
      <c r="J357" s="62">
        <f t="shared" si="55"/>
        <v>4.224262535371837</v>
      </c>
      <c r="K357" s="62">
        <f t="shared" si="56"/>
        <v>-2.9936279798864032</v>
      </c>
      <c r="L357" s="63">
        <f t="shared" si="57"/>
        <v>-1.7086746987951806</v>
      </c>
      <c r="M357" s="63">
        <f t="shared" si="58"/>
        <v>0</v>
      </c>
      <c r="N357" s="63">
        <f t="shared" si="59"/>
        <v>-1.7086746987951806</v>
      </c>
      <c r="O357" s="62">
        <f t="shared" si="60"/>
        <v>-2.9936279798864032</v>
      </c>
      <c r="P357" s="62">
        <f t="shared" si="61"/>
        <v>-7.2178905152582402</v>
      </c>
      <c r="Q357" s="62">
        <f t="shared" si="62"/>
        <v>0</v>
      </c>
      <c r="R357" s="63">
        <f t="shared" si="63"/>
        <v>-1.7086746987951806</v>
      </c>
      <c r="S357" s="63">
        <f t="shared" si="64"/>
        <v>0</v>
      </c>
      <c r="T357" s="63">
        <f t="shared" si="65"/>
        <v>-1.7086746987951806</v>
      </c>
    </row>
    <row r="358" spans="1:20" x14ac:dyDescent="0.3">
      <c r="A358" s="18" t="s">
        <v>133</v>
      </c>
      <c r="B358" s="18" t="s">
        <v>134</v>
      </c>
      <c r="C358" s="18" t="s">
        <v>124</v>
      </c>
      <c r="D358" s="18" t="s">
        <v>121</v>
      </c>
      <c r="E358" s="61">
        <v>2024</v>
      </c>
      <c r="F358" s="62">
        <v>-2941000000</v>
      </c>
      <c r="G358" s="62">
        <v>-2552000000</v>
      </c>
      <c r="H358" s="62">
        <v>982420000</v>
      </c>
      <c r="I358" s="62">
        <v>982420000</v>
      </c>
      <c r="J358" s="62">
        <f t="shared" si="55"/>
        <v>-2.9936279798864032</v>
      </c>
      <c r="K358" s="62">
        <f t="shared" si="56"/>
        <v>-2.5976669856069705</v>
      </c>
      <c r="L358" s="63">
        <f t="shared" si="57"/>
        <v>0.13226793607616458</v>
      </c>
      <c r="M358" s="63">
        <f t="shared" si="58"/>
        <v>0</v>
      </c>
      <c r="N358" s="63">
        <f t="shared" si="59"/>
        <v>0.13226793607616463</v>
      </c>
      <c r="O358" s="62">
        <f t="shared" si="60"/>
        <v>-2.5976669856069705</v>
      </c>
      <c r="P358" s="62">
        <f t="shared" si="61"/>
        <v>0.39596099427943265</v>
      </c>
      <c r="Q358" s="62">
        <f t="shared" si="62"/>
        <v>0</v>
      </c>
      <c r="R358" s="63">
        <f t="shared" si="63"/>
        <v>0.13226793607616463</v>
      </c>
      <c r="S358" s="63">
        <f t="shared" si="64"/>
        <v>0</v>
      </c>
      <c r="T358" s="63">
        <f t="shared" si="65"/>
        <v>0.13226793607616463</v>
      </c>
    </row>
    <row r="359" spans="1:20" x14ac:dyDescent="0.3">
      <c r="A359" s="18" t="s">
        <v>135</v>
      </c>
      <c r="B359" s="18" t="s">
        <v>136</v>
      </c>
      <c r="C359" s="18" t="s">
        <v>124</v>
      </c>
      <c r="D359" s="18" t="s">
        <v>121</v>
      </c>
      <c r="E359" s="61">
        <v>2016</v>
      </c>
      <c r="F359" s="62">
        <v>660000000</v>
      </c>
      <c r="G359" s="62">
        <v>709000000</v>
      </c>
      <c r="H359" s="62">
        <v>226818984</v>
      </c>
      <c r="I359" s="62">
        <v>226818984</v>
      </c>
      <c r="J359" s="62">
        <f t="shared" si="55"/>
        <v>2.9098093482333911</v>
      </c>
      <c r="K359" s="62">
        <f t="shared" si="56"/>
        <v>3.1258406483295067</v>
      </c>
      <c r="L359" s="63">
        <f t="shared" si="57"/>
        <v>7.4242424242424249E-2</v>
      </c>
      <c r="M359" s="63">
        <f t="shared" si="58"/>
        <v>0</v>
      </c>
      <c r="N359" s="63">
        <f t="shared" si="59"/>
        <v>7.4242424242424304E-2</v>
      </c>
      <c r="O359" s="62">
        <f t="shared" si="60"/>
        <v>3.1258406483295067</v>
      </c>
      <c r="P359" s="62">
        <f t="shared" si="61"/>
        <v>0.2160313000961156</v>
      </c>
      <c r="Q359" s="62">
        <f t="shared" si="62"/>
        <v>0</v>
      </c>
      <c r="R359" s="63">
        <f t="shared" si="63"/>
        <v>7.4242424242424304E-2</v>
      </c>
      <c r="S359" s="63">
        <f t="shared" si="64"/>
        <v>0</v>
      </c>
      <c r="T359" s="63">
        <f t="shared" si="65"/>
        <v>7.4242424242424304E-2</v>
      </c>
    </row>
    <row r="360" spans="1:20" x14ac:dyDescent="0.3">
      <c r="A360" s="18" t="s">
        <v>135</v>
      </c>
      <c r="B360" s="18" t="s">
        <v>136</v>
      </c>
      <c r="C360" s="18" t="s">
        <v>124</v>
      </c>
      <c r="D360" s="18" t="s">
        <v>121</v>
      </c>
      <c r="E360" s="61">
        <v>2017</v>
      </c>
      <c r="F360" s="62">
        <v>709000000</v>
      </c>
      <c r="G360" s="62">
        <v>672000000</v>
      </c>
      <c r="H360" s="62">
        <v>226818984</v>
      </c>
      <c r="I360" s="62">
        <v>226818984</v>
      </c>
      <c r="J360" s="62">
        <f t="shared" si="55"/>
        <v>3.1258406483295067</v>
      </c>
      <c r="K360" s="62">
        <f t="shared" si="56"/>
        <v>2.9627149727467255</v>
      </c>
      <c r="L360" s="63">
        <f t="shared" si="57"/>
        <v>-5.2186177715091681E-2</v>
      </c>
      <c r="M360" s="63">
        <f t="shared" si="58"/>
        <v>0</v>
      </c>
      <c r="N360" s="63">
        <f t="shared" si="59"/>
        <v>-5.2186177715091743E-2</v>
      </c>
      <c r="O360" s="62">
        <f t="shared" si="60"/>
        <v>2.9627149727467255</v>
      </c>
      <c r="P360" s="62">
        <f t="shared" si="61"/>
        <v>-0.16312567558278124</v>
      </c>
      <c r="Q360" s="62">
        <f t="shared" si="62"/>
        <v>0</v>
      </c>
      <c r="R360" s="63">
        <f t="shared" si="63"/>
        <v>-5.2186177715091743E-2</v>
      </c>
      <c r="S360" s="63">
        <f t="shared" si="64"/>
        <v>0</v>
      </c>
      <c r="T360" s="63">
        <f t="shared" si="65"/>
        <v>-5.2186177715091743E-2</v>
      </c>
    </row>
    <row r="361" spans="1:20" x14ac:dyDescent="0.3">
      <c r="A361" s="18" t="s">
        <v>135</v>
      </c>
      <c r="B361" s="18" t="s">
        <v>136</v>
      </c>
      <c r="C361" s="18" t="s">
        <v>124</v>
      </c>
      <c r="D361" s="18" t="s">
        <v>121</v>
      </c>
      <c r="E361" s="61">
        <v>2018</v>
      </c>
      <c r="F361" s="62">
        <v>672000000</v>
      </c>
      <c r="G361" s="62">
        <v>728000000</v>
      </c>
      <c r="H361" s="62">
        <v>226818984</v>
      </c>
      <c r="I361" s="62">
        <v>226818984</v>
      </c>
      <c r="J361" s="62">
        <f t="shared" si="55"/>
        <v>2.9627149727467255</v>
      </c>
      <c r="K361" s="62">
        <f t="shared" si="56"/>
        <v>3.209607887142286</v>
      </c>
      <c r="L361" s="63">
        <f t="shared" si="57"/>
        <v>8.3333333333333329E-2</v>
      </c>
      <c r="M361" s="63">
        <f t="shared" si="58"/>
        <v>0</v>
      </c>
      <c r="N361" s="63">
        <f t="shared" si="59"/>
        <v>8.3333333333333343E-2</v>
      </c>
      <c r="O361" s="62">
        <f t="shared" si="60"/>
        <v>3.209607887142286</v>
      </c>
      <c r="P361" s="62">
        <f t="shared" si="61"/>
        <v>0.24689291439556049</v>
      </c>
      <c r="Q361" s="62">
        <f t="shared" si="62"/>
        <v>0</v>
      </c>
      <c r="R361" s="63">
        <f t="shared" si="63"/>
        <v>8.3333333333333343E-2</v>
      </c>
      <c r="S361" s="63">
        <f t="shared" si="64"/>
        <v>0</v>
      </c>
      <c r="T361" s="63">
        <f t="shared" si="65"/>
        <v>8.3333333333333343E-2</v>
      </c>
    </row>
    <row r="362" spans="1:20" x14ac:dyDescent="0.3">
      <c r="A362" s="18" t="s">
        <v>135</v>
      </c>
      <c r="B362" s="18" t="s">
        <v>136</v>
      </c>
      <c r="C362" s="18" t="s">
        <v>124</v>
      </c>
      <c r="D362" s="18" t="s">
        <v>121</v>
      </c>
      <c r="E362" s="61">
        <v>2019</v>
      </c>
      <c r="F362" s="62">
        <v>728000000</v>
      </c>
      <c r="G362" s="62">
        <v>718000000</v>
      </c>
      <c r="H362" s="62">
        <v>226818984</v>
      </c>
      <c r="I362" s="62">
        <v>226818984</v>
      </c>
      <c r="J362" s="62">
        <f t="shared" si="55"/>
        <v>3.209607887142286</v>
      </c>
      <c r="K362" s="62">
        <f t="shared" si="56"/>
        <v>3.1655198667145075</v>
      </c>
      <c r="L362" s="63">
        <f t="shared" si="57"/>
        <v>-1.3736263736263736E-2</v>
      </c>
      <c r="M362" s="63">
        <f t="shared" si="58"/>
        <v>0</v>
      </c>
      <c r="N362" s="63">
        <f t="shared" si="59"/>
        <v>-1.3736263736263684E-2</v>
      </c>
      <c r="O362" s="62">
        <f t="shared" si="60"/>
        <v>3.1655198667145075</v>
      </c>
      <c r="P362" s="62">
        <f t="shared" si="61"/>
        <v>-4.4088020427778485E-2</v>
      </c>
      <c r="Q362" s="62">
        <f t="shared" si="62"/>
        <v>0</v>
      </c>
      <c r="R362" s="63">
        <f t="shared" si="63"/>
        <v>-1.3736263736263684E-2</v>
      </c>
      <c r="S362" s="63">
        <f t="shared" si="64"/>
        <v>0</v>
      </c>
      <c r="T362" s="63">
        <f t="shared" si="65"/>
        <v>-1.3736263736263684E-2</v>
      </c>
    </row>
    <row r="363" spans="1:20" x14ac:dyDescent="0.3">
      <c r="A363" s="18" t="s">
        <v>135</v>
      </c>
      <c r="B363" s="18" t="s">
        <v>136</v>
      </c>
      <c r="C363" s="18" t="s">
        <v>124</v>
      </c>
      <c r="D363" s="18" t="s">
        <v>121</v>
      </c>
      <c r="E363" s="61">
        <v>2020</v>
      </c>
      <c r="F363" s="62">
        <v>718000000</v>
      </c>
      <c r="G363" s="62">
        <v>560000000</v>
      </c>
      <c r="H363" s="62">
        <v>226818984</v>
      </c>
      <c r="I363" s="62">
        <v>226818984</v>
      </c>
      <c r="J363" s="62">
        <f t="shared" si="55"/>
        <v>3.1655198667145075</v>
      </c>
      <c r="K363" s="62">
        <f t="shared" si="56"/>
        <v>2.4689291439556049</v>
      </c>
      <c r="L363" s="63">
        <f t="shared" si="57"/>
        <v>-0.22005571030640669</v>
      </c>
      <c r="M363" s="63">
        <f t="shared" si="58"/>
        <v>0</v>
      </c>
      <c r="N363" s="63">
        <f t="shared" si="59"/>
        <v>-0.22005571030640661</v>
      </c>
      <c r="O363" s="62">
        <f t="shared" si="60"/>
        <v>2.4689291439556049</v>
      </c>
      <c r="P363" s="62">
        <f t="shared" si="61"/>
        <v>-0.69659072275890255</v>
      </c>
      <c r="Q363" s="62">
        <f t="shared" si="62"/>
        <v>0</v>
      </c>
      <c r="R363" s="63">
        <f t="shared" si="63"/>
        <v>-0.22005571030640661</v>
      </c>
      <c r="S363" s="63">
        <f t="shared" si="64"/>
        <v>0</v>
      </c>
      <c r="T363" s="63">
        <f t="shared" si="65"/>
        <v>-0.22005571030640661</v>
      </c>
    </row>
    <row r="364" spans="1:20" x14ac:dyDescent="0.3">
      <c r="A364" s="18" t="s">
        <v>135</v>
      </c>
      <c r="B364" s="18" t="s">
        <v>136</v>
      </c>
      <c r="C364" s="18" t="s">
        <v>124</v>
      </c>
      <c r="D364" s="18" t="s">
        <v>121</v>
      </c>
      <c r="E364" s="61">
        <v>2021</v>
      </c>
      <c r="F364" s="62">
        <v>560000000</v>
      </c>
      <c r="G364" s="62">
        <v>638000000</v>
      </c>
      <c r="H364" s="62">
        <v>226818984</v>
      </c>
      <c r="I364" s="62">
        <v>226818984</v>
      </c>
      <c r="J364" s="62">
        <f t="shared" si="55"/>
        <v>2.4689291439556049</v>
      </c>
      <c r="K364" s="62">
        <f t="shared" si="56"/>
        <v>2.8128157032922783</v>
      </c>
      <c r="L364" s="63">
        <f t="shared" si="57"/>
        <v>0.13928571428571429</v>
      </c>
      <c r="M364" s="63">
        <f t="shared" si="58"/>
        <v>0</v>
      </c>
      <c r="N364" s="63">
        <f t="shared" si="59"/>
        <v>0.13928571428571421</v>
      </c>
      <c r="O364" s="62">
        <f t="shared" si="60"/>
        <v>2.8128157032922783</v>
      </c>
      <c r="P364" s="62">
        <f t="shared" si="61"/>
        <v>0.34388655933667334</v>
      </c>
      <c r="Q364" s="62">
        <f t="shared" si="62"/>
        <v>0</v>
      </c>
      <c r="R364" s="63">
        <f t="shared" si="63"/>
        <v>0.13928571428571421</v>
      </c>
      <c r="S364" s="63">
        <f t="shared" si="64"/>
        <v>0</v>
      </c>
      <c r="T364" s="63">
        <f t="shared" si="65"/>
        <v>0.13928571428571421</v>
      </c>
    </row>
    <row r="365" spans="1:20" x14ac:dyDescent="0.3">
      <c r="A365" s="18" t="s">
        <v>135</v>
      </c>
      <c r="B365" s="18" t="s">
        <v>136</v>
      </c>
      <c r="C365" s="18" t="s">
        <v>124</v>
      </c>
      <c r="D365" s="18" t="s">
        <v>121</v>
      </c>
      <c r="E365" s="61">
        <v>2022</v>
      </c>
      <c r="F365" s="62">
        <v>638000000</v>
      </c>
      <c r="G365" s="62">
        <v>755000000</v>
      </c>
      <c r="H365" s="62">
        <v>226818984</v>
      </c>
      <c r="I365" s="62">
        <v>226818984</v>
      </c>
      <c r="J365" s="62">
        <f t="shared" si="55"/>
        <v>2.8128157032922783</v>
      </c>
      <c r="K365" s="62">
        <f t="shared" si="56"/>
        <v>3.3286455422972887</v>
      </c>
      <c r="L365" s="63">
        <f t="shared" si="57"/>
        <v>0.18338557993730409</v>
      </c>
      <c r="M365" s="63">
        <f t="shared" si="58"/>
        <v>0</v>
      </c>
      <c r="N365" s="63">
        <f t="shared" si="59"/>
        <v>0.18338557993730414</v>
      </c>
      <c r="O365" s="62">
        <f t="shared" si="60"/>
        <v>3.3286455422972887</v>
      </c>
      <c r="P365" s="62">
        <f t="shared" si="61"/>
        <v>0.51582983900501045</v>
      </c>
      <c r="Q365" s="62">
        <f t="shared" si="62"/>
        <v>0</v>
      </c>
      <c r="R365" s="63">
        <f t="shared" si="63"/>
        <v>0.18338557993730414</v>
      </c>
      <c r="S365" s="63">
        <f t="shared" si="64"/>
        <v>0</v>
      </c>
      <c r="T365" s="63">
        <f t="shared" si="65"/>
        <v>0.18338557993730414</v>
      </c>
    </row>
    <row r="366" spans="1:20" x14ac:dyDescent="0.3">
      <c r="A366" s="18" t="s">
        <v>135</v>
      </c>
      <c r="B366" s="18" t="s">
        <v>136</v>
      </c>
      <c r="C366" s="18" t="s">
        <v>124</v>
      </c>
      <c r="D366" s="18" t="s">
        <v>121</v>
      </c>
      <c r="E366" s="61">
        <v>2023</v>
      </c>
      <c r="F366" s="62">
        <v>755000000</v>
      </c>
      <c r="G366" s="62">
        <v>736000000</v>
      </c>
      <c r="H366" s="62">
        <v>226818984</v>
      </c>
      <c r="I366" s="62">
        <v>226818984</v>
      </c>
      <c r="J366" s="62">
        <f t="shared" si="55"/>
        <v>3.3286455422972887</v>
      </c>
      <c r="K366" s="62">
        <f t="shared" si="56"/>
        <v>3.244878303484509</v>
      </c>
      <c r="L366" s="63">
        <f t="shared" si="57"/>
        <v>-2.5165562913907286E-2</v>
      </c>
      <c r="M366" s="63">
        <f t="shared" si="58"/>
        <v>0</v>
      </c>
      <c r="N366" s="63">
        <f t="shared" si="59"/>
        <v>-2.5165562913907358E-2</v>
      </c>
      <c r="O366" s="62">
        <f t="shared" si="60"/>
        <v>3.244878303484509</v>
      </c>
      <c r="P366" s="62">
        <f t="shared" si="61"/>
        <v>-8.3767238812779699E-2</v>
      </c>
      <c r="Q366" s="62">
        <f t="shared" si="62"/>
        <v>0</v>
      </c>
      <c r="R366" s="63">
        <f t="shared" si="63"/>
        <v>-2.5165562913907358E-2</v>
      </c>
      <c r="S366" s="63">
        <f t="shared" si="64"/>
        <v>0</v>
      </c>
      <c r="T366" s="63">
        <f t="shared" si="65"/>
        <v>-2.5165562913907358E-2</v>
      </c>
    </row>
    <row r="367" spans="1:20" x14ac:dyDescent="0.3">
      <c r="A367" s="18" t="s">
        <v>135</v>
      </c>
      <c r="B367" s="18" t="s">
        <v>136</v>
      </c>
      <c r="C367" s="18" t="s">
        <v>124</v>
      </c>
      <c r="D367" s="18" t="s">
        <v>121</v>
      </c>
      <c r="E367" s="61">
        <v>2024</v>
      </c>
      <c r="F367" s="62">
        <v>736000000</v>
      </c>
      <c r="G367" s="62">
        <v>912000000</v>
      </c>
      <c r="H367" s="62">
        <v>226818984</v>
      </c>
      <c r="I367" s="62">
        <v>224959424</v>
      </c>
      <c r="J367" s="62">
        <f t="shared" si="55"/>
        <v>3.244878303484509</v>
      </c>
      <c r="K367" s="62">
        <f t="shared" si="56"/>
        <v>4.0540644343043839</v>
      </c>
      <c r="L367" s="63">
        <f t="shared" si="57"/>
        <v>0.2391304347826087</v>
      </c>
      <c r="M367" s="63">
        <f t="shared" si="58"/>
        <v>-8.198431926668007E-3</v>
      </c>
      <c r="N367" s="63">
        <f t="shared" si="59"/>
        <v>0.24937333703730313</v>
      </c>
      <c r="O367" s="62">
        <f t="shared" si="60"/>
        <v>4.0208274630134131</v>
      </c>
      <c r="P367" s="62">
        <f t="shared" si="61"/>
        <v>0.77594915952890409</v>
      </c>
      <c r="Q367" s="62">
        <f t="shared" si="62"/>
        <v>3.3236971290970807E-2</v>
      </c>
      <c r="R367" s="63">
        <f t="shared" si="63"/>
        <v>0.23913043478260862</v>
      </c>
      <c r="S367" s="63">
        <f t="shared" si="64"/>
        <v>1.0242902254694521E-2</v>
      </c>
      <c r="T367" s="63">
        <f t="shared" si="65"/>
        <v>0.24937333703730313</v>
      </c>
    </row>
    <row r="368" spans="1:20" x14ac:dyDescent="0.3">
      <c r="A368" s="18" t="s">
        <v>137</v>
      </c>
      <c r="B368" s="18" t="s">
        <v>138</v>
      </c>
      <c r="C368" s="18" t="s">
        <v>124</v>
      </c>
      <c r="D368" s="18" t="s">
        <v>121</v>
      </c>
      <c r="E368" s="61">
        <v>2016</v>
      </c>
      <c r="F368" s="62">
        <v>365000000</v>
      </c>
      <c r="G368" s="62">
        <v>360300000</v>
      </c>
      <c r="H368" s="62">
        <v>154500000</v>
      </c>
      <c r="I368" s="62">
        <v>154500000</v>
      </c>
      <c r="J368" s="62">
        <f t="shared" si="55"/>
        <v>2.3624595469255665</v>
      </c>
      <c r="K368" s="62">
        <f t="shared" si="56"/>
        <v>2.3320388349514563</v>
      </c>
      <c r="L368" s="63">
        <f t="shared" si="57"/>
        <v>-1.2876712328767123E-2</v>
      </c>
      <c r="M368" s="63">
        <f t="shared" si="58"/>
        <v>0</v>
      </c>
      <c r="N368" s="63">
        <f t="shared" si="59"/>
        <v>-1.2876712328767205E-2</v>
      </c>
      <c r="O368" s="62">
        <f t="shared" si="60"/>
        <v>2.3320388349514563</v>
      </c>
      <c r="P368" s="62">
        <f t="shared" si="61"/>
        <v>-3.0420711974110226E-2</v>
      </c>
      <c r="Q368" s="62">
        <f t="shared" si="62"/>
        <v>0</v>
      </c>
      <c r="R368" s="63">
        <f t="shared" si="63"/>
        <v>-1.2876712328767205E-2</v>
      </c>
      <c r="S368" s="63">
        <f t="shared" si="64"/>
        <v>0</v>
      </c>
      <c r="T368" s="63">
        <f t="shared" si="65"/>
        <v>-1.2876712328767205E-2</v>
      </c>
    </row>
    <row r="369" spans="1:20" x14ac:dyDescent="0.3">
      <c r="A369" s="18" t="s">
        <v>137</v>
      </c>
      <c r="B369" s="18" t="s">
        <v>138</v>
      </c>
      <c r="C369" s="18" t="s">
        <v>124</v>
      </c>
      <c r="D369" s="18" t="s">
        <v>121</v>
      </c>
      <c r="E369" s="61">
        <v>2017</v>
      </c>
      <c r="F369" s="62">
        <v>360300000</v>
      </c>
      <c r="G369" s="62">
        <v>360800000</v>
      </c>
      <c r="H369" s="62">
        <v>154500000</v>
      </c>
      <c r="I369" s="62">
        <v>154500000</v>
      </c>
      <c r="J369" s="62">
        <f t="shared" si="55"/>
        <v>2.3320388349514563</v>
      </c>
      <c r="K369" s="62">
        <f t="shared" si="56"/>
        <v>2.3352750809061487</v>
      </c>
      <c r="L369" s="63">
        <f t="shared" si="57"/>
        <v>1.3877324451845685E-3</v>
      </c>
      <c r="M369" s="63">
        <f t="shared" si="58"/>
        <v>0</v>
      </c>
      <c r="N369" s="63">
        <f t="shared" si="59"/>
        <v>1.3877324451845043E-3</v>
      </c>
      <c r="O369" s="62">
        <f t="shared" si="60"/>
        <v>2.3352750809061487</v>
      </c>
      <c r="P369" s="62">
        <f t="shared" si="61"/>
        <v>3.2362459546924072E-3</v>
      </c>
      <c r="Q369" s="62">
        <f t="shared" si="62"/>
        <v>0</v>
      </c>
      <c r="R369" s="63">
        <f t="shared" si="63"/>
        <v>1.3877324451845043E-3</v>
      </c>
      <c r="S369" s="63">
        <f t="shared" si="64"/>
        <v>0</v>
      </c>
      <c r="T369" s="63">
        <f t="shared" si="65"/>
        <v>1.3877324451845043E-3</v>
      </c>
    </row>
    <row r="370" spans="1:20" x14ac:dyDescent="0.3">
      <c r="A370" s="18" t="s">
        <v>137</v>
      </c>
      <c r="B370" s="18" t="s">
        <v>138</v>
      </c>
      <c r="C370" s="18" t="s">
        <v>124</v>
      </c>
      <c r="D370" s="18" t="s">
        <v>121</v>
      </c>
      <c r="E370" s="61">
        <v>2018</v>
      </c>
      <c r="F370" s="62">
        <v>360800000</v>
      </c>
      <c r="G370" s="62">
        <v>460900000</v>
      </c>
      <c r="H370" s="62">
        <v>154500000</v>
      </c>
      <c r="I370" s="62">
        <v>154500000</v>
      </c>
      <c r="J370" s="62">
        <f t="shared" si="55"/>
        <v>2.3352750809061487</v>
      </c>
      <c r="K370" s="62">
        <f t="shared" si="56"/>
        <v>2.9831715210355987</v>
      </c>
      <c r="L370" s="63">
        <f t="shared" si="57"/>
        <v>0.27743902439024393</v>
      </c>
      <c r="M370" s="63">
        <f t="shared" si="58"/>
        <v>0</v>
      </c>
      <c r="N370" s="63">
        <f t="shared" si="59"/>
        <v>0.27743902439024398</v>
      </c>
      <c r="O370" s="62">
        <f t="shared" si="60"/>
        <v>2.9831715210355987</v>
      </c>
      <c r="P370" s="62">
        <f t="shared" si="61"/>
        <v>0.64789644012945002</v>
      </c>
      <c r="Q370" s="62">
        <f t="shared" si="62"/>
        <v>0</v>
      </c>
      <c r="R370" s="63">
        <f t="shared" si="63"/>
        <v>0.27743902439024398</v>
      </c>
      <c r="S370" s="63">
        <f t="shared" si="64"/>
        <v>0</v>
      </c>
      <c r="T370" s="63">
        <f t="shared" si="65"/>
        <v>0.27743902439024398</v>
      </c>
    </row>
    <row r="371" spans="1:20" x14ac:dyDescent="0.3">
      <c r="A371" s="18" t="s">
        <v>137</v>
      </c>
      <c r="B371" s="18" t="s">
        <v>138</v>
      </c>
      <c r="C371" s="18" t="s">
        <v>124</v>
      </c>
      <c r="D371" s="18" t="s">
        <v>121</v>
      </c>
      <c r="E371" s="61">
        <v>2019</v>
      </c>
      <c r="F371" s="62">
        <v>460900000</v>
      </c>
      <c r="G371" s="62">
        <v>466700000</v>
      </c>
      <c r="H371" s="62">
        <v>154500000</v>
      </c>
      <c r="I371" s="62">
        <v>154500000</v>
      </c>
      <c r="J371" s="62">
        <f t="shared" si="55"/>
        <v>2.9831715210355987</v>
      </c>
      <c r="K371" s="62">
        <f t="shared" si="56"/>
        <v>3.0207119741100326</v>
      </c>
      <c r="L371" s="63">
        <f t="shared" si="57"/>
        <v>1.2584074636580603E-2</v>
      </c>
      <c r="M371" s="63">
        <f t="shared" si="58"/>
        <v>0</v>
      </c>
      <c r="N371" s="63">
        <f t="shared" si="59"/>
        <v>1.2584074636580678E-2</v>
      </c>
      <c r="O371" s="62">
        <f t="shared" si="60"/>
        <v>3.0207119741100326</v>
      </c>
      <c r="P371" s="62">
        <f t="shared" si="61"/>
        <v>3.7540453074433877E-2</v>
      </c>
      <c r="Q371" s="62">
        <f t="shared" si="62"/>
        <v>0</v>
      </c>
      <c r="R371" s="63">
        <f t="shared" si="63"/>
        <v>1.2584074636580678E-2</v>
      </c>
      <c r="S371" s="63">
        <f t="shared" si="64"/>
        <v>0</v>
      </c>
      <c r="T371" s="63">
        <f t="shared" si="65"/>
        <v>1.2584074636580678E-2</v>
      </c>
    </row>
    <row r="372" spans="1:20" x14ac:dyDescent="0.3">
      <c r="A372" s="18" t="s">
        <v>137</v>
      </c>
      <c r="B372" s="18" t="s">
        <v>138</v>
      </c>
      <c r="C372" s="18" t="s">
        <v>124</v>
      </c>
      <c r="D372" s="18" t="s">
        <v>121</v>
      </c>
      <c r="E372" s="61">
        <v>2020</v>
      </c>
      <c r="F372" s="62">
        <v>466700000</v>
      </c>
      <c r="G372" s="62">
        <v>466500000</v>
      </c>
      <c r="H372" s="62">
        <v>154500000</v>
      </c>
      <c r="I372" s="62">
        <v>154500000</v>
      </c>
      <c r="J372" s="62">
        <f t="shared" si="55"/>
        <v>3.0207119741100326</v>
      </c>
      <c r="K372" s="62">
        <f t="shared" si="56"/>
        <v>3.0194174757281553</v>
      </c>
      <c r="L372" s="63">
        <f t="shared" si="57"/>
        <v>-4.2854081851296334E-4</v>
      </c>
      <c r="M372" s="63">
        <f t="shared" si="58"/>
        <v>0</v>
      </c>
      <c r="N372" s="63">
        <f t="shared" si="59"/>
        <v>-4.2854081851303175E-4</v>
      </c>
      <c r="O372" s="62">
        <f t="shared" si="60"/>
        <v>3.0194174757281553</v>
      </c>
      <c r="P372" s="62">
        <f t="shared" si="61"/>
        <v>-1.2944983818772293E-3</v>
      </c>
      <c r="Q372" s="62">
        <f t="shared" si="62"/>
        <v>0</v>
      </c>
      <c r="R372" s="63">
        <f t="shared" si="63"/>
        <v>-4.2854081851303175E-4</v>
      </c>
      <c r="S372" s="63">
        <f t="shared" si="64"/>
        <v>0</v>
      </c>
      <c r="T372" s="63">
        <f t="shared" si="65"/>
        <v>-4.2854081851303175E-4</v>
      </c>
    </row>
    <row r="373" spans="1:20" x14ac:dyDescent="0.3">
      <c r="A373" s="18" t="s">
        <v>137</v>
      </c>
      <c r="B373" s="18" t="s">
        <v>138</v>
      </c>
      <c r="C373" s="18" t="s">
        <v>124</v>
      </c>
      <c r="D373" s="18" t="s">
        <v>121</v>
      </c>
      <c r="E373" s="61">
        <v>2021</v>
      </c>
      <c r="F373" s="62">
        <v>466500000</v>
      </c>
      <c r="G373" s="62">
        <v>448300000</v>
      </c>
      <c r="H373" s="62">
        <v>154500000</v>
      </c>
      <c r="I373" s="62">
        <v>154500000</v>
      </c>
      <c r="J373" s="62">
        <f t="shared" si="55"/>
        <v>3.0194174757281553</v>
      </c>
      <c r="K373" s="62">
        <f t="shared" si="56"/>
        <v>2.9016181229773461</v>
      </c>
      <c r="L373" s="63">
        <f t="shared" si="57"/>
        <v>-3.9013933547695605E-2</v>
      </c>
      <c r="M373" s="63">
        <f t="shared" si="58"/>
        <v>0</v>
      </c>
      <c r="N373" s="63">
        <f t="shared" si="59"/>
        <v>-3.901393354769566E-2</v>
      </c>
      <c r="O373" s="62">
        <f t="shared" si="60"/>
        <v>2.9016181229773461</v>
      </c>
      <c r="P373" s="62">
        <f t="shared" si="61"/>
        <v>-0.11779935275080922</v>
      </c>
      <c r="Q373" s="62">
        <f t="shared" si="62"/>
        <v>0</v>
      </c>
      <c r="R373" s="63">
        <f t="shared" si="63"/>
        <v>-3.901393354769566E-2</v>
      </c>
      <c r="S373" s="63">
        <f t="shared" si="64"/>
        <v>0</v>
      </c>
      <c r="T373" s="63">
        <f t="shared" si="65"/>
        <v>-3.901393354769566E-2</v>
      </c>
    </row>
    <row r="374" spans="1:20" x14ac:dyDescent="0.3">
      <c r="A374" s="18" t="s">
        <v>137</v>
      </c>
      <c r="B374" s="18" t="s">
        <v>138</v>
      </c>
      <c r="C374" s="18" t="s">
        <v>124</v>
      </c>
      <c r="D374" s="18" t="s">
        <v>121</v>
      </c>
      <c r="E374" s="61">
        <v>2022</v>
      </c>
      <c r="F374" s="62">
        <v>448300000</v>
      </c>
      <c r="G374" s="62">
        <v>886800000</v>
      </c>
      <c r="H374" s="62">
        <v>154500000</v>
      </c>
      <c r="I374" s="62">
        <v>154500000</v>
      </c>
      <c r="J374" s="62">
        <f t="shared" si="55"/>
        <v>2.9016181229773461</v>
      </c>
      <c r="K374" s="62">
        <f t="shared" si="56"/>
        <v>5.7398058252427182</v>
      </c>
      <c r="L374" s="63">
        <f t="shared" si="57"/>
        <v>0.97813963863484277</v>
      </c>
      <c r="M374" s="63">
        <f t="shared" si="58"/>
        <v>0</v>
      </c>
      <c r="N374" s="63">
        <f t="shared" si="59"/>
        <v>0.97813963863484277</v>
      </c>
      <c r="O374" s="62">
        <f t="shared" si="60"/>
        <v>5.7398058252427182</v>
      </c>
      <c r="P374" s="62">
        <f t="shared" si="61"/>
        <v>2.8381877022653721</v>
      </c>
      <c r="Q374" s="62">
        <f t="shared" si="62"/>
        <v>0</v>
      </c>
      <c r="R374" s="63">
        <f t="shared" si="63"/>
        <v>0.97813963863484277</v>
      </c>
      <c r="S374" s="63">
        <f t="shared" si="64"/>
        <v>0</v>
      </c>
      <c r="T374" s="63">
        <f t="shared" si="65"/>
        <v>0.97813963863484277</v>
      </c>
    </row>
    <row r="375" spans="1:20" x14ac:dyDescent="0.3">
      <c r="A375" s="18" t="s">
        <v>137</v>
      </c>
      <c r="B375" s="18" t="s">
        <v>138</v>
      </c>
      <c r="C375" s="18" t="s">
        <v>124</v>
      </c>
      <c r="D375" s="18" t="s">
        <v>121</v>
      </c>
      <c r="E375" s="61">
        <v>2023</v>
      </c>
      <c r="F375" s="62">
        <v>886800000</v>
      </c>
      <c r="G375" s="62">
        <v>714900000</v>
      </c>
      <c r="H375" s="62">
        <v>154500000</v>
      </c>
      <c r="I375" s="62">
        <v>151100000</v>
      </c>
      <c r="J375" s="62">
        <f t="shared" si="55"/>
        <v>5.7398058252427182</v>
      </c>
      <c r="K375" s="62">
        <f t="shared" si="56"/>
        <v>4.7313037723362008</v>
      </c>
      <c r="L375" s="63">
        <f t="shared" si="57"/>
        <v>-0.19384303112313939</v>
      </c>
      <c r="M375" s="63">
        <f t="shared" si="58"/>
        <v>-2.2006472491909384E-2</v>
      </c>
      <c r="N375" s="63">
        <f t="shared" si="59"/>
        <v>-0.175703165509762</v>
      </c>
      <c r="O375" s="62">
        <f t="shared" si="60"/>
        <v>4.6271844660194175</v>
      </c>
      <c r="P375" s="62">
        <f t="shared" si="61"/>
        <v>-1.1126213592233007</v>
      </c>
      <c r="Q375" s="62">
        <f t="shared" si="62"/>
        <v>0.10411930631678334</v>
      </c>
      <c r="R375" s="63">
        <f t="shared" si="63"/>
        <v>-0.19384303112313936</v>
      </c>
      <c r="S375" s="63">
        <f t="shared" si="64"/>
        <v>1.8139865613377344E-2</v>
      </c>
      <c r="T375" s="63">
        <f t="shared" si="65"/>
        <v>-0.175703165509762</v>
      </c>
    </row>
    <row r="376" spans="1:20" x14ac:dyDescent="0.3">
      <c r="A376" s="18" t="s">
        <v>137</v>
      </c>
      <c r="B376" s="18" t="s">
        <v>138</v>
      </c>
      <c r="C376" s="18" t="s">
        <v>124</v>
      </c>
      <c r="D376" s="18" t="s">
        <v>121</v>
      </c>
      <c r="E376" s="61">
        <v>2024</v>
      </c>
      <c r="F376" s="62">
        <v>714900000</v>
      </c>
      <c r="G376" s="62">
        <v>536200000</v>
      </c>
      <c r="H376" s="62">
        <v>151100000</v>
      </c>
      <c r="I376" s="62">
        <v>144700000</v>
      </c>
      <c r="J376" s="62">
        <f t="shared" si="55"/>
        <v>4.7313037723362008</v>
      </c>
      <c r="K376" s="62">
        <f t="shared" si="56"/>
        <v>3.7055977885279892</v>
      </c>
      <c r="L376" s="63">
        <f t="shared" si="57"/>
        <v>-0.24996503007413623</v>
      </c>
      <c r="M376" s="63">
        <f t="shared" si="58"/>
        <v>-4.2356055592322965E-2</v>
      </c>
      <c r="N376" s="63">
        <f t="shared" si="59"/>
        <v>-0.2167914032080302</v>
      </c>
      <c r="O376" s="62">
        <f t="shared" si="60"/>
        <v>3.5486432825943086</v>
      </c>
      <c r="P376" s="62">
        <f t="shared" si="61"/>
        <v>-1.1826604897418922</v>
      </c>
      <c r="Q376" s="62">
        <f t="shared" si="62"/>
        <v>0.15695450593368054</v>
      </c>
      <c r="R376" s="63">
        <f t="shared" si="63"/>
        <v>-0.24996503007413615</v>
      </c>
      <c r="S376" s="63">
        <f t="shared" si="64"/>
        <v>3.3173626866105935E-2</v>
      </c>
      <c r="T376" s="63">
        <f t="shared" si="65"/>
        <v>-0.2167914032080302</v>
      </c>
    </row>
    <row r="377" spans="1:20" x14ac:dyDescent="0.3">
      <c r="A377" s="18" t="s">
        <v>139</v>
      </c>
      <c r="B377" s="18" t="s">
        <v>140</v>
      </c>
      <c r="C377" s="18" t="s">
        <v>124</v>
      </c>
      <c r="D377" s="18" t="s">
        <v>121</v>
      </c>
      <c r="E377" s="61">
        <v>2016</v>
      </c>
      <c r="F377" s="62">
        <v>1062000000</v>
      </c>
      <c r="G377" s="62">
        <v>279000000</v>
      </c>
      <c r="H377" s="62">
        <v>1208568906</v>
      </c>
      <c r="I377" s="62">
        <v>1252357634</v>
      </c>
      <c r="J377" s="62">
        <f t="shared" si="55"/>
        <v>0.87872523836055072</v>
      </c>
      <c r="K377" s="62">
        <f t="shared" si="56"/>
        <v>0.22277981338995057</v>
      </c>
      <c r="L377" s="63">
        <f t="shared" si="57"/>
        <v>-0.73728813559322037</v>
      </c>
      <c r="M377" s="63">
        <f t="shared" si="58"/>
        <v>3.6231883662246063E-2</v>
      </c>
      <c r="N377" s="63">
        <f t="shared" si="59"/>
        <v>-0.74647386502111424</v>
      </c>
      <c r="O377" s="62">
        <f t="shared" si="60"/>
        <v>0.23085154567099214</v>
      </c>
      <c r="P377" s="62">
        <f t="shared" si="61"/>
        <v>-0.64787369268955852</v>
      </c>
      <c r="Q377" s="62">
        <f t="shared" si="62"/>
        <v>-8.071732281041577E-3</v>
      </c>
      <c r="R377" s="63">
        <f t="shared" si="63"/>
        <v>-0.73728813559322026</v>
      </c>
      <c r="S377" s="63">
        <f t="shared" si="64"/>
        <v>-9.1857294278938819E-3</v>
      </c>
      <c r="T377" s="63">
        <f t="shared" si="65"/>
        <v>-0.74647386502111412</v>
      </c>
    </row>
    <row r="378" spans="1:20" x14ac:dyDescent="0.3">
      <c r="A378" s="18" t="s">
        <v>139</v>
      </c>
      <c r="B378" s="18" t="s">
        <v>140</v>
      </c>
      <c r="C378" s="18" t="s">
        <v>124</v>
      </c>
      <c r="D378" s="18" t="s">
        <v>121</v>
      </c>
      <c r="E378" s="61">
        <v>2017</v>
      </c>
      <c r="F378" s="62">
        <v>279000000</v>
      </c>
      <c r="G378" s="62">
        <v>156000000</v>
      </c>
      <c r="H378" s="62">
        <v>1252357634</v>
      </c>
      <c r="I378" s="62">
        <v>1252357634</v>
      </c>
      <c r="J378" s="62">
        <f t="shared" si="55"/>
        <v>0.22277981338995057</v>
      </c>
      <c r="K378" s="62">
        <f t="shared" si="56"/>
        <v>0.12456505694921967</v>
      </c>
      <c r="L378" s="63">
        <f t="shared" si="57"/>
        <v>-0.44086021505376344</v>
      </c>
      <c r="M378" s="63">
        <f t="shared" si="58"/>
        <v>0</v>
      </c>
      <c r="N378" s="63">
        <f t="shared" si="59"/>
        <v>-0.44086021505376344</v>
      </c>
      <c r="O378" s="62">
        <f t="shared" si="60"/>
        <v>0.12456505694921967</v>
      </c>
      <c r="P378" s="62">
        <f t="shared" si="61"/>
        <v>-9.8214756440730897E-2</v>
      </c>
      <c r="Q378" s="62">
        <f t="shared" si="62"/>
        <v>0</v>
      </c>
      <c r="R378" s="63">
        <f t="shared" si="63"/>
        <v>-0.44086021505376344</v>
      </c>
      <c r="S378" s="63">
        <f t="shared" si="64"/>
        <v>0</v>
      </c>
      <c r="T378" s="63">
        <f t="shared" si="65"/>
        <v>-0.44086021505376344</v>
      </c>
    </row>
    <row r="379" spans="1:20" x14ac:dyDescent="0.3">
      <c r="A379" s="18" t="s">
        <v>139</v>
      </c>
      <c r="B379" s="18" t="s">
        <v>140</v>
      </c>
      <c r="C379" s="18" t="s">
        <v>124</v>
      </c>
      <c r="D379" s="18" t="s">
        <v>121</v>
      </c>
      <c r="E379" s="61">
        <v>2018</v>
      </c>
      <c r="F379" s="62">
        <v>156000000</v>
      </c>
      <c r="G379" s="62">
        <v>865000000</v>
      </c>
      <c r="H379" s="62">
        <v>1252357634</v>
      </c>
      <c r="I379" s="62">
        <v>1252357634</v>
      </c>
      <c r="J379" s="62">
        <f t="shared" si="55"/>
        <v>0.12456505694921967</v>
      </c>
      <c r="K379" s="62">
        <f t="shared" si="56"/>
        <v>0.69069727090432698</v>
      </c>
      <c r="L379" s="63">
        <f t="shared" si="57"/>
        <v>4.5448717948717947</v>
      </c>
      <c r="M379" s="63">
        <f t="shared" si="58"/>
        <v>0</v>
      </c>
      <c r="N379" s="63">
        <f t="shared" si="59"/>
        <v>4.5448717948717947</v>
      </c>
      <c r="O379" s="62">
        <f t="shared" si="60"/>
        <v>0.69069727090432698</v>
      </c>
      <c r="P379" s="62">
        <f t="shared" si="61"/>
        <v>0.56613221395510727</v>
      </c>
      <c r="Q379" s="62">
        <f t="shared" si="62"/>
        <v>0</v>
      </c>
      <c r="R379" s="63">
        <f t="shared" si="63"/>
        <v>4.5448717948717947</v>
      </c>
      <c r="S379" s="63">
        <f t="shared" si="64"/>
        <v>0</v>
      </c>
      <c r="T379" s="63">
        <f t="shared" si="65"/>
        <v>4.5448717948717947</v>
      </c>
    </row>
    <row r="380" spans="1:20" x14ac:dyDescent="0.3">
      <c r="A380" s="18" t="s">
        <v>139</v>
      </c>
      <c r="B380" s="18" t="s">
        <v>140</v>
      </c>
      <c r="C380" s="18" t="s">
        <v>124</v>
      </c>
      <c r="D380" s="18" t="s">
        <v>121</v>
      </c>
      <c r="E380" s="61">
        <v>2019</v>
      </c>
      <c r="F380" s="62">
        <v>865000000</v>
      </c>
      <c r="G380" s="62">
        <v>644000000</v>
      </c>
      <c r="H380" s="62">
        <v>1252357634</v>
      </c>
      <c r="I380" s="62">
        <v>1252357634</v>
      </c>
      <c r="J380" s="62">
        <f t="shared" si="55"/>
        <v>0.69069727090432698</v>
      </c>
      <c r="K380" s="62">
        <f t="shared" si="56"/>
        <v>0.51423010689293247</v>
      </c>
      <c r="L380" s="63">
        <f t="shared" si="57"/>
        <v>-0.25549132947976877</v>
      </c>
      <c r="M380" s="63">
        <f t="shared" si="58"/>
        <v>0</v>
      </c>
      <c r="N380" s="63">
        <f t="shared" si="59"/>
        <v>-0.25549132947976877</v>
      </c>
      <c r="O380" s="62">
        <f t="shared" si="60"/>
        <v>0.51423010689293247</v>
      </c>
      <c r="P380" s="62">
        <f t="shared" si="61"/>
        <v>-0.17646716401139451</v>
      </c>
      <c r="Q380" s="62">
        <f t="shared" si="62"/>
        <v>0</v>
      </c>
      <c r="R380" s="63">
        <f t="shared" si="63"/>
        <v>-0.25549132947976877</v>
      </c>
      <c r="S380" s="63">
        <f t="shared" si="64"/>
        <v>0</v>
      </c>
      <c r="T380" s="63">
        <f t="shared" si="65"/>
        <v>-0.25549132947976877</v>
      </c>
    </row>
    <row r="381" spans="1:20" x14ac:dyDescent="0.3">
      <c r="A381" s="18" t="s">
        <v>139</v>
      </c>
      <c r="B381" s="18" t="s">
        <v>140</v>
      </c>
      <c r="C381" s="18" t="s">
        <v>124</v>
      </c>
      <c r="D381" s="18" t="s">
        <v>121</v>
      </c>
      <c r="E381" s="61">
        <v>2020</v>
      </c>
      <c r="F381" s="62">
        <v>644000000</v>
      </c>
      <c r="G381" s="62">
        <v>-2890000000</v>
      </c>
      <c r="H381" s="62">
        <v>1252357634</v>
      </c>
      <c r="I381" s="62">
        <v>1252357634</v>
      </c>
      <c r="J381" s="62">
        <f t="shared" si="55"/>
        <v>0.51423010689293247</v>
      </c>
      <c r="K381" s="62">
        <f t="shared" si="56"/>
        <v>-2.3076475293797745</v>
      </c>
      <c r="L381" s="63">
        <f t="shared" si="57"/>
        <v>-5.487577639751553</v>
      </c>
      <c r="M381" s="63">
        <f t="shared" si="58"/>
        <v>0</v>
      </c>
      <c r="N381" s="63">
        <f t="shared" si="59"/>
        <v>-5.487577639751553</v>
      </c>
      <c r="O381" s="62">
        <f t="shared" si="60"/>
        <v>-2.3076475293797745</v>
      </c>
      <c r="P381" s="62">
        <f t="shared" si="61"/>
        <v>-2.8218776362727072</v>
      </c>
      <c r="Q381" s="62">
        <f t="shared" si="62"/>
        <v>0</v>
      </c>
      <c r="R381" s="63">
        <f t="shared" si="63"/>
        <v>-5.487577639751553</v>
      </c>
      <c r="S381" s="63">
        <f t="shared" si="64"/>
        <v>0</v>
      </c>
      <c r="T381" s="63">
        <f t="shared" si="65"/>
        <v>-5.487577639751553</v>
      </c>
    </row>
    <row r="382" spans="1:20" x14ac:dyDescent="0.3">
      <c r="A382" s="18" t="s">
        <v>139</v>
      </c>
      <c r="B382" s="18" t="s">
        <v>140</v>
      </c>
      <c r="C382" s="18" t="s">
        <v>124</v>
      </c>
      <c r="D382" s="18" t="s">
        <v>121</v>
      </c>
      <c r="E382" s="61">
        <v>2021</v>
      </c>
      <c r="F382" s="62">
        <v>-2890000000</v>
      </c>
      <c r="G382" s="62">
        <v>430000000</v>
      </c>
      <c r="H382" s="62">
        <v>1252357634</v>
      </c>
      <c r="I382" s="62">
        <v>1252357634</v>
      </c>
      <c r="J382" s="62">
        <f t="shared" si="55"/>
        <v>-2.3076475293797745</v>
      </c>
      <c r="K382" s="62">
        <f t="shared" si="56"/>
        <v>0.34335240056515676</v>
      </c>
      <c r="L382" s="63">
        <f t="shared" si="57"/>
        <v>1.1487889273356402</v>
      </c>
      <c r="M382" s="63">
        <f t="shared" si="58"/>
        <v>0</v>
      </c>
      <c r="N382" s="63">
        <f t="shared" si="59"/>
        <v>1.1487889273356402</v>
      </c>
      <c r="O382" s="62">
        <f t="shared" si="60"/>
        <v>0.34335240056515676</v>
      </c>
      <c r="P382" s="62">
        <f t="shared" si="61"/>
        <v>2.6509999299449314</v>
      </c>
      <c r="Q382" s="62">
        <f t="shared" si="62"/>
        <v>0</v>
      </c>
      <c r="R382" s="63">
        <f t="shared" si="63"/>
        <v>1.1487889273356402</v>
      </c>
      <c r="S382" s="63">
        <f t="shared" si="64"/>
        <v>0</v>
      </c>
      <c r="T382" s="63">
        <f t="shared" si="65"/>
        <v>1.1487889273356402</v>
      </c>
    </row>
    <row r="383" spans="1:20" x14ac:dyDescent="0.3">
      <c r="A383" s="18" t="s">
        <v>139</v>
      </c>
      <c r="B383" s="18" t="s">
        <v>140</v>
      </c>
      <c r="C383" s="18" t="s">
        <v>124</v>
      </c>
      <c r="D383" s="18" t="s">
        <v>121</v>
      </c>
      <c r="E383" s="61">
        <v>2022</v>
      </c>
      <c r="F383" s="62">
        <v>430000000</v>
      </c>
      <c r="G383" s="62">
        <v>1435000000</v>
      </c>
      <c r="H383" s="62">
        <v>1252357634</v>
      </c>
      <c r="I383" s="62">
        <v>1252357634</v>
      </c>
      <c r="J383" s="62">
        <f t="shared" si="55"/>
        <v>0.34335240056515676</v>
      </c>
      <c r="K383" s="62">
        <f t="shared" si="56"/>
        <v>1.1458388251418603</v>
      </c>
      <c r="L383" s="63">
        <f t="shared" si="57"/>
        <v>2.3372093023255816</v>
      </c>
      <c r="M383" s="63">
        <f t="shared" si="58"/>
        <v>0</v>
      </c>
      <c r="N383" s="63">
        <f t="shared" si="59"/>
        <v>2.3372093023255816</v>
      </c>
      <c r="O383" s="62">
        <f t="shared" si="60"/>
        <v>1.1458388251418603</v>
      </c>
      <c r="P383" s="62">
        <f t="shared" si="61"/>
        <v>0.80248642457670361</v>
      </c>
      <c r="Q383" s="62">
        <f t="shared" si="62"/>
        <v>0</v>
      </c>
      <c r="R383" s="63">
        <f t="shared" si="63"/>
        <v>2.3372093023255816</v>
      </c>
      <c r="S383" s="63">
        <f t="shared" si="64"/>
        <v>0</v>
      </c>
      <c r="T383" s="63">
        <f t="shared" si="65"/>
        <v>2.3372093023255816</v>
      </c>
    </row>
    <row r="384" spans="1:20" x14ac:dyDescent="0.3">
      <c r="A384" s="18" t="s">
        <v>139</v>
      </c>
      <c r="B384" s="18" t="s">
        <v>140</v>
      </c>
      <c r="C384" s="18" t="s">
        <v>124</v>
      </c>
      <c r="D384" s="18" t="s">
        <v>121</v>
      </c>
      <c r="E384" s="61">
        <v>2023</v>
      </c>
      <c r="F384" s="62">
        <v>1435000000</v>
      </c>
      <c r="G384" s="62">
        <v>2224000000</v>
      </c>
      <c r="H384" s="62">
        <v>1252357634</v>
      </c>
      <c r="I384" s="62">
        <v>1245699309</v>
      </c>
      <c r="J384" s="62">
        <f t="shared" si="55"/>
        <v>1.1458388251418603</v>
      </c>
      <c r="K384" s="62">
        <f t="shared" si="56"/>
        <v>1.7853425653622161</v>
      </c>
      <c r="L384" s="63">
        <f t="shared" si="57"/>
        <v>0.54982578397212545</v>
      </c>
      <c r="M384" s="63">
        <f t="shared" si="58"/>
        <v>-5.3166322616116221E-3</v>
      </c>
      <c r="N384" s="63">
        <f t="shared" si="59"/>
        <v>0.55810968016481921</v>
      </c>
      <c r="O384" s="62">
        <f t="shared" si="60"/>
        <v>1.775850555481183</v>
      </c>
      <c r="P384" s="62">
        <f t="shared" si="61"/>
        <v>0.63001173033932267</v>
      </c>
      <c r="Q384" s="62">
        <f t="shared" si="62"/>
        <v>9.4920098810331588E-3</v>
      </c>
      <c r="R384" s="63">
        <f t="shared" si="63"/>
        <v>0.54982578397212556</v>
      </c>
      <c r="S384" s="63">
        <f t="shared" si="64"/>
        <v>8.2838961926935944E-3</v>
      </c>
      <c r="T384" s="63">
        <f t="shared" si="65"/>
        <v>0.5581096801648191</v>
      </c>
    </row>
    <row r="385" spans="1:20" x14ac:dyDescent="0.3">
      <c r="A385" s="18" t="s">
        <v>139</v>
      </c>
      <c r="B385" s="18" t="s">
        <v>140</v>
      </c>
      <c r="C385" s="18" t="s">
        <v>124</v>
      </c>
      <c r="D385" s="18" t="s">
        <v>121</v>
      </c>
      <c r="E385" s="61">
        <v>2024</v>
      </c>
      <c r="F385" s="62">
        <v>2224000000</v>
      </c>
      <c r="G385" s="62">
        <v>2677000000</v>
      </c>
      <c r="H385" s="62">
        <v>1245699309</v>
      </c>
      <c r="I385" s="62">
        <v>1187512000</v>
      </c>
      <c r="J385" s="62">
        <f t="shared" si="55"/>
        <v>1.7853425653622161</v>
      </c>
      <c r="K385" s="62">
        <f t="shared" si="56"/>
        <v>2.2542930092495905</v>
      </c>
      <c r="L385" s="63">
        <f t="shared" si="57"/>
        <v>0.20368705035971224</v>
      </c>
      <c r="M385" s="63">
        <f t="shared" si="58"/>
        <v>-4.6710557338841711E-2</v>
      </c>
      <c r="N385" s="63">
        <f t="shared" si="59"/>
        <v>0.2626669262166122</v>
      </c>
      <c r="O385" s="62">
        <f t="shared" si="60"/>
        <v>2.1489937263824879</v>
      </c>
      <c r="P385" s="62">
        <f t="shared" si="61"/>
        <v>0.36365116102027173</v>
      </c>
      <c r="Q385" s="62">
        <f t="shared" si="62"/>
        <v>0.10529928286710266</v>
      </c>
      <c r="R385" s="63">
        <f t="shared" si="63"/>
        <v>0.20368705035971232</v>
      </c>
      <c r="S385" s="63">
        <f t="shared" si="64"/>
        <v>5.8979875856899878E-2</v>
      </c>
      <c r="T385" s="63">
        <f t="shared" si="65"/>
        <v>0.2626669262166122</v>
      </c>
    </row>
    <row r="386" spans="1:20" x14ac:dyDescent="0.3">
      <c r="A386" s="18" t="s">
        <v>141</v>
      </c>
      <c r="B386" s="18" t="s">
        <v>142</v>
      </c>
      <c r="C386" s="18" t="s">
        <v>124</v>
      </c>
      <c r="D386" s="18" t="s">
        <v>121</v>
      </c>
      <c r="E386" s="61">
        <v>2016</v>
      </c>
      <c r="F386" s="62">
        <v>2727400000</v>
      </c>
      <c r="G386" s="62">
        <v>2802500000</v>
      </c>
      <c r="H386" s="62">
        <v>200000000</v>
      </c>
      <c r="I386" s="62">
        <v>200000000</v>
      </c>
      <c r="J386" s="62">
        <f t="shared" si="55"/>
        <v>13.637</v>
      </c>
      <c r="K386" s="62">
        <f t="shared" si="56"/>
        <v>14.012499999999999</v>
      </c>
      <c r="L386" s="63">
        <f t="shared" si="57"/>
        <v>2.7535381682188165E-2</v>
      </c>
      <c r="M386" s="63">
        <f t="shared" si="58"/>
        <v>0</v>
      </c>
      <c r="N386" s="63">
        <f t="shared" si="59"/>
        <v>2.7535381682188078E-2</v>
      </c>
      <c r="O386" s="62">
        <f t="shared" si="60"/>
        <v>14.012499999999999</v>
      </c>
      <c r="P386" s="62">
        <f t="shared" si="61"/>
        <v>0.37549999999999883</v>
      </c>
      <c r="Q386" s="62">
        <f t="shared" si="62"/>
        <v>0</v>
      </c>
      <c r="R386" s="63">
        <f t="shared" si="63"/>
        <v>2.7535381682188078E-2</v>
      </c>
      <c r="S386" s="63">
        <f t="shared" si="64"/>
        <v>0</v>
      </c>
      <c r="T386" s="63">
        <f t="shared" si="65"/>
        <v>2.7535381682188078E-2</v>
      </c>
    </row>
    <row r="387" spans="1:20" x14ac:dyDescent="0.3">
      <c r="A387" s="18" t="s">
        <v>141</v>
      </c>
      <c r="B387" s="18" t="s">
        <v>142</v>
      </c>
      <c r="C387" s="18" t="s">
        <v>124</v>
      </c>
      <c r="D387" s="18" t="s">
        <v>121</v>
      </c>
      <c r="E387" s="61">
        <v>2017</v>
      </c>
      <c r="F387" s="62">
        <v>2802500000</v>
      </c>
      <c r="G387" s="62">
        <v>2984600000</v>
      </c>
      <c r="H387" s="62">
        <v>200000000</v>
      </c>
      <c r="I387" s="62">
        <v>200000000</v>
      </c>
      <c r="J387" s="62">
        <f t="shared" si="55"/>
        <v>14.012499999999999</v>
      </c>
      <c r="K387" s="62">
        <f t="shared" si="56"/>
        <v>14.923</v>
      </c>
      <c r="L387" s="63">
        <f t="shared" si="57"/>
        <v>6.4977698483496882E-2</v>
      </c>
      <c r="M387" s="63">
        <f t="shared" si="58"/>
        <v>0</v>
      </c>
      <c r="N387" s="63">
        <f t="shared" si="59"/>
        <v>6.4977698483496937E-2</v>
      </c>
      <c r="O387" s="62">
        <f t="shared" si="60"/>
        <v>14.923</v>
      </c>
      <c r="P387" s="62">
        <f t="shared" si="61"/>
        <v>0.91050000000000075</v>
      </c>
      <c r="Q387" s="62">
        <f t="shared" si="62"/>
        <v>0</v>
      </c>
      <c r="R387" s="63">
        <f t="shared" si="63"/>
        <v>6.4977698483496937E-2</v>
      </c>
      <c r="S387" s="63">
        <f t="shared" si="64"/>
        <v>0</v>
      </c>
      <c r="T387" s="63">
        <f t="shared" si="65"/>
        <v>6.4977698483496937E-2</v>
      </c>
    </row>
    <row r="388" spans="1:20" x14ac:dyDescent="0.3">
      <c r="A388" s="18" t="s">
        <v>141</v>
      </c>
      <c r="B388" s="18" t="s">
        <v>142</v>
      </c>
      <c r="C388" s="18" t="s">
        <v>124</v>
      </c>
      <c r="D388" s="18" t="s">
        <v>121</v>
      </c>
      <c r="E388" s="61">
        <v>2018</v>
      </c>
      <c r="F388" s="62">
        <v>2984600000</v>
      </c>
      <c r="G388" s="62">
        <v>2897300000</v>
      </c>
      <c r="H388" s="62">
        <v>200000000</v>
      </c>
      <c r="I388" s="62">
        <v>200000000</v>
      </c>
      <c r="J388" s="62">
        <f t="shared" si="55"/>
        <v>14.923</v>
      </c>
      <c r="K388" s="62">
        <f t="shared" si="56"/>
        <v>14.486499999999999</v>
      </c>
      <c r="L388" s="63">
        <f t="shared" si="57"/>
        <v>-2.9250150773973062E-2</v>
      </c>
      <c r="M388" s="63">
        <f t="shared" si="58"/>
        <v>0</v>
      </c>
      <c r="N388" s="63">
        <f t="shared" si="59"/>
        <v>-2.92501507739731E-2</v>
      </c>
      <c r="O388" s="62">
        <f t="shared" si="60"/>
        <v>14.486499999999999</v>
      </c>
      <c r="P388" s="62">
        <f t="shared" si="61"/>
        <v>-0.43650000000000055</v>
      </c>
      <c r="Q388" s="62">
        <f t="shared" si="62"/>
        <v>0</v>
      </c>
      <c r="R388" s="63">
        <f t="shared" si="63"/>
        <v>-2.92501507739731E-2</v>
      </c>
      <c r="S388" s="63">
        <f t="shared" si="64"/>
        <v>0</v>
      </c>
      <c r="T388" s="63">
        <f t="shared" si="65"/>
        <v>-2.92501507739731E-2</v>
      </c>
    </row>
    <row r="389" spans="1:20" x14ac:dyDescent="0.3">
      <c r="A389" s="18" t="s">
        <v>141</v>
      </c>
      <c r="B389" s="18" t="s">
        <v>142</v>
      </c>
      <c r="C389" s="18" t="s">
        <v>124</v>
      </c>
      <c r="D389" s="18" t="s">
        <v>121</v>
      </c>
      <c r="E389" s="61">
        <v>2019</v>
      </c>
      <c r="F389" s="62">
        <v>2897300000</v>
      </c>
      <c r="G389" s="62">
        <v>-1171000000</v>
      </c>
      <c r="H389" s="62">
        <v>200000000</v>
      </c>
      <c r="I389" s="62">
        <v>200000000</v>
      </c>
      <c r="J389" s="62">
        <f t="shared" ref="J389:J452" si="66">F389/H389</f>
        <v>14.486499999999999</v>
      </c>
      <c r="K389" s="62">
        <f t="shared" ref="K389:K452" si="67">G389/I389</f>
        <v>-5.8550000000000004</v>
      </c>
      <c r="L389" s="63">
        <f t="shared" ref="L389:L452" si="68">IF(F389=0,"",((G389-F389)/ABS(F389)))</f>
        <v>-1.4041693990957098</v>
      </c>
      <c r="M389" s="63">
        <f t="shared" ref="M389:M452" si="69">(I389-H389)/H389</f>
        <v>0</v>
      </c>
      <c r="N389" s="63">
        <f t="shared" ref="N389:N452" si="70">IF(J389=0,"",((K389-J389)/ABS(J389)))</f>
        <v>-1.4041693990957098</v>
      </c>
      <c r="O389" s="62">
        <f t="shared" ref="O389:O452" si="71">G389/H389</f>
        <v>-5.8550000000000004</v>
      </c>
      <c r="P389" s="62">
        <f t="shared" ref="P389:P452" si="72">O389-J389</f>
        <v>-20.3415</v>
      </c>
      <c r="Q389" s="62">
        <f t="shared" ref="Q389:Q452" si="73">K389-O389</f>
        <v>0</v>
      </c>
      <c r="R389" s="63">
        <f t="shared" ref="R389:R452" si="74">IF(J389=0,"",P389/ABS(J389))</f>
        <v>-1.4041693990957098</v>
      </c>
      <c r="S389" s="63">
        <f t="shared" ref="S389:S452" si="75">IF(J389=0,"",Q389/ABS(J389))</f>
        <v>0</v>
      </c>
      <c r="T389" s="63">
        <f t="shared" ref="T389:T452" si="76">R389+S389</f>
        <v>-1.4041693990957098</v>
      </c>
    </row>
    <row r="390" spans="1:20" x14ac:dyDescent="0.3">
      <c r="A390" s="18" t="s">
        <v>141</v>
      </c>
      <c r="B390" s="18" t="s">
        <v>142</v>
      </c>
      <c r="C390" s="18" t="s">
        <v>124</v>
      </c>
      <c r="D390" s="18" t="s">
        <v>121</v>
      </c>
      <c r="E390" s="61">
        <v>2020</v>
      </c>
      <c r="F390" s="62">
        <v>-1171000000</v>
      </c>
      <c r="G390" s="62">
        <v>-918800000</v>
      </c>
      <c r="H390" s="62">
        <v>200000000</v>
      </c>
      <c r="I390" s="62">
        <v>200000000</v>
      </c>
      <c r="J390" s="62">
        <f t="shared" si="66"/>
        <v>-5.8550000000000004</v>
      </c>
      <c r="K390" s="62">
        <f t="shared" si="67"/>
        <v>-4.5940000000000003</v>
      </c>
      <c r="L390" s="63">
        <f t="shared" si="68"/>
        <v>0.21537147736976942</v>
      </c>
      <c r="M390" s="63">
        <f t="shared" si="69"/>
        <v>0</v>
      </c>
      <c r="N390" s="63">
        <f t="shared" si="70"/>
        <v>0.21537147736976944</v>
      </c>
      <c r="O390" s="62">
        <f t="shared" si="71"/>
        <v>-4.5940000000000003</v>
      </c>
      <c r="P390" s="62">
        <f t="shared" si="72"/>
        <v>1.2610000000000001</v>
      </c>
      <c r="Q390" s="62">
        <f t="shared" si="73"/>
        <v>0</v>
      </c>
      <c r="R390" s="63">
        <f t="shared" si="74"/>
        <v>0.21537147736976944</v>
      </c>
      <c r="S390" s="63">
        <f t="shared" si="75"/>
        <v>0</v>
      </c>
      <c r="T390" s="63">
        <f t="shared" si="76"/>
        <v>0.21537147736976944</v>
      </c>
    </row>
    <row r="391" spans="1:20" x14ac:dyDescent="0.3">
      <c r="A391" s="18" t="s">
        <v>141</v>
      </c>
      <c r="B391" s="18" t="s">
        <v>142</v>
      </c>
      <c r="C391" s="18" t="s">
        <v>124</v>
      </c>
      <c r="D391" s="18" t="s">
        <v>121</v>
      </c>
      <c r="E391" s="61">
        <v>2021</v>
      </c>
      <c r="F391" s="62">
        <v>-918800000</v>
      </c>
      <c r="G391" s="62">
        <v>1435200000</v>
      </c>
      <c r="H391" s="62">
        <v>200000000</v>
      </c>
      <c r="I391" s="62">
        <v>200000000</v>
      </c>
      <c r="J391" s="62">
        <f t="shared" si="66"/>
        <v>-4.5940000000000003</v>
      </c>
      <c r="K391" s="62">
        <f t="shared" si="67"/>
        <v>7.1760000000000002</v>
      </c>
      <c r="L391" s="63">
        <f t="shared" si="68"/>
        <v>2.5620374401393122</v>
      </c>
      <c r="M391" s="63">
        <f t="shared" si="69"/>
        <v>0</v>
      </c>
      <c r="N391" s="63">
        <f t="shared" si="70"/>
        <v>2.5620374401393118</v>
      </c>
      <c r="O391" s="62">
        <f t="shared" si="71"/>
        <v>7.1760000000000002</v>
      </c>
      <c r="P391" s="62">
        <f t="shared" si="72"/>
        <v>11.77</v>
      </c>
      <c r="Q391" s="62">
        <f t="shared" si="73"/>
        <v>0</v>
      </c>
      <c r="R391" s="63">
        <f t="shared" si="74"/>
        <v>2.5620374401393118</v>
      </c>
      <c r="S391" s="63">
        <f t="shared" si="75"/>
        <v>0</v>
      </c>
      <c r="T391" s="63">
        <f t="shared" si="76"/>
        <v>2.5620374401393118</v>
      </c>
    </row>
    <row r="392" spans="1:20" x14ac:dyDescent="0.3">
      <c r="A392" s="18" t="s">
        <v>141</v>
      </c>
      <c r="B392" s="18" t="s">
        <v>142</v>
      </c>
      <c r="C392" s="18" t="s">
        <v>124</v>
      </c>
      <c r="D392" s="18" t="s">
        <v>121</v>
      </c>
      <c r="E392" s="61">
        <v>2022</v>
      </c>
      <c r="F392" s="62">
        <v>1435200000</v>
      </c>
      <c r="G392" s="62">
        <v>112200000</v>
      </c>
      <c r="H392" s="62">
        <v>200000000</v>
      </c>
      <c r="I392" s="62">
        <v>200000000</v>
      </c>
      <c r="J392" s="62">
        <f t="shared" si="66"/>
        <v>7.1760000000000002</v>
      </c>
      <c r="K392" s="62">
        <f t="shared" si="67"/>
        <v>0.56100000000000005</v>
      </c>
      <c r="L392" s="63">
        <f t="shared" si="68"/>
        <v>-0.92182274247491636</v>
      </c>
      <c r="M392" s="63">
        <f t="shared" si="69"/>
        <v>0</v>
      </c>
      <c r="N392" s="63">
        <f t="shared" si="70"/>
        <v>-0.92182274247491636</v>
      </c>
      <c r="O392" s="62">
        <f t="shared" si="71"/>
        <v>0.56100000000000005</v>
      </c>
      <c r="P392" s="62">
        <f t="shared" si="72"/>
        <v>-6.6150000000000002</v>
      </c>
      <c r="Q392" s="62">
        <f t="shared" si="73"/>
        <v>0</v>
      </c>
      <c r="R392" s="63">
        <f t="shared" si="74"/>
        <v>-0.92182274247491636</v>
      </c>
      <c r="S392" s="63">
        <f t="shared" si="75"/>
        <v>0</v>
      </c>
      <c r="T392" s="63">
        <f t="shared" si="76"/>
        <v>-0.92182274247491636</v>
      </c>
    </row>
    <row r="393" spans="1:20" x14ac:dyDescent="0.3">
      <c r="A393" s="18" t="s">
        <v>141</v>
      </c>
      <c r="B393" s="18" t="s">
        <v>142</v>
      </c>
      <c r="C393" s="18" t="s">
        <v>124</v>
      </c>
      <c r="D393" s="18" t="s">
        <v>121</v>
      </c>
      <c r="E393" s="61">
        <v>2023</v>
      </c>
      <c r="F393" s="62">
        <v>112200000</v>
      </c>
      <c r="G393" s="62">
        <v>1156400000</v>
      </c>
      <c r="H393" s="62">
        <v>200000000</v>
      </c>
      <c r="I393" s="62">
        <v>200000000</v>
      </c>
      <c r="J393" s="62">
        <f t="shared" si="66"/>
        <v>0.56100000000000005</v>
      </c>
      <c r="K393" s="62">
        <f t="shared" si="67"/>
        <v>5.782</v>
      </c>
      <c r="L393" s="63">
        <f t="shared" si="68"/>
        <v>9.3065953654188949</v>
      </c>
      <c r="M393" s="63">
        <f t="shared" si="69"/>
        <v>0</v>
      </c>
      <c r="N393" s="63">
        <f t="shared" si="70"/>
        <v>9.3065953654188949</v>
      </c>
      <c r="O393" s="62">
        <f t="shared" si="71"/>
        <v>5.782</v>
      </c>
      <c r="P393" s="62">
        <f t="shared" si="72"/>
        <v>5.2210000000000001</v>
      </c>
      <c r="Q393" s="62">
        <f t="shared" si="73"/>
        <v>0</v>
      </c>
      <c r="R393" s="63">
        <f t="shared" si="74"/>
        <v>9.3065953654188949</v>
      </c>
      <c r="S393" s="63">
        <f t="shared" si="75"/>
        <v>0</v>
      </c>
      <c r="T393" s="63">
        <f t="shared" si="76"/>
        <v>9.3065953654188949</v>
      </c>
    </row>
    <row r="394" spans="1:20" x14ac:dyDescent="0.3">
      <c r="A394" s="18" t="s">
        <v>141</v>
      </c>
      <c r="B394" s="18" t="s">
        <v>142</v>
      </c>
      <c r="C394" s="18" t="s">
        <v>124</v>
      </c>
      <c r="D394" s="18" t="s">
        <v>121</v>
      </c>
      <c r="E394" s="61">
        <v>2024</v>
      </c>
      <c r="F394" s="62">
        <v>1156400000</v>
      </c>
      <c r="G394" s="62">
        <v>1168000000</v>
      </c>
      <c r="H394" s="62">
        <v>200000000</v>
      </c>
      <c r="I394" s="62">
        <v>200000000</v>
      </c>
      <c r="J394" s="62">
        <f t="shared" si="66"/>
        <v>5.782</v>
      </c>
      <c r="K394" s="62">
        <f t="shared" si="67"/>
        <v>5.84</v>
      </c>
      <c r="L394" s="63">
        <f t="shared" si="68"/>
        <v>1.0031131096506399E-2</v>
      </c>
      <c r="M394" s="63">
        <f t="shared" si="69"/>
        <v>0</v>
      </c>
      <c r="N394" s="63">
        <f t="shared" si="70"/>
        <v>1.0031131096506369E-2</v>
      </c>
      <c r="O394" s="62">
        <f t="shared" si="71"/>
        <v>5.84</v>
      </c>
      <c r="P394" s="62">
        <f t="shared" si="72"/>
        <v>5.7999999999999829E-2</v>
      </c>
      <c r="Q394" s="62">
        <f t="shared" si="73"/>
        <v>0</v>
      </c>
      <c r="R394" s="63">
        <f t="shared" si="74"/>
        <v>1.0031131096506369E-2</v>
      </c>
      <c r="S394" s="63">
        <f t="shared" si="75"/>
        <v>0</v>
      </c>
      <c r="T394" s="63">
        <f t="shared" si="76"/>
        <v>1.0031131096506369E-2</v>
      </c>
    </row>
    <row r="395" spans="1:20" x14ac:dyDescent="0.3">
      <c r="A395" s="18" t="s">
        <v>143</v>
      </c>
      <c r="B395" s="18" t="s">
        <v>144</v>
      </c>
      <c r="C395" s="18" t="s">
        <v>124</v>
      </c>
      <c r="D395" s="18" t="s">
        <v>121</v>
      </c>
      <c r="E395" s="61">
        <v>2017</v>
      </c>
      <c r="F395" s="62">
        <v>795000000</v>
      </c>
      <c r="G395" s="62">
        <v>2009000000</v>
      </c>
      <c r="H395" s="62">
        <v>202500000</v>
      </c>
      <c r="I395" s="62">
        <v>202396416</v>
      </c>
      <c r="J395" s="62">
        <f t="shared" si="66"/>
        <v>3.925925925925926</v>
      </c>
      <c r="K395" s="62">
        <f t="shared" si="67"/>
        <v>9.9260650939589752</v>
      </c>
      <c r="L395" s="63">
        <f t="shared" si="68"/>
        <v>1.5270440251572328</v>
      </c>
      <c r="M395" s="63">
        <f t="shared" si="69"/>
        <v>-5.1152592592592597E-4</v>
      </c>
      <c r="N395" s="63">
        <f t="shared" si="70"/>
        <v>1.5283373352537013</v>
      </c>
      <c r="O395" s="62">
        <f t="shared" si="71"/>
        <v>9.9209876543209869</v>
      </c>
      <c r="P395" s="62">
        <f t="shared" si="72"/>
        <v>5.9950617283950614</v>
      </c>
      <c r="Q395" s="62">
        <f t="shared" si="73"/>
        <v>5.0774396379882347E-3</v>
      </c>
      <c r="R395" s="63">
        <f t="shared" si="74"/>
        <v>1.5270440251572326</v>
      </c>
      <c r="S395" s="63">
        <f t="shared" si="75"/>
        <v>1.2933100964687013E-3</v>
      </c>
      <c r="T395" s="63">
        <f t="shared" si="76"/>
        <v>1.5283373352537013</v>
      </c>
    </row>
    <row r="396" spans="1:20" x14ac:dyDescent="0.3">
      <c r="A396" s="18" t="s">
        <v>143</v>
      </c>
      <c r="B396" s="18" t="s">
        <v>144</v>
      </c>
      <c r="C396" s="18" t="s">
        <v>124</v>
      </c>
      <c r="D396" s="18" t="s">
        <v>121</v>
      </c>
      <c r="E396" s="61">
        <v>2018</v>
      </c>
      <c r="F396" s="62">
        <v>2009000000</v>
      </c>
      <c r="G396" s="62">
        <v>1823000000</v>
      </c>
      <c r="H396" s="62">
        <v>202396416</v>
      </c>
      <c r="I396" s="62">
        <v>192768826</v>
      </c>
      <c r="J396" s="62">
        <f t="shared" si="66"/>
        <v>9.9260650939589752</v>
      </c>
      <c r="K396" s="62">
        <f t="shared" si="67"/>
        <v>9.4569232890384463</v>
      </c>
      <c r="L396" s="63">
        <f t="shared" si="68"/>
        <v>-9.2583374813339975E-2</v>
      </c>
      <c r="M396" s="63">
        <f t="shared" si="69"/>
        <v>-4.7567986579367096E-2</v>
      </c>
      <c r="N396" s="63">
        <f t="shared" si="70"/>
        <v>-4.7263623649420723E-2</v>
      </c>
      <c r="O396" s="62">
        <f t="shared" si="71"/>
        <v>9.0070764889433619</v>
      </c>
      <c r="P396" s="62">
        <f t="shared" si="72"/>
        <v>-0.9189886050156133</v>
      </c>
      <c r="Q396" s="62">
        <f t="shared" si="73"/>
        <v>0.44984680009508438</v>
      </c>
      <c r="R396" s="63">
        <f t="shared" si="74"/>
        <v>-9.2583374813339864E-2</v>
      </c>
      <c r="S396" s="63">
        <f t="shared" si="75"/>
        <v>4.5319751163919134E-2</v>
      </c>
      <c r="T396" s="63">
        <f t="shared" si="76"/>
        <v>-4.726362364942073E-2</v>
      </c>
    </row>
    <row r="397" spans="1:20" x14ac:dyDescent="0.3">
      <c r="A397" s="18" t="s">
        <v>143</v>
      </c>
      <c r="B397" s="18" t="s">
        <v>144</v>
      </c>
      <c r="C397" s="18" t="s">
        <v>124</v>
      </c>
      <c r="D397" s="18" t="s">
        <v>121</v>
      </c>
      <c r="E397" s="61">
        <v>2019</v>
      </c>
      <c r="F397" s="62">
        <v>1823000000</v>
      </c>
      <c r="G397" s="62">
        <v>552000000</v>
      </c>
      <c r="H397" s="62">
        <v>192768826</v>
      </c>
      <c r="I397" s="62">
        <v>182728724</v>
      </c>
      <c r="J397" s="62">
        <f t="shared" si="66"/>
        <v>9.4569232890384463</v>
      </c>
      <c r="K397" s="62">
        <f t="shared" si="67"/>
        <v>3.0208715297546762</v>
      </c>
      <c r="L397" s="63">
        <f t="shared" si="68"/>
        <v>-0.69720241360394952</v>
      </c>
      <c r="M397" s="63">
        <f t="shared" si="69"/>
        <v>-5.2083639291344755E-2</v>
      </c>
      <c r="N397" s="63">
        <f t="shared" si="70"/>
        <v>-0.6805650804785337</v>
      </c>
      <c r="O397" s="62">
        <f t="shared" si="71"/>
        <v>2.8635335466534406</v>
      </c>
      <c r="P397" s="62">
        <f t="shared" si="72"/>
        <v>-6.5933897423850052</v>
      </c>
      <c r="Q397" s="62">
        <f t="shared" si="73"/>
        <v>0.15733798310123559</v>
      </c>
      <c r="R397" s="63">
        <f t="shared" si="74"/>
        <v>-0.69720241360394952</v>
      </c>
      <c r="S397" s="63">
        <f t="shared" si="75"/>
        <v>1.663733312541581E-2</v>
      </c>
      <c r="T397" s="63">
        <f t="shared" si="76"/>
        <v>-0.6805650804785337</v>
      </c>
    </row>
    <row r="398" spans="1:20" x14ac:dyDescent="0.3">
      <c r="A398" s="18" t="s">
        <v>143</v>
      </c>
      <c r="B398" s="18" t="s">
        <v>144</v>
      </c>
      <c r="C398" s="18" t="s">
        <v>124</v>
      </c>
      <c r="D398" s="18" t="s">
        <v>121</v>
      </c>
      <c r="E398" s="61">
        <v>2020</v>
      </c>
      <c r="F398" s="62">
        <v>552000000</v>
      </c>
      <c r="G398" s="62">
        <v>459000000</v>
      </c>
      <c r="H398" s="62">
        <v>182728724</v>
      </c>
      <c r="I398" s="62">
        <v>184912207</v>
      </c>
      <c r="J398" s="62">
        <f t="shared" si="66"/>
        <v>3.0208715297546762</v>
      </c>
      <c r="K398" s="62">
        <f t="shared" si="67"/>
        <v>2.4822590538871236</v>
      </c>
      <c r="L398" s="63">
        <f t="shared" si="68"/>
        <v>-0.16847826086956522</v>
      </c>
      <c r="M398" s="63">
        <f t="shared" si="69"/>
        <v>1.1949314547832119E-2</v>
      </c>
      <c r="N398" s="63">
        <f t="shared" si="70"/>
        <v>-0.1782970479089831</v>
      </c>
      <c r="O398" s="62">
        <f t="shared" si="71"/>
        <v>2.5119203481112251</v>
      </c>
      <c r="P398" s="62">
        <f t="shared" si="72"/>
        <v>-0.5089511816434511</v>
      </c>
      <c r="Q398" s="62">
        <f t="shared" si="73"/>
        <v>-2.9661294224101464E-2</v>
      </c>
      <c r="R398" s="63">
        <f t="shared" si="74"/>
        <v>-0.1684782608695653</v>
      </c>
      <c r="S398" s="63">
        <f t="shared" si="75"/>
        <v>-9.8187870394178083E-3</v>
      </c>
      <c r="T398" s="63">
        <f t="shared" si="76"/>
        <v>-0.1782970479089831</v>
      </c>
    </row>
    <row r="399" spans="1:20" x14ac:dyDescent="0.3">
      <c r="A399" s="18" t="s">
        <v>143</v>
      </c>
      <c r="B399" s="18" t="s">
        <v>144</v>
      </c>
      <c r="C399" s="18" t="s">
        <v>124</v>
      </c>
      <c r="D399" s="18" t="s">
        <v>121</v>
      </c>
      <c r="E399" s="61">
        <v>2021</v>
      </c>
      <c r="F399" s="62">
        <v>459000000</v>
      </c>
      <c r="G399" s="62">
        <v>1616000000</v>
      </c>
      <c r="H399" s="62">
        <v>184912207</v>
      </c>
      <c r="I399" s="62">
        <v>193165396</v>
      </c>
      <c r="J399" s="62">
        <f t="shared" si="66"/>
        <v>2.4822590538871236</v>
      </c>
      <c r="K399" s="62">
        <f t="shared" si="67"/>
        <v>8.3658876458390097</v>
      </c>
      <c r="L399" s="63">
        <f t="shared" si="68"/>
        <v>2.5206971677559911</v>
      </c>
      <c r="M399" s="63">
        <f t="shared" si="69"/>
        <v>4.4633013330482828E-2</v>
      </c>
      <c r="N399" s="63">
        <f t="shared" si="70"/>
        <v>2.3702717823662871</v>
      </c>
      <c r="O399" s="62">
        <f t="shared" si="71"/>
        <v>8.7392824206570641</v>
      </c>
      <c r="P399" s="62">
        <f t="shared" si="72"/>
        <v>6.2570233667699409</v>
      </c>
      <c r="Q399" s="62">
        <f t="shared" si="73"/>
        <v>-0.37339477481805439</v>
      </c>
      <c r="R399" s="63">
        <f t="shared" si="74"/>
        <v>2.520697167755992</v>
      </c>
      <c r="S399" s="63">
        <f t="shared" si="75"/>
        <v>-0.15042538538970471</v>
      </c>
      <c r="T399" s="63">
        <f t="shared" si="76"/>
        <v>2.3702717823662871</v>
      </c>
    </row>
    <row r="400" spans="1:20" x14ac:dyDescent="0.3">
      <c r="A400" s="18" t="s">
        <v>143</v>
      </c>
      <c r="B400" s="18" t="s">
        <v>144</v>
      </c>
      <c r="C400" s="18" t="s">
        <v>124</v>
      </c>
      <c r="D400" s="18" t="s">
        <v>121</v>
      </c>
      <c r="E400" s="61">
        <v>2022</v>
      </c>
      <c r="F400" s="62">
        <v>1616000000</v>
      </c>
      <c r="G400" s="62">
        <v>-281000000</v>
      </c>
      <c r="H400" s="62">
        <v>193165396</v>
      </c>
      <c r="I400" s="62">
        <v>190933438</v>
      </c>
      <c r="J400" s="62">
        <f t="shared" si="66"/>
        <v>8.3658876458390097</v>
      </c>
      <c r="K400" s="62">
        <f t="shared" si="67"/>
        <v>-1.4717170703226954</v>
      </c>
      <c r="L400" s="63">
        <f t="shared" si="68"/>
        <v>-1.1738861386138615</v>
      </c>
      <c r="M400" s="63">
        <f t="shared" si="69"/>
        <v>-1.1554647189499717E-2</v>
      </c>
      <c r="N400" s="63">
        <f t="shared" si="70"/>
        <v>-1.1759188184955713</v>
      </c>
      <c r="O400" s="62">
        <f t="shared" si="71"/>
        <v>-1.4547118988123524</v>
      </c>
      <c r="P400" s="62">
        <f t="shared" si="72"/>
        <v>-9.8205995446513619</v>
      </c>
      <c r="Q400" s="62">
        <f t="shared" si="73"/>
        <v>-1.7005171510342976E-2</v>
      </c>
      <c r="R400" s="63">
        <f t="shared" si="74"/>
        <v>-1.1738861386138613</v>
      </c>
      <c r="S400" s="63">
        <f t="shared" si="75"/>
        <v>-2.0326798817099745E-3</v>
      </c>
      <c r="T400" s="63">
        <f t="shared" si="76"/>
        <v>-1.1759188184955713</v>
      </c>
    </row>
    <row r="401" spans="1:20" x14ac:dyDescent="0.3">
      <c r="A401" s="18" t="s">
        <v>143</v>
      </c>
      <c r="B401" s="18" t="s">
        <v>144</v>
      </c>
      <c r="C401" s="18" t="s">
        <v>124</v>
      </c>
      <c r="D401" s="18" t="s">
        <v>121</v>
      </c>
      <c r="E401" s="61">
        <v>2023</v>
      </c>
      <c r="F401" s="62">
        <v>-281000000</v>
      </c>
      <c r="G401" s="62">
        <v>-198000000</v>
      </c>
      <c r="H401" s="62">
        <v>190933438</v>
      </c>
      <c r="I401" s="62">
        <v>189262192</v>
      </c>
      <c r="J401" s="62">
        <f t="shared" si="66"/>
        <v>-1.4717170703226954</v>
      </c>
      <c r="K401" s="62">
        <f t="shared" si="67"/>
        <v>-1.0461677417325908</v>
      </c>
      <c r="L401" s="63">
        <f t="shared" si="68"/>
        <v>0.29537366548042704</v>
      </c>
      <c r="M401" s="63">
        <f t="shared" si="69"/>
        <v>-8.7530294196032869E-3</v>
      </c>
      <c r="N401" s="63">
        <f t="shared" si="70"/>
        <v>0.28915158842099775</v>
      </c>
      <c r="O401" s="62">
        <f t="shared" si="71"/>
        <v>-1.0370106047113654</v>
      </c>
      <c r="P401" s="62">
        <f t="shared" si="72"/>
        <v>0.43470646561132997</v>
      </c>
      <c r="Q401" s="62">
        <f t="shared" si="73"/>
        <v>-9.1571370212253367E-3</v>
      </c>
      <c r="R401" s="63">
        <f t="shared" si="74"/>
        <v>0.29537366548042704</v>
      </c>
      <c r="S401" s="63">
        <f t="shared" si="75"/>
        <v>-6.2220770594292969E-3</v>
      </c>
      <c r="T401" s="63">
        <f t="shared" si="76"/>
        <v>0.28915158842099775</v>
      </c>
    </row>
    <row r="402" spans="1:20" x14ac:dyDescent="0.3">
      <c r="A402" s="18" t="s">
        <v>143</v>
      </c>
      <c r="B402" s="18" t="s">
        <v>144</v>
      </c>
      <c r="C402" s="18" t="s">
        <v>124</v>
      </c>
      <c r="D402" s="18" t="s">
        <v>121</v>
      </c>
      <c r="E402" s="61">
        <v>2024</v>
      </c>
      <c r="F402" s="62">
        <v>-198000000</v>
      </c>
      <c r="G402" s="62">
        <v>-266000000</v>
      </c>
      <c r="H402" s="62">
        <v>189262192</v>
      </c>
      <c r="I402" s="62">
        <v>188740330</v>
      </c>
      <c r="J402" s="62">
        <f t="shared" si="66"/>
        <v>-1.0461677417325908</v>
      </c>
      <c r="K402" s="62">
        <f t="shared" si="67"/>
        <v>-1.4093437263779289</v>
      </c>
      <c r="L402" s="63">
        <f t="shared" si="68"/>
        <v>-0.34343434343434343</v>
      </c>
      <c r="M402" s="63">
        <f t="shared" si="69"/>
        <v>-2.7573494446265319E-3</v>
      </c>
      <c r="N402" s="63">
        <f t="shared" si="70"/>
        <v>-0.34714890371583357</v>
      </c>
      <c r="O402" s="62">
        <f t="shared" si="71"/>
        <v>-1.4054576732367128</v>
      </c>
      <c r="P402" s="62">
        <f t="shared" si="72"/>
        <v>-0.35928993150412203</v>
      </c>
      <c r="Q402" s="62">
        <f t="shared" si="73"/>
        <v>-3.8860531412161503E-3</v>
      </c>
      <c r="R402" s="63">
        <f t="shared" si="74"/>
        <v>-0.34343434343434337</v>
      </c>
      <c r="S402" s="63">
        <f t="shared" si="75"/>
        <v>-3.7145602814901723E-3</v>
      </c>
      <c r="T402" s="63">
        <f t="shared" si="76"/>
        <v>-0.34714890371583357</v>
      </c>
    </row>
    <row r="403" spans="1:20" x14ac:dyDescent="0.3">
      <c r="A403" s="18" t="s">
        <v>145</v>
      </c>
      <c r="B403" s="18" t="s">
        <v>146</v>
      </c>
      <c r="C403" s="18" t="s">
        <v>124</v>
      </c>
      <c r="D403" s="18" t="s">
        <v>121</v>
      </c>
      <c r="E403" s="61">
        <v>2023</v>
      </c>
      <c r="F403" s="62">
        <v>2665000000</v>
      </c>
      <c r="G403" s="62">
        <v>3775000000</v>
      </c>
      <c r="H403" s="62">
        <v>822951882</v>
      </c>
      <c r="I403" s="62">
        <v>818000000</v>
      </c>
      <c r="J403" s="62">
        <f t="shared" si="66"/>
        <v>3.2383424332456903</v>
      </c>
      <c r="K403" s="62">
        <f t="shared" si="67"/>
        <v>4.6149144254278731</v>
      </c>
      <c r="L403" s="63">
        <f t="shared" si="68"/>
        <v>0.41651031894934332</v>
      </c>
      <c r="M403" s="63">
        <f t="shared" si="69"/>
        <v>-6.0172193639870669E-3</v>
      </c>
      <c r="N403" s="63">
        <f t="shared" si="70"/>
        <v>0.42508537023445275</v>
      </c>
      <c r="O403" s="62">
        <f t="shared" si="71"/>
        <v>4.5871454729840453</v>
      </c>
      <c r="P403" s="62">
        <f t="shared" si="72"/>
        <v>1.348803039738355</v>
      </c>
      <c r="Q403" s="62">
        <f t="shared" si="73"/>
        <v>2.7768952443827821E-2</v>
      </c>
      <c r="R403" s="63">
        <f t="shared" si="74"/>
        <v>0.41651031894934332</v>
      </c>
      <c r="S403" s="63">
        <f t="shared" si="75"/>
        <v>8.5750512851094189E-3</v>
      </c>
      <c r="T403" s="63">
        <f t="shared" si="76"/>
        <v>0.42508537023445275</v>
      </c>
    </row>
    <row r="404" spans="1:20" x14ac:dyDescent="0.3">
      <c r="A404" s="18" t="s">
        <v>145</v>
      </c>
      <c r="B404" s="18" t="s">
        <v>146</v>
      </c>
      <c r="C404" s="18" t="s">
        <v>124</v>
      </c>
      <c r="D404" s="18" t="s">
        <v>121</v>
      </c>
      <c r="E404" s="61">
        <v>2024</v>
      </c>
      <c r="F404" s="62">
        <v>3775000000</v>
      </c>
      <c r="G404" s="62">
        <v>2900000000</v>
      </c>
      <c r="H404" s="62">
        <v>818000000</v>
      </c>
      <c r="I404" s="62">
        <v>796000000</v>
      </c>
      <c r="J404" s="62">
        <f t="shared" si="66"/>
        <v>4.6149144254278731</v>
      </c>
      <c r="K404" s="62">
        <f t="shared" si="67"/>
        <v>3.6432160804020102</v>
      </c>
      <c r="L404" s="63">
        <f t="shared" si="68"/>
        <v>-0.23178807947019867</v>
      </c>
      <c r="M404" s="63">
        <f t="shared" si="69"/>
        <v>-2.6894865525672371E-2</v>
      </c>
      <c r="N404" s="63">
        <f t="shared" si="70"/>
        <v>-0.21055609171686249</v>
      </c>
      <c r="O404" s="62">
        <f t="shared" si="71"/>
        <v>3.5452322738386308</v>
      </c>
      <c r="P404" s="62">
        <f t="shared" si="72"/>
        <v>-1.0696821515892423</v>
      </c>
      <c r="Q404" s="62">
        <f t="shared" si="73"/>
        <v>9.798380656337935E-2</v>
      </c>
      <c r="R404" s="63">
        <f t="shared" si="74"/>
        <v>-0.23178807947019872</v>
      </c>
      <c r="S404" s="63">
        <f t="shared" si="75"/>
        <v>2.1231987753336238E-2</v>
      </c>
      <c r="T404" s="63">
        <f t="shared" si="76"/>
        <v>-0.21055609171686249</v>
      </c>
    </row>
    <row r="405" spans="1:20" x14ac:dyDescent="0.3">
      <c r="A405" s="18" t="s">
        <v>147</v>
      </c>
      <c r="B405" s="18" t="s">
        <v>148</v>
      </c>
      <c r="C405" s="18" t="s">
        <v>124</v>
      </c>
      <c r="D405" s="18" t="s">
        <v>121</v>
      </c>
      <c r="E405" s="61">
        <v>2016</v>
      </c>
      <c r="F405" s="62">
        <v>-6794000000</v>
      </c>
      <c r="G405" s="62">
        <v>-1402000000</v>
      </c>
      <c r="H405" s="62">
        <v>1742394689</v>
      </c>
      <c r="I405" s="62">
        <v>1555280876</v>
      </c>
      <c r="J405" s="62">
        <f t="shared" si="66"/>
        <v>-3.8992313526272464</v>
      </c>
      <c r="K405" s="62">
        <f t="shared" si="67"/>
        <v>-0.90144489116704085</v>
      </c>
      <c r="L405" s="63">
        <f t="shared" si="68"/>
        <v>0.79364144833676775</v>
      </c>
      <c r="M405" s="63">
        <f t="shared" si="69"/>
        <v>-0.10738887932870644</v>
      </c>
      <c r="N405" s="63">
        <f t="shared" si="70"/>
        <v>0.76881472022436936</v>
      </c>
      <c r="O405" s="62">
        <f t="shared" si="71"/>
        <v>-0.80463973452802462</v>
      </c>
      <c r="P405" s="62">
        <f t="shared" si="72"/>
        <v>3.0945916180992219</v>
      </c>
      <c r="Q405" s="62">
        <f t="shared" si="73"/>
        <v>-9.6805156639016232E-2</v>
      </c>
      <c r="R405" s="63">
        <f t="shared" si="74"/>
        <v>0.79364144833676775</v>
      </c>
      <c r="S405" s="63">
        <f t="shared" si="75"/>
        <v>-2.4826728112398434E-2</v>
      </c>
      <c r="T405" s="63">
        <f t="shared" si="76"/>
        <v>0.76881472022436936</v>
      </c>
    </row>
    <row r="406" spans="1:20" x14ac:dyDescent="0.3">
      <c r="A406" s="18" t="s">
        <v>147</v>
      </c>
      <c r="B406" s="18" t="s">
        <v>148</v>
      </c>
      <c r="C406" s="18" t="s">
        <v>124</v>
      </c>
      <c r="D406" s="18" t="s">
        <v>121</v>
      </c>
      <c r="E406" s="61">
        <v>2017</v>
      </c>
      <c r="F406" s="62">
        <v>-1402000000</v>
      </c>
      <c r="G406" s="62">
        <v>-751000000</v>
      </c>
      <c r="H406" s="62">
        <v>1555280876</v>
      </c>
      <c r="I406" s="62">
        <v>1967700000</v>
      </c>
      <c r="J406" s="62">
        <f t="shared" si="66"/>
        <v>-0.90144489116704085</v>
      </c>
      <c r="K406" s="62">
        <f t="shared" si="67"/>
        <v>-0.38166387152513087</v>
      </c>
      <c r="L406" s="63">
        <f t="shared" si="68"/>
        <v>0.46433666191155493</v>
      </c>
      <c r="M406" s="63">
        <f t="shared" si="69"/>
        <v>0.26517340395819283</v>
      </c>
      <c r="N406" s="63">
        <f t="shared" si="70"/>
        <v>0.57660875859974525</v>
      </c>
      <c r="O406" s="62">
        <f t="shared" si="71"/>
        <v>-0.48287097950531221</v>
      </c>
      <c r="P406" s="62">
        <f t="shared" si="72"/>
        <v>0.41857391166172864</v>
      </c>
      <c r="Q406" s="62">
        <f t="shared" si="73"/>
        <v>0.10120710798018134</v>
      </c>
      <c r="R406" s="63">
        <f t="shared" si="74"/>
        <v>0.46433666191155487</v>
      </c>
      <c r="S406" s="63">
        <f t="shared" si="75"/>
        <v>0.11227209668819046</v>
      </c>
      <c r="T406" s="63">
        <f t="shared" si="76"/>
        <v>0.57660875859974536</v>
      </c>
    </row>
    <row r="407" spans="1:20" x14ac:dyDescent="0.3">
      <c r="A407" s="18" t="s">
        <v>147</v>
      </c>
      <c r="B407" s="18" t="s">
        <v>148</v>
      </c>
      <c r="C407" s="18" t="s">
        <v>124</v>
      </c>
      <c r="D407" s="18" t="s">
        <v>121</v>
      </c>
      <c r="E407" s="61">
        <v>2018</v>
      </c>
      <c r="F407" s="62">
        <v>-751000000</v>
      </c>
      <c r="G407" s="62">
        <v>267000000</v>
      </c>
      <c r="H407" s="62">
        <v>1967700000</v>
      </c>
      <c r="I407" s="62">
        <v>2102199999</v>
      </c>
      <c r="J407" s="62">
        <f t="shared" si="66"/>
        <v>-0.38166387152513087</v>
      </c>
      <c r="K407" s="62">
        <f t="shared" si="67"/>
        <v>0.12700979931833783</v>
      </c>
      <c r="L407" s="63">
        <f t="shared" si="68"/>
        <v>1.355525965379494</v>
      </c>
      <c r="M407" s="63">
        <f t="shared" si="69"/>
        <v>6.8353915230980333E-2</v>
      </c>
      <c r="N407" s="63">
        <f t="shared" si="70"/>
        <v>1.3327792038864092</v>
      </c>
      <c r="O407" s="62">
        <f t="shared" si="71"/>
        <v>0.13569141637444732</v>
      </c>
      <c r="P407" s="62">
        <f t="shared" si="72"/>
        <v>0.51735528789957819</v>
      </c>
      <c r="Q407" s="62">
        <f t="shared" si="73"/>
        <v>-8.6816170561094808E-3</v>
      </c>
      <c r="R407" s="63">
        <f t="shared" si="74"/>
        <v>1.355525965379494</v>
      </c>
      <c r="S407" s="63">
        <f t="shared" si="75"/>
        <v>-2.274676149308472E-2</v>
      </c>
      <c r="T407" s="63">
        <f t="shared" si="76"/>
        <v>1.3327792038864092</v>
      </c>
    </row>
    <row r="408" spans="1:20" x14ac:dyDescent="0.3">
      <c r="A408" s="18" t="s">
        <v>147</v>
      </c>
      <c r="B408" s="18" t="s">
        <v>148</v>
      </c>
      <c r="C408" s="18" t="s">
        <v>124</v>
      </c>
      <c r="D408" s="18" t="s">
        <v>121</v>
      </c>
      <c r="E408" s="61">
        <v>2019</v>
      </c>
      <c r="F408" s="62">
        <v>267000000</v>
      </c>
      <c r="G408" s="62">
        <v>-5264000000</v>
      </c>
      <c r="H408" s="62">
        <v>2102199999</v>
      </c>
      <c r="I408" s="62">
        <v>2110000000</v>
      </c>
      <c r="J408" s="62">
        <f t="shared" si="66"/>
        <v>0.12700979931833783</v>
      </c>
      <c r="K408" s="62">
        <f t="shared" si="67"/>
        <v>-2.4947867298578199</v>
      </c>
      <c r="L408" s="63">
        <f t="shared" si="68"/>
        <v>-20.715355805243444</v>
      </c>
      <c r="M408" s="63">
        <f t="shared" si="69"/>
        <v>3.7103991074637992E-3</v>
      </c>
      <c r="N408" s="63">
        <f t="shared" si="70"/>
        <v>-20.642474385813941</v>
      </c>
      <c r="O408" s="62">
        <f t="shared" si="71"/>
        <v>-2.5040433843135967</v>
      </c>
      <c r="P408" s="62">
        <f t="shared" si="72"/>
        <v>-2.6310531836319346</v>
      </c>
      <c r="Q408" s="62">
        <f t="shared" si="73"/>
        <v>9.256654455776836E-3</v>
      </c>
      <c r="R408" s="63">
        <f t="shared" si="74"/>
        <v>-20.715355805243444</v>
      </c>
      <c r="S408" s="63">
        <f t="shared" si="75"/>
        <v>7.2881419429503408E-2</v>
      </c>
      <c r="T408" s="63">
        <f t="shared" si="76"/>
        <v>-20.642474385813941</v>
      </c>
    </row>
    <row r="409" spans="1:20" x14ac:dyDescent="0.3">
      <c r="A409" s="18" t="s">
        <v>147</v>
      </c>
      <c r="B409" s="18" t="s">
        <v>148</v>
      </c>
      <c r="C409" s="18" t="s">
        <v>124</v>
      </c>
      <c r="D409" s="18" t="s">
        <v>121</v>
      </c>
      <c r="E409" s="61">
        <v>2020</v>
      </c>
      <c r="F409" s="62">
        <v>-5264000000</v>
      </c>
      <c r="G409" s="62">
        <v>495000000</v>
      </c>
      <c r="H409" s="62">
        <v>2110000000</v>
      </c>
      <c r="I409" s="62">
        <v>2108199999</v>
      </c>
      <c r="J409" s="62">
        <f t="shared" si="66"/>
        <v>-2.4947867298578199</v>
      </c>
      <c r="K409" s="62">
        <f t="shared" si="67"/>
        <v>0.23479745765809576</v>
      </c>
      <c r="L409" s="63">
        <f t="shared" si="68"/>
        <v>1.0940349544072949</v>
      </c>
      <c r="M409" s="63">
        <f t="shared" si="69"/>
        <v>-8.5308104265402842E-4</v>
      </c>
      <c r="N409" s="63">
        <f t="shared" si="70"/>
        <v>1.0941152423363567</v>
      </c>
      <c r="O409" s="62">
        <f t="shared" si="71"/>
        <v>0.23459715639810427</v>
      </c>
      <c r="P409" s="62">
        <f t="shared" si="72"/>
        <v>2.7293838862559241</v>
      </c>
      <c r="Q409" s="62">
        <f t="shared" si="73"/>
        <v>2.0030125999148662E-4</v>
      </c>
      <c r="R409" s="63">
        <f t="shared" si="74"/>
        <v>1.0940349544072947</v>
      </c>
      <c r="S409" s="63">
        <f t="shared" si="75"/>
        <v>8.0287929061937082E-5</v>
      </c>
      <c r="T409" s="63">
        <f t="shared" si="76"/>
        <v>1.0941152423363567</v>
      </c>
    </row>
    <row r="410" spans="1:20" x14ac:dyDescent="0.3">
      <c r="A410" s="18" t="s">
        <v>147</v>
      </c>
      <c r="B410" s="18" t="s">
        <v>148</v>
      </c>
      <c r="C410" s="18" t="s">
        <v>124</v>
      </c>
      <c r="D410" s="18" t="s">
        <v>121</v>
      </c>
      <c r="E410" s="61">
        <v>2021</v>
      </c>
      <c r="F410" s="62">
        <v>495000000</v>
      </c>
      <c r="G410" s="62">
        <v>2365000000</v>
      </c>
      <c r="H410" s="62">
        <v>2108199999</v>
      </c>
      <c r="I410" s="62">
        <v>2096500000</v>
      </c>
      <c r="J410" s="62">
        <f t="shared" si="66"/>
        <v>0.23479745765809576</v>
      </c>
      <c r="K410" s="62">
        <f t="shared" si="67"/>
        <v>1.1280705938468876</v>
      </c>
      <c r="L410" s="63">
        <f t="shared" si="68"/>
        <v>3.7777777777777777</v>
      </c>
      <c r="M410" s="63">
        <f t="shared" si="69"/>
        <v>-5.5497576157621468E-3</v>
      </c>
      <c r="N410" s="63">
        <f t="shared" si="70"/>
        <v>3.8044412622625003</v>
      </c>
      <c r="O410" s="62">
        <f t="shared" si="71"/>
        <v>1.1218100754775686</v>
      </c>
      <c r="P410" s="62">
        <f t="shared" si="72"/>
        <v>0.88701261781947283</v>
      </c>
      <c r="Q410" s="62">
        <f t="shared" si="73"/>
        <v>6.260518369318957E-3</v>
      </c>
      <c r="R410" s="63">
        <f t="shared" si="74"/>
        <v>3.7777777777777777</v>
      </c>
      <c r="S410" s="63">
        <f t="shared" si="75"/>
        <v>2.6663484484722638E-2</v>
      </c>
      <c r="T410" s="63">
        <f t="shared" si="76"/>
        <v>3.8044412622625003</v>
      </c>
    </row>
    <row r="411" spans="1:20" x14ac:dyDescent="0.3">
      <c r="A411" s="18" t="s">
        <v>147</v>
      </c>
      <c r="B411" s="18" t="s">
        <v>148</v>
      </c>
      <c r="C411" s="18" t="s">
        <v>124</v>
      </c>
      <c r="D411" s="18" t="s">
        <v>121</v>
      </c>
      <c r="E411" s="61">
        <v>2022</v>
      </c>
      <c r="F411" s="62">
        <v>2365000000</v>
      </c>
      <c r="G411" s="62">
        <v>5525000000</v>
      </c>
      <c r="H411" s="62">
        <v>2096500000</v>
      </c>
      <c r="I411" s="62">
        <v>2084900000</v>
      </c>
      <c r="J411" s="62">
        <f t="shared" si="66"/>
        <v>1.1280705938468876</v>
      </c>
      <c r="K411" s="62">
        <f t="shared" si="67"/>
        <v>2.6500071945896684</v>
      </c>
      <c r="L411" s="63">
        <f t="shared" si="68"/>
        <v>1.3361522198731501</v>
      </c>
      <c r="M411" s="63">
        <f t="shared" si="69"/>
        <v>-5.5330312425471021E-3</v>
      </c>
      <c r="N411" s="63">
        <f t="shared" si="70"/>
        <v>1.3491501409967188</v>
      </c>
      <c r="O411" s="62">
        <f t="shared" si="71"/>
        <v>2.6353446219890295</v>
      </c>
      <c r="P411" s="62">
        <f t="shared" si="72"/>
        <v>1.507274028142142</v>
      </c>
      <c r="Q411" s="62">
        <f t="shared" si="73"/>
        <v>1.4662572600638857E-2</v>
      </c>
      <c r="R411" s="63">
        <f t="shared" si="74"/>
        <v>1.3361522198731506</v>
      </c>
      <c r="S411" s="63">
        <f t="shared" si="75"/>
        <v>1.2997921123568443E-2</v>
      </c>
      <c r="T411" s="63">
        <f t="shared" si="76"/>
        <v>1.349150140996719</v>
      </c>
    </row>
    <row r="412" spans="1:20" x14ac:dyDescent="0.3">
      <c r="A412" s="18" t="s">
        <v>147</v>
      </c>
      <c r="B412" s="18" t="s">
        <v>148</v>
      </c>
      <c r="C412" s="18" t="s">
        <v>124</v>
      </c>
      <c r="D412" s="18" t="s">
        <v>121</v>
      </c>
      <c r="E412" s="61">
        <v>2023</v>
      </c>
      <c r="F412" s="62">
        <v>5525000000</v>
      </c>
      <c r="G412" s="62">
        <v>4274000000</v>
      </c>
      <c r="H412" s="62">
        <v>2084900000</v>
      </c>
      <c r="I412" s="62">
        <v>2064100000</v>
      </c>
      <c r="J412" s="62">
        <f t="shared" si="66"/>
        <v>2.6500071945896684</v>
      </c>
      <c r="K412" s="62">
        <f t="shared" si="67"/>
        <v>2.0706361125914441</v>
      </c>
      <c r="L412" s="63">
        <f t="shared" si="68"/>
        <v>-0.22642533936651585</v>
      </c>
      <c r="M412" s="63">
        <f t="shared" si="69"/>
        <v>-9.9764976737493401E-3</v>
      </c>
      <c r="N412" s="63">
        <f t="shared" si="70"/>
        <v>-0.21863000341323038</v>
      </c>
      <c r="O412" s="62">
        <f t="shared" si="71"/>
        <v>2.0499784162309944</v>
      </c>
      <c r="P412" s="62">
        <f t="shared" si="72"/>
        <v>-0.60002877835867396</v>
      </c>
      <c r="Q412" s="62">
        <f t="shared" si="73"/>
        <v>2.0657696360449673E-2</v>
      </c>
      <c r="R412" s="63">
        <f t="shared" si="74"/>
        <v>-0.22642533936651574</v>
      </c>
      <c r="S412" s="63">
        <f t="shared" si="75"/>
        <v>7.7953359532853444E-3</v>
      </c>
      <c r="T412" s="63">
        <f t="shared" si="76"/>
        <v>-0.21863000341323038</v>
      </c>
    </row>
    <row r="413" spans="1:20" x14ac:dyDescent="0.3">
      <c r="A413" s="18" t="s">
        <v>147</v>
      </c>
      <c r="B413" s="18" t="s">
        <v>148</v>
      </c>
      <c r="C413" s="18" t="s">
        <v>124</v>
      </c>
      <c r="D413" s="18" t="s">
        <v>121</v>
      </c>
      <c r="E413" s="61">
        <v>2024</v>
      </c>
      <c r="F413" s="62">
        <v>4274000000</v>
      </c>
      <c r="G413" s="62">
        <v>3366000000</v>
      </c>
      <c r="H413" s="62">
        <v>2064100000</v>
      </c>
      <c r="I413" s="62">
        <v>1993600000</v>
      </c>
      <c r="J413" s="62">
        <f t="shared" si="66"/>
        <v>2.0706361125914441</v>
      </c>
      <c r="K413" s="62">
        <f t="shared" si="67"/>
        <v>1.6884028892455858</v>
      </c>
      <c r="L413" s="63">
        <f t="shared" si="68"/>
        <v>-0.21244735610669163</v>
      </c>
      <c r="M413" s="63">
        <f t="shared" si="69"/>
        <v>-3.4155321932076932E-2</v>
      </c>
      <c r="N413" s="63">
        <f t="shared" si="70"/>
        <v>-0.18459700428361867</v>
      </c>
      <c r="O413" s="62">
        <f t="shared" si="71"/>
        <v>1.6307349450123541</v>
      </c>
      <c r="P413" s="62">
        <f t="shared" si="72"/>
        <v>-0.43990116757909004</v>
      </c>
      <c r="Q413" s="62">
        <f t="shared" si="73"/>
        <v>5.7667944233231738E-2</v>
      </c>
      <c r="R413" s="63">
        <f t="shared" si="74"/>
        <v>-0.21244735610669158</v>
      </c>
      <c r="S413" s="63">
        <f t="shared" si="75"/>
        <v>2.7850351823072914E-2</v>
      </c>
      <c r="T413" s="63">
        <f t="shared" si="76"/>
        <v>-0.18459700428361867</v>
      </c>
    </row>
    <row r="414" spans="1:20" x14ac:dyDescent="0.3">
      <c r="A414" s="18" t="s">
        <v>149</v>
      </c>
      <c r="B414" s="18" t="s">
        <v>150</v>
      </c>
      <c r="C414" s="18" t="s">
        <v>124</v>
      </c>
      <c r="D414" s="18" t="s">
        <v>121</v>
      </c>
      <c r="E414" s="61">
        <v>2016</v>
      </c>
      <c r="F414" s="62">
        <v>665500000</v>
      </c>
      <c r="G414" s="62">
        <v>1272700000</v>
      </c>
      <c r="H414" s="62">
        <v>184997923</v>
      </c>
      <c r="I414" s="62">
        <v>186764058</v>
      </c>
      <c r="J414" s="62">
        <f t="shared" si="66"/>
        <v>3.5973376847047089</v>
      </c>
      <c r="K414" s="62">
        <f t="shared" si="67"/>
        <v>6.8144803321846865</v>
      </c>
      <c r="L414" s="63">
        <f t="shared" si="68"/>
        <v>0.91239669421487601</v>
      </c>
      <c r="M414" s="63">
        <f t="shared" si="69"/>
        <v>9.5467828576648404E-3</v>
      </c>
      <c r="N414" s="63">
        <f t="shared" si="70"/>
        <v>0.89431210785652449</v>
      </c>
      <c r="O414" s="62">
        <f t="shared" si="71"/>
        <v>6.8795366962038811</v>
      </c>
      <c r="P414" s="62">
        <f t="shared" si="72"/>
        <v>3.2821990114991721</v>
      </c>
      <c r="Q414" s="62">
        <f t="shared" si="73"/>
        <v>-6.5056364019194568E-2</v>
      </c>
      <c r="R414" s="63">
        <f t="shared" si="74"/>
        <v>0.9123966942148759</v>
      </c>
      <c r="S414" s="63">
        <f t="shared" si="75"/>
        <v>-1.8084586358351504E-2</v>
      </c>
      <c r="T414" s="63">
        <f t="shared" si="76"/>
        <v>0.89431210785652437</v>
      </c>
    </row>
    <row r="415" spans="1:20" x14ac:dyDescent="0.3">
      <c r="A415" s="18" t="s">
        <v>149</v>
      </c>
      <c r="B415" s="18" t="s">
        <v>150</v>
      </c>
      <c r="C415" s="18" t="s">
        <v>124</v>
      </c>
      <c r="D415" s="18" t="s">
        <v>121</v>
      </c>
      <c r="E415" s="61">
        <v>2017</v>
      </c>
      <c r="F415" s="62">
        <v>1272700000</v>
      </c>
      <c r="G415" s="62">
        <v>874300000</v>
      </c>
      <c r="H415" s="62">
        <v>186764058</v>
      </c>
      <c r="I415" s="62">
        <v>186835673</v>
      </c>
      <c r="J415" s="62">
        <f t="shared" si="66"/>
        <v>6.8144803321846865</v>
      </c>
      <c r="K415" s="62">
        <f t="shared" si="67"/>
        <v>4.6795132105205628</v>
      </c>
      <c r="L415" s="63">
        <f t="shared" si="68"/>
        <v>-0.31303527932741415</v>
      </c>
      <c r="M415" s="63">
        <f t="shared" si="69"/>
        <v>3.8345172388575964E-4</v>
      </c>
      <c r="N415" s="63">
        <f t="shared" si="70"/>
        <v>-0.31329859616450967</v>
      </c>
      <c r="O415" s="62">
        <f t="shared" si="71"/>
        <v>4.6813075779280826</v>
      </c>
      <c r="P415" s="62">
        <f t="shared" si="72"/>
        <v>-2.1331727542566039</v>
      </c>
      <c r="Q415" s="62">
        <f t="shared" si="73"/>
        <v>-1.7943674075198146E-3</v>
      </c>
      <c r="R415" s="63">
        <f t="shared" si="74"/>
        <v>-0.31303527932741426</v>
      </c>
      <c r="S415" s="63">
        <f t="shared" si="75"/>
        <v>-2.6331683709541939E-4</v>
      </c>
      <c r="T415" s="63">
        <f t="shared" si="76"/>
        <v>-0.31329859616450967</v>
      </c>
    </row>
    <row r="416" spans="1:20" x14ac:dyDescent="0.3">
      <c r="A416" s="18" t="s">
        <v>149</v>
      </c>
      <c r="B416" s="18" t="s">
        <v>150</v>
      </c>
      <c r="C416" s="18" t="s">
        <v>124</v>
      </c>
      <c r="D416" s="18" t="s">
        <v>121</v>
      </c>
      <c r="E416" s="61">
        <v>2018</v>
      </c>
      <c r="F416" s="62">
        <v>874300000</v>
      </c>
      <c r="G416" s="62">
        <v>824300000</v>
      </c>
      <c r="H416" s="62">
        <v>186835673</v>
      </c>
      <c r="I416" s="62">
        <v>184887281</v>
      </c>
      <c r="J416" s="62">
        <f t="shared" si="66"/>
        <v>4.6795132105205628</v>
      </c>
      <c r="K416" s="62">
        <f t="shared" si="67"/>
        <v>4.458392137856146</v>
      </c>
      <c r="L416" s="63">
        <f t="shared" si="68"/>
        <v>-5.7188608029280566E-2</v>
      </c>
      <c r="M416" s="63">
        <f t="shared" si="69"/>
        <v>-1.0428372530335789E-2</v>
      </c>
      <c r="N416" s="63">
        <f t="shared" si="70"/>
        <v>-4.7253007463957705E-2</v>
      </c>
      <c r="O416" s="62">
        <f t="shared" si="71"/>
        <v>4.4118983637562623</v>
      </c>
      <c r="P416" s="62">
        <f t="shared" si="72"/>
        <v>-0.26761484676430047</v>
      </c>
      <c r="Q416" s="62">
        <f t="shared" si="73"/>
        <v>4.6493774099883645E-2</v>
      </c>
      <c r="R416" s="63">
        <f t="shared" si="74"/>
        <v>-5.718860802928051E-2</v>
      </c>
      <c r="S416" s="63">
        <f t="shared" si="75"/>
        <v>9.935600565322807E-3</v>
      </c>
      <c r="T416" s="63">
        <f t="shared" si="76"/>
        <v>-4.7253007463957705E-2</v>
      </c>
    </row>
    <row r="417" spans="1:20" x14ac:dyDescent="0.3">
      <c r="A417" s="18" t="s">
        <v>149</v>
      </c>
      <c r="B417" s="18" t="s">
        <v>150</v>
      </c>
      <c r="C417" s="18" t="s">
        <v>124</v>
      </c>
      <c r="D417" s="18" t="s">
        <v>121</v>
      </c>
      <c r="E417" s="61">
        <v>2019</v>
      </c>
      <c r="F417" s="62">
        <v>824300000</v>
      </c>
      <c r="G417" s="62">
        <v>1003900000</v>
      </c>
      <c r="H417" s="62">
        <v>184887281</v>
      </c>
      <c r="I417" s="62">
        <v>183381196</v>
      </c>
      <c r="J417" s="62">
        <f t="shared" si="66"/>
        <v>4.458392137856146</v>
      </c>
      <c r="K417" s="62">
        <f t="shared" si="67"/>
        <v>5.4743889880617855</v>
      </c>
      <c r="L417" s="63">
        <f t="shared" si="68"/>
        <v>0.21788183913623679</v>
      </c>
      <c r="M417" s="63">
        <f t="shared" si="69"/>
        <v>-8.1459632693716769E-3</v>
      </c>
      <c r="N417" s="63">
        <f t="shared" si="70"/>
        <v>0.22788413822526385</v>
      </c>
      <c r="O417" s="62">
        <f t="shared" si="71"/>
        <v>5.4297948164427821</v>
      </c>
      <c r="P417" s="62">
        <f t="shared" si="72"/>
        <v>0.97140267858663609</v>
      </c>
      <c r="Q417" s="62">
        <f t="shared" si="73"/>
        <v>4.4594171619003475E-2</v>
      </c>
      <c r="R417" s="63">
        <f t="shared" si="74"/>
        <v>0.2178818391362369</v>
      </c>
      <c r="S417" s="63">
        <f t="shared" si="75"/>
        <v>1.0002299089026957E-2</v>
      </c>
      <c r="T417" s="63">
        <f t="shared" si="76"/>
        <v>0.22788413822526385</v>
      </c>
    </row>
    <row r="418" spans="1:20" x14ac:dyDescent="0.3">
      <c r="A418" s="18" t="s">
        <v>149</v>
      </c>
      <c r="B418" s="18" t="s">
        <v>150</v>
      </c>
      <c r="C418" s="18" t="s">
        <v>124</v>
      </c>
      <c r="D418" s="18" t="s">
        <v>121</v>
      </c>
      <c r="E418" s="61">
        <v>2020</v>
      </c>
      <c r="F418" s="62">
        <v>1003900000</v>
      </c>
      <c r="G418" s="62">
        <v>1079900000</v>
      </c>
      <c r="H418" s="62">
        <v>183381196</v>
      </c>
      <c r="I418" s="62">
        <v>183452436</v>
      </c>
      <c r="J418" s="62">
        <f t="shared" si="66"/>
        <v>5.4743889880617855</v>
      </c>
      <c r="K418" s="62">
        <f t="shared" si="67"/>
        <v>5.8865394406646088</v>
      </c>
      <c r="L418" s="63">
        <f t="shared" si="68"/>
        <v>7.5704751469269846E-2</v>
      </c>
      <c r="M418" s="63">
        <f t="shared" si="69"/>
        <v>3.8848039795748741E-4</v>
      </c>
      <c r="N418" s="63">
        <f t="shared" si="70"/>
        <v>7.5287023538447101E-2</v>
      </c>
      <c r="O418" s="62">
        <f t="shared" si="71"/>
        <v>5.8888262458491107</v>
      </c>
      <c r="P418" s="62">
        <f t="shared" si="72"/>
        <v>0.41443725778732521</v>
      </c>
      <c r="Q418" s="62">
        <f t="shared" si="73"/>
        <v>-2.2868051845019721E-3</v>
      </c>
      <c r="R418" s="63">
        <f t="shared" si="74"/>
        <v>7.570475146926986E-2</v>
      </c>
      <c r="S418" s="63">
        <f t="shared" si="75"/>
        <v>-4.1772793082276355E-4</v>
      </c>
      <c r="T418" s="63">
        <f t="shared" si="76"/>
        <v>7.5287023538447101E-2</v>
      </c>
    </row>
    <row r="419" spans="1:20" x14ac:dyDescent="0.3">
      <c r="A419" s="18" t="s">
        <v>149</v>
      </c>
      <c r="B419" s="18" t="s">
        <v>150</v>
      </c>
      <c r="C419" s="18" t="s">
        <v>124</v>
      </c>
      <c r="D419" s="18" t="s">
        <v>121</v>
      </c>
      <c r="E419" s="61">
        <v>2021</v>
      </c>
      <c r="F419" s="62">
        <v>1079900000</v>
      </c>
      <c r="G419" s="62">
        <v>1209700000</v>
      </c>
      <c r="H419" s="62">
        <v>183452436</v>
      </c>
      <c r="I419" s="62">
        <v>183546106</v>
      </c>
      <c r="J419" s="62">
        <f t="shared" si="66"/>
        <v>5.8865394406646088</v>
      </c>
      <c r="K419" s="62">
        <f t="shared" si="67"/>
        <v>6.5907145967999998</v>
      </c>
      <c r="L419" s="63">
        <f t="shared" si="68"/>
        <v>0.12019631447356237</v>
      </c>
      <c r="M419" s="63">
        <f t="shared" si="69"/>
        <v>5.1059556385503653E-4</v>
      </c>
      <c r="N419" s="63">
        <f t="shared" si="70"/>
        <v>0.11962463909965537</v>
      </c>
      <c r="O419" s="62">
        <f t="shared" si="71"/>
        <v>6.5940797864357608</v>
      </c>
      <c r="P419" s="62">
        <f t="shared" si="72"/>
        <v>0.70754034577115199</v>
      </c>
      <c r="Q419" s="62">
        <f t="shared" si="73"/>
        <v>-3.3651896357609346E-3</v>
      </c>
      <c r="R419" s="63">
        <f t="shared" si="74"/>
        <v>0.12019631447356249</v>
      </c>
      <c r="S419" s="63">
        <f t="shared" si="75"/>
        <v>-5.7167537390711751E-4</v>
      </c>
      <c r="T419" s="63">
        <f t="shared" si="76"/>
        <v>0.11962463909965537</v>
      </c>
    </row>
    <row r="420" spans="1:20" x14ac:dyDescent="0.3">
      <c r="A420" s="18" t="s">
        <v>149</v>
      </c>
      <c r="B420" s="18" t="s">
        <v>150</v>
      </c>
      <c r="C420" s="18" t="s">
        <v>124</v>
      </c>
      <c r="D420" s="18" t="s">
        <v>121</v>
      </c>
      <c r="E420" s="61">
        <v>2022</v>
      </c>
      <c r="F420" s="62">
        <v>1209700000</v>
      </c>
      <c r="G420" s="62">
        <v>1494400000</v>
      </c>
      <c r="H420" s="62">
        <v>183546106</v>
      </c>
      <c r="I420" s="62">
        <v>183630715</v>
      </c>
      <c r="J420" s="62">
        <f t="shared" si="66"/>
        <v>6.5907145967999998</v>
      </c>
      <c r="K420" s="62">
        <f t="shared" si="67"/>
        <v>8.1380721084705243</v>
      </c>
      <c r="L420" s="63">
        <f t="shared" si="68"/>
        <v>0.23534760684467224</v>
      </c>
      <c r="M420" s="63">
        <f t="shared" si="69"/>
        <v>4.6096864621034237E-4</v>
      </c>
      <c r="N420" s="63">
        <f t="shared" si="70"/>
        <v>0.23477841271139482</v>
      </c>
      <c r="O420" s="62">
        <f t="shared" si="71"/>
        <v>8.1418235045531286</v>
      </c>
      <c r="P420" s="62">
        <f t="shared" si="72"/>
        <v>1.5511089077531288</v>
      </c>
      <c r="Q420" s="62">
        <f t="shared" si="73"/>
        <v>-3.7513960826043302E-3</v>
      </c>
      <c r="R420" s="63">
        <f t="shared" si="74"/>
        <v>0.23534760684467224</v>
      </c>
      <c r="S420" s="63">
        <f t="shared" si="75"/>
        <v>-5.6919413327740688E-4</v>
      </c>
      <c r="T420" s="63">
        <f t="shared" si="76"/>
        <v>0.23477841271139482</v>
      </c>
    </row>
    <row r="421" spans="1:20" x14ac:dyDescent="0.3">
      <c r="A421" s="18" t="s">
        <v>149</v>
      </c>
      <c r="B421" s="18" t="s">
        <v>150</v>
      </c>
      <c r="C421" s="18" t="s">
        <v>124</v>
      </c>
      <c r="D421" s="18" t="s">
        <v>121</v>
      </c>
      <c r="E421" s="61">
        <v>2023</v>
      </c>
      <c r="F421" s="62">
        <v>1494400000</v>
      </c>
      <c r="G421" s="62">
        <v>1724000000</v>
      </c>
      <c r="H421" s="62">
        <v>183630715</v>
      </c>
      <c r="I421" s="62">
        <v>184298877</v>
      </c>
      <c r="J421" s="62">
        <f t="shared" si="66"/>
        <v>8.1380721084705243</v>
      </c>
      <c r="K421" s="62">
        <f t="shared" si="67"/>
        <v>9.35437061832992</v>
      </c>
      <c r="L421" s="63">
        <f t="shared" si="68"/>
        <v>0.15364025695931477</v>
      </c>
      <c r="M421" s="63">
        <f t="shared" si="69"/>
        <v>3.6386178641193007E-3</v>
      </c>
      <c r="N421" s="63">
        <f t="shared" si="70"/>
        <v>0.14945781920430634</v>
      </c>
      <c r="O421" s="62">
        <f t="shared" si="71"/>
        <v>9.3884075983693691</v>
      </c>
      <c r="P421" s="62">
        <f t="shared" si="72"/>
        <v>1.2503354898988448</v>
      </c>
      <c r="Q421" s="62">
        <f t="shared" si="73"/>
        <v>-3.4036980039449105E-2</v>
      </c>
      <c r="R421" s="63">
        <f t="shared" si="74"/>
        <v>0.15364025695931488</v>
      </c>
      <c r="S421" s="63">
        <f t="shared" si="75"/>
        <v>-4.1824377550085433E-3</v>
      </c>
      <c r="T421" s="63">
        <f t="shared" si="76"/>
        <v>0.14945781920430634</v>
      </c>
    </row>
    <row r="422" spans="1:20" x14ac:dyDescent="0.3">
      <c r="A422" s="18" t="s">
        <v>149</v>
      </c>
      <c r="B422" s="18" t="s">
        <v>150</v>
      </c>
      <c r="C422" s="18" t="s">
        <v>124</v>
      </c>
      <c r="D422" s="18" t="s">
        <v>121</v>
      </c>
      <c r="E422" s="61">
        <v>2024</v>
      </c>
      <c r="F422" s="62">
        <v>1724000000</v>
      </c>
      <c r="G422" s="62">
        <v>1948500000</v>
      </c>
      <c r="H422" s="62">
        <v>184298877</v>
      </c>
      <c r="I422" s="62">
        <v>183820000</v>
      </c>
      <c r="J422" s="62">
        <f t="shared" si="66"/>
        <v>9.35437061832992</v>
      </c>
      <c r="K422" s="62">
        <f t="shared" si="67"/>
        <v>10.6000435208356</v>
      </c>
      <c r="L422" s="63">
        <f t="shared" si="68"/>
        <v>0.13022041763341066</v>
      </c>
      <c r="M422" s="63">
        <f t="shared" si="69"/>
        <v>-2.5983717741264369E-3</v>
      </c>
      <c r="N422" s="63">
        <f t="shared" si="70"/>
        <v>0.13316480106793926</v>
      </c>
      <c r="O422" s="62">
        <f t="shared" si="71"/>
        <v>10.572500666946549</v>
      </c>
      <c r="P422" s="62">
        <f t="shared" si="72"/>
        <v>1.2181300486166293</v>
      </c>
      <c r="Q422" s="62">
        <f t="shared" si="73"/>
        <v>2.7542853889050534E-2</v>
      </c>
      <c r="R422" s="63">
        <f t="shared" si="74"/>
        <v>0.1302204176334108</v>
      </c>
      <c r="S422" s="63">
        <f t="shared" si="75"/>
        <v>2.9443834345284779E-3</v>
      </c>
      <c r="T422" s="63">
        <f t="shared" si="76"/>
        <v>0.13316480106793929</v>
      </c>
    </row>
    <row r="423" spans="1:20" x14ac:dyDescent="0.3">
      <c r="A423" s="18" t="s">
        <v>151</v>
      </c>
      <c r="B423" s="18" t="s">
        <v>152</v>
      </c>
      <c r="C423" s="18" t="s">
        <v>124</v>
      </c>
      <c r="D423" s="18" t="s">
        <v>121</v>
      </c>
      <c r="E423" s="61">
        <v>2016</v>
      </c>
      <c r="F423" s="62">
        <v>1540000000</v>
      </c>
      <c r="G423" s="62">
        <v>2639000000</v>
      </c>
      <c r="H423" s="62">
        <v>1210620132</v>
      </c>
      <c r="I423" s="62">
        <v>1203092606</v>
      </c>
      <c r="J423" s="62">
        <f t="shared" si="66"/>
        <v>1.2720753267631932</v>
      </c>
      <c r="K423" s="62">
        <f t="shared" si="67"/>
        <v>2.1935136055519902</v>
      </c>
      <c r="L423" s="63">
        <f t="shared" si="68"/>
        <v>0.71363636363636362</v>
      </c>
      <c r="M423" s="63">
        <f t="shared" si="69"/>
        <v>-6.2179091533561244E-3</v>
      </c>
      <c r="N423" s="63">
        <f t="shared" si="70"/>
        <v>0.72435826668645842</v>
      </c>
      <c r="O423" s="62">
        <f t="shared" si="71"/>
        <v>2.1798745372260173</v>
      </c>
      <c r="P423" s="62">
        <f t="shared" si="72"/>
        <v>0.90779921046282408</v>
      </c>
      <c r="Q423" s="62">
        <f t="shared" si="73"/>
        <v>1.3639068325972836E-2</v>
      </c>
      <c r="R423" s="63">
        <f t="shared" si="74"/>
        <v>0.71363636363636351</v>
      </c>
      <c r="S423" s="63">
        <f t="shared" si="75"/>
        <v>1.0721903050094969E-2</v>
      </c>
      <c r="T423" s="63">
        <f t="shared" si="76"/>
        <v>0.72435826668645853</v>
      </c>
    </row>
    <row r="424" spans="1:20" x14ac:dyDescent="0.3">
      <c r="A424" s="18" t="s">
        <v>151</v>
      </c>
      <c r="B424" s="18" t="s">
        <v>152</v>
      </c>
      <c r="C424" s="18" t="s">
        <v>124</v>
      </c>
      <c r="D424" s="18" t="s">
        <v>121</v>
      </c>
      <c r="E424" s="61">
        <v>2017</v>
      </c>
      <c r="F424" s="62">
        <v>2639000000</v>
      </c>
      <c r="G424" s="62">
        <v>2713000000</v>
      </c>
      <c r="H424" s="62">
        <v>1203092606</v>
      </c>
      <c r="I424" s="62">
        <v>1210097823</v>
      </c>
      <c r="J424" s="62">
        <f t="shared" si="66"/>
        <v>2.1935136055519902</v>
      </c>
      <c r="K424" s="62">
        <f t="shared" si="67"/>
        <v>2.2419675074483627</v>
      </c>
      <c r="L424" s="63">
        <f t="shared" si="68"/>
        <v>2.804092459264873E-2</v>
      </c>
      <c r="M424" s="63">
        <f t="shared" si="69"/>
        <v>5.8226748008124657E-3</v>
      </c>
      <c r="N424" s="63">
        <f t="shared" si="70"/>
        <v>2.2089629065318379E-2</v>
      </c>
      <c r="O424" s="62">
        <f t="shared" si="71"/>
        <v>2.2550217551582228</v>
      </c>
      <c r="P424" s="62">
        <f t="shared" si="72"/>
        <v>6.1508149606232632E-2</v>
      </c>
      <c r="Q424" s="62">
        <f t="shared" si="73"/>
        <v>-1.3054247709860078E-2</v>
      </c>
      <c r="R424" s="63">
        <f t="shared" si="74"/>
        <v>2.8040924592648842E-2</v>
      </c>
      <c r="S424" s="63">
        <f t="shared" si="75"/>
        <v>-5.9512955273304637E-3</v>
      </c>
      <c r="T424" s="63">
        <f t="shared" si="76"/>
        <v>2.2089629065318379E-2</v>
      </c>
    </row>
    <row r="425" spans="1:20" x14ac:dyDescent="0.3">
      <c r="A425" s="18" t="s">
        <v>151</v>
      </c>
      <c r="B425" s="18" t="s">
        <v>152</v>
      </c>
      <c r="C425" s="18" t="s">
        <v>124</v>
      </c>
      <c r="D425" s="18" t="s">
        <v>121</v>
      </c>
      <c r="E425" s="61">
        <v>2018</v>
      </c>
      <c r="F425" s="62">
        <v>2713000000</v>
      </c>
      <c r="G425" s="62">
        <v>2075000000</v>
      </c>
      <c r="H425" s="62">
        <v>1210097823</v>
      </c>
      <c r="I425" s="62">
        <v>1230118545</v>
      </c>
      <c r="J425" s="62">
        <f t="shared" si="66"/>
        <v>2.2419675074483627</v>
      </c>
      <c r="K425" s="62">
        <f t="shared" si="67"/>
        <v>1.6868292966024669</v>
      </c>
      <c r="L425" s="63">
        <f t="shared" si="68"/>
        <v>-0.23516402506450423</v>
      </c>
      <c r="M425" s="63">
        <f t="shared" si="69"/>
        <v>1.654471367477206E-2</v>
      </c>
      <c r="N425" s="63">
        <f t="shared" si="70"/>
        <v>-0.24761206797225707</v>
      </c>
      <c r="O425" s="62">
        <f t="shared" si="71"/>
        <v>1.7147374043329719</v>
      </c>
      <c r="P425" s="62">
        <f t="shared" si="72"/>
        <v>-0.52723010311539076</v>
      </c>
      <c r="Q425" s="62">
        <f t="shared" si="73"/>
        <v>-2.7908107730505005E-2</v>
      </c>
      <c r="R425" s="63">
        <f t="shared" si="74"/>
        <v>-0.23516402506450421</v>
      </c>
      <c r="S425" s="63">
        <f t="shared" si="75"/>
        <v>-1.2448042907752884E-2</v>
      </c>
      <c r="T425" s="63">
        <f t="shared" si="76"/>
        <v>-0.2476120679722571</v>
      </c>
    </row>
    <row r="426" spans="1:20" x14ac:dyDescent="0.3">
      <c r="A426" s="18" t="s">
        <v>151</v>
      </c>
      <c r="B426" s="18" t="s">
        <v>152</v>
      </c>
      <c r="C426" s="18" t="s">
        <v>124</v>
      </c>
      <c r="D426" s="18" t="s">
        <v>121</v>
      </c>
      <c r="E426" s="61">
        <v>2019</v>
      </c>
      <c r="F426" s="62">
        <v>2075000000</v>
      </c>
      <c r="G426" s="62">
        <v>2623000000</v>
      </c>
      <c r="H426" s="62">
        <v>1230118545</v>
      </c>
      <c r="I426" s="62">
        <v>1234109757</v>
      </c>
      <c r="J426" s="62">
        <f t="shared" si="66"/>
        <v>1.6868292966024669</v>
      </c>
      <c r="K426" s="62">
        <f t="shared" si="67"/>
        <v>2.1254187361554098</v>
      </c>
      <c r="L426" s="63">
        <f t="shared" si="68"/>
        <v>0.26409638554216869</v>
      </c>
      <c r="M426" s="63">
        <f t="shared" si="69"/>
        <v>3.2445750990608797E-3</v>
      </c>
      <c r="N426" s="63">
        <f t="shared" si="70"/>
        <v>0.26000819433023203</v>
      </c>
      <c r="O426" s="62">
        <f t="shared" si="71"/>
        <v>2.1323148168618173</v>
      </c>
      <c r="P426" s="62">
        <f t="shared" si="72"/>
        <v>0.4454855202593504</v>
      </c>
      <c r="Q426" s="62">
        <f t="shared" si="73"/>
        <v>-6.8960807064075702E-3</v>
      </c>
      <c r="R426" s="63">
        <f t="shared" si="74"/>
        <v>0.26409638554216874</v>
      </c>
      <c r="S426" s="63">
        <f t="shared" si="75"/>
        <v>-4.0881912119366997E-3</v>
      </c>
      <c r="T426" s="63">
        <f t="shared" si="76"/>
        <v>0.26000819433023203</v>
      </c>
    </row>
    <row r="427" spans="1:20" x14ac:dyDescent="0.3">
      <c r="A427" s="18" t="s">
        <v>151</v>
      </c>
      <c r="B427" s="18" t="s">
        <v>152</v>
      </c>
      <c r="C427" s="18" t="s">
        <v>124</v>
      </c>
      <c r="D427" s="18" t="s">
        <v>121</v>
      </c>
      <c r="E427" s="61">
        <v>2020</v>
      </c>
      <c r="F427" s="62">
        <v>2623000000</v>
      </c>
      <c r="G427" s="62">
        <v>2979000000</v>
      </c>
      <c r="H427" s="62">
        <v>1234109757</v>
      </c>
      <c r="I427" s="62">
        <v>1236900096</v>
      </c>
      <c r="J427" s="62">
        <f t="shared" si="66"/>
        <v>2.1254187361554098</v>
      </c>
      <c r="K427" s="62">
        <f t="shared" si="67"/>
        <v>2.4084402690514466</v>
      </c>
      <c r="L427" s="63">
        <f t="shared" si="68"/>
        <v>0.13572245520396492</v>
      </c>
      <c r="M427" s="63">
        <f t="shared" si="69"/>
        <v>2.2610136449962449E-3</v>
      </c>
      <c r="N427" s="63">
        <f t="shared" si="70"/>
        <v>0.13316036415863344</v>
      </c>
      <c r="O427" s="62">
        <f t="shared" si="71"/>
        <v>2.4138857853629303</v>
      </c>
      <c r="P427" s="62">
        <f t="shared" si="72"/>
        <v>0.28846704920752053</v>
      </c>
      <c r="Q427" s="62">
        <f t="shared" si="73"/>
        <v>-5.4455163114837113E-3</v>
      </c>
      <c r="R427" s="63">
        <f t="shared" si="74"/>
        <v>0.135722455203965</v>
      </c>
      <c r="S427" s="63">
        <f t="shared" si="75"/>
        <v>-2.5620910453315669E-3</v>
      </c>
      <c r="T427" s="63">
        <f t="shared" si="76"/>
        <v>0.13316036415863344</v>
      </c>
    </row>
    <row r="428" spans="1:20" x14ac:dyDescent="0.3">
      <c r="A428" s="18" t="s">
        <v>151</v>
      </c>
      <c r="B428" s="18" t="s">
        <v>152</v>
      </c>
      <c r="C428" s="18" t="s">
        <v>124</v>
      </c>
      <c r="D428" s="18" t="s">
        <v>121</v>
      </c>
      <c r="E428" s="61">
        <v>2021</v>
      </c>
      <c r="F428" s="62">
        <v>2979000000</v>
      </c>
      <c r="G428" s="62">
        <v>5053000000</v>
      </c>
      <c r="H428" s="62">
        <v>1236900096</v>
      </c>
      <c r="I428" s="62">
        <v>1232451264</v>
      </c>
      <c r="J428" s="62">
        <f t="shared" si="66"/>
        <v>2.4084402690514466</v>
      </c>
      <c r="K428" s="62">
        <f t="shared" si="67"/>
        <v>4.0999592824467257</v>
      </c>
      <c r="L428" s="63">
        <f t="shared" si="68"/>
        <v>0.69620678079892584</v>
      </c>
      <c r="M428" s="63">
        <f t="shared" si="69"/>
        <v>-3.5967593618813983E-3</v>
      </c>
      <c r="N428" s="63">
        <f t="shared" si="70"/>
        <v>0.70232965090783683</v>
      </c>
      <c r="O428" s="62">
        <f t="shared" si="71"/>
        <v>4.0852127155142526</v>
      </c>
      <c r="P428" s="62">
        <f t="shared" si="72"/>
        <v>1.676772446462806</v>
      </c>
      <c r="Q428" s="62">
        <f t="shared" si="73"/>
        <v>1.4746566932473115E-2</v>
      </c>
      <c r="R428" s="63">
        <f t="shared" si="74"/>
        <v>0.69620678079892562</v>
      </c>
      <c r="S428" s="63">
        <f t="shared" si="75"/>
        <v>6.1228701089111855E-3</v>
      </c>
      <c r="T428" s="63">
        <f t="shared" si="76"/>
        <v>0.70232965090783683</v>
      </c>
    </row>
    <row r="429" spans="1:20" x14ac:dyDescent="0.3">
      <c r="A429" s="18" t="s">
        <v>151</v>
      </c>
      <c r="B429" s="18" t="s">
        <v>152</v>
      </c>
      <c r="C429" s="18" t="s">
        <v>124</v>
      </c>
      <c r="D429" s="18" t="s">
        <v>121</v>
      </c>
      <c r="E429" s="61">
        <v>2022</v>
      </c>
      <c r="F429" s="62">
        <v>5053000000</v>
      </c>
      <c r="G429" s="62">
        <v>5359000000</v>
      </c>
      <c r="H429" s="62">
        <v>1232451264</v>
      </c>
      <c r="I429" s="62">
        <v>1214024931</v>
      </c>
      <c r="J429" s="62">
        <f t="shared" si="66"/>
        <v>4.0999592824467257</v>
      </c>
      <c r="K429" s="62">
        <f t="shared" si="67"/>
        <v>4.4142421322317968</v>
      </c>
      <c r="L429" s="63">
        <f t="shared" si="68"/>
        <v>6.0558084306352664E-2</v>
      </c>
      <c r="M429" s="63">
        <f t="shared" si="69"/>
        <v>-1.4950962799288427E-2</v>
      </c>
      <c r="N429" s="63">
        <f t="shared" si="70"/>
        <v>7.6655114876535341E-2</v>
      </c>
      <c r="O429" s="62">
        <f t="shared" si="71"/>
        <v>4.3482449623257473</v>
      </c>
      <c r="P429" s="62">
        <f t="shared" si="72"/>
        <v>0.24828567987902161</v>
      </c>
      <c r="Q429" s="62">
        <f t="shared" si="73"/>
        <v>6.5997169906049535E-2</v>
      </c>
      <c r="R429" s="63">
        <f t="shared" si="74"/>
        <v>6.0558084306352573E-2</v>
      </c>
      <c r="S429" s="63">
        <f t="shared" si="75"/>
        <v>1.6097030570182764E-2</v>
      </c>
      <c r="T429" s="63">
        <f t="shared" si="76"/>
        <v>7.6655114876535341E-2</v>
      </c>
    </row>
    <row r="430" spans="1:20" x14ac:dyDescent="0.3">
      <c r="A430" s="18" t="s">
        <v>151</v>
      </c>
      <c r="B430" s="18" t="s">
        <v>152</v>
      </c>
      <c r="C430" s="18" t="s">
        <v>124</v>
      </c>
      <c r="D430" s="18" t="s">
        <v>121</v>
      </c>
      <c r="E430" s="61">
        <v>2023</v>
      </c>
      <c r="F430" s="62">
        <v>5359000000</v>
      </c>
      <c r="G430" s="62">
        <v>3677000000</v>
      </c>
      <c r="H430" s="62">
        <v>1214024931</v>
      </c>
      <c r="I430" s="62">
        <v>1188885217</v>
      </c>
      <c r="J430" s="62">
        <f t="shared" si="66"/>
        <v>4.4142421322317968</v>
      </c>
      <c r="K430" s="62">
        <f t="shared" si="67"/>
        <v>3.092813290486057</v>
      </c>
      <c r="L430" s="63">
        <f t="shared" si="68"/>
        <v>-0.31386452696398581</v>
      </c>
      <c r="M430" s="63">
        <f t="shared" si="69"/>
        <v>-2.0707741132871348E-2</v>
      </c>
      <c r="N430" s="63">
        <f t="shared" si="70"/>
        <v>-0.29935576757264071</v>
      </c>
      <c r="O430" s="62">
        <f t="shared" si="71"/>
        <v>3.0287681134943676</v>
      </c>
      <c r="P430" s="62">
        <f t="shared" si="72"/>
        <v>-1.3854740187374293</v>
      </c>
      <c r="Q430" s="62">
        <f t="shared" si="73"/>
        <v>6.4045176991689434E-2</v>
      </c>
      <c r="R430" s="63">
        <f t="shared" si="74"/>
        <v>-0.31386452696398587</v>
      </c>
      <c r="S430" s="63">
        <f t="shared" si="75"/>
        <v>1.4508759391345129E-2</v>
      </c>
      <c r="T430" s="63">
        <f t="shared" si="76"/>
        <v>-0.29935576757264076</v>
      </c>
    </row>
    <row r="431" spans="1:20" x14ac:dyDescent="0.3">
      <c r="A431" s="18" t="s">
        <v>151</v>
      </c>
      <c r="B431" s="18" t="s">
        <v>152</v>
      </c>
      <c r="C431" s="18" t="s">
        <v>124</v>
      </c>
      <c r="D431" s="18" t="s">
        <v>121</v>
      </c>
      <c r="E431" s="61">
        <v>2024</v>
      </c>
      <c r="F431" s="62">
        <v>3677000000</v>
      </c>
      <c r="G431" s="62">
        <v>3332000000</v>
      </c>
      <c r="H431" s="62">
        <v>1188885217</v>
      </c>
      <c r="I431" s="62">
        <v>1166162127</v>
      </c>
      <c r="J431" s="62">
        <f t="shared" si="66"/>
        <v>3.092813290486057</v>
      </c>
      <c r="K431" s="62">
        <f t="shared" si="67"/>
        <v>2.8572356474752847</v>
      </c>
      <c r="L431" s="63">
        <f t="shared" si="68"/>
        <v>-9.3826488985586071E-2</v>
      </c>
      <c r="M431" s="63">
        <f t="shared" si="69"/>
        <v>-1.9112938469652112E-2</v>
      </c>
      <c r="N431" s="63">
        <f t="shared" si="70"/>
        <v>-7.6169371017462767E-2</v>
      </c>
      <c r="O431" s="62">
        <f t="shared" si="71"/>
        <v>2.8026254783517928</v>
      </c>
      <c r="P431" s="62">
        <f t="shared" si="72"/>
        <v>-0.29018781213426426</v>
      </c>
      <c r="Q431" s="62">
        <f t="shared" si="73"/>
        <v>5.4610169123491925E-2</v>
      </c>
      <c r="R431" s="63">
        <f t="shared" si="74"/>
        <v>-9.3826488985586071E-2</v>
      </c>
      <c r="S431" s="63">
        <f t="shared" si="75"/>
        <v>1.7657117968123307E-2</v>
      </c>
      <c r="T431" s="63">
        <f t="shared" si="76"/>
        <v>-7.6169371017462767E-2</v>
      </c>
    </row>
    <row r="432" spans="1:20" x14ac:dyDescent="0.3">
      <c r="A432" s="18" t="s">
        <v>153</v>
      </c>
      <c r="B432" s="18" t="s">
        <v>154</v>
      </c>
      <c r="C432" s="18" t="s">
        <v>124</v>
      </c>
      <c r="D432" s="18" t="s">
        <v>121</v>
      </c>
      <c r="E432" s="61">
        <v>2024</v>
      </c>
      <c r="F432" s="62">
        <v>5157000000</v>
      </c>
      <c r="G432" s="62">
        <v>3592000000</v>
      </c>
      <c r="H432" s="62">
        <v>906490099</v>
      </c>
      <c r="I432" s="62">
        <v>911000000</v>
      </c>
      <c r="J432" s="62">
        <f t="shared" si="66"/>
        <v>5.688975539489042</v>
      </c>
      <c r="K432" s="62">
        <f t="shared" si="67"/>
        <v>3.9429198682766189</v>
      </c>
      <c r="L432" s="63">
        <f t="shared" si="68"/>
        <v>-0.30347101027729301</v>
      </c>
      <c r="M432" s="63">
        <f t="shared" si="69"/>
        <v>4.9751243890861297E-3</v>
      </c>
      <c r="N432" s="63">
        <f t="shared" si="70"/>
        <v>-0.30691917360032206</v>
      </c>
      <c r="O432" s="62">
        <f t="shared" si="71"/>
        <v>3.9625363850774944</v>
      </c>
      <c r="P432" s="62">
        <f t="shared" si="72"/>
        <v>-1.7264391544115476</v>
      </c>
      <c r="Q432" s="62">
        <f t="shared" si="73"/>
        <v>-1.9616516800875505E-2</v>
      </c>
      <c r="R432" s="63">
        <f t="shared" si="74"/>
        <v>-0.30347101027729301</v>
      </c>
      <c r="S432" s="63">
        <f t="shared" si="75"/>
        <v>-3.4481633230290477E-3</v>
      </c>
      <c r="T432" s="63">
        <f t="shared" si="76"/>
        <v>-0.30691917360032206</v>
      </c>
    </row>
    <row r="433" spans="1:20" x14ac:dyDescent="0.3">
      <c r="A433" s="18" t="s">
        <v>155</v>
      </c>
      <c r="B433" s="18" t="s">
        <v>156</v>
      </c>
      <c r="C433" s="18" t="s">
        <v>124</v>
      </c>
      <c r="D433" s="18" t="s">
        <v>121</v>
      </c>
      <c r="E433" s="61">
        <v>2016</v>
      </c>
      <c r="F433" s="62">
        <v>3254000000</v>
      </c>
      <c r="G433" s="62">
        <v>2675000000</v>
      </c>
      <c r="H433" s="62">
        <v>4553000000</v>
      </c>
      <c r="I433" s="62">
        <v>4625000000</v>
      </c>
      <c r="J433" s="62">
        <f t="shared" si="66"/>
        <v>0.71469360860970788</v>
      </c>
      <c r="K433" s="62">
        <f t="shared" si="67"/>
        <v>0.57837837837837835</v>
      </c>
      <c r="L433" s="63">
        <f t="shared" si="68"/>
        <v>-0.17793484941610327</v>
      </c>
      <c r="M433" s="63">
        <f t="shared" si="69"/>
        <v>1.5813749176367232E-2</v>
      </c>
      <c r="N433" s="63">
        <f t="shared" si="70"/>
        <v>-0.19073240419276069</v>
      </c>
      <c r="O433" s="62">
        <f t="shared" si="71"/>
        <v>0.58752470898308806</v>
      </c>
      <c r="P433" s="62">
        <f t="shared" si="72"/>
        <v>-0.12716889962661981</v>
      </c>
      <c r="Q433" s="62">
        <f t="shared" si="73"/>
        <v>-9.146330604709707E-3</v>
      </c>
      <c r="R433" s="63">
        <f t="shared" si="74"/>
        <v>-0.17793484941610327</v>
      </c>
      <c r="S433" s="63">
        <f t="shared" si="75"/>
        <v>-1.2797554776657435E-2</v>
      </c>
      <c r="T433" s="63">
        <f t="shared" si="76"/>
        <v>-0.19073240419276072</v>
      </c>
    </row>
    <row r="434" spans="1:20" x14ac:dyDescent="0.3">
      <c r="A434" s="18" t="s">
        <v>155</v>
      </c>
      <c r="B434" s="18" t="s">
        <v>156</v>
      </c>
      <c r="C434" s="18" t="s">
        <v>124</v>
      </c>
      <c r="D434" s="18" t="s">
        <v>121</v>
      </c>
      <c r="E434" s="61">
        <v>2017</v>
      </c>
      <c r="F434" s="62">
        <v>2675000000</v>
      </c>
      <c r="G434" s="62">
        <v>3461000000</v>
      </c>
      <c r="H434" s="62">
        <v>4625000000</v>
      </c>
      <c r="I434" s="62">
        <v>4703000000</v>
      </c>
      <c r="J434" s="62">
        <f t="shared" si="66"/>
        <v>0.57837837837837835</v>
      </c>
      <c r="K434" s="62">
        <f t="shared" si="67"/>
        <v>0.73591324686370407</v>
      </c>
      <c r="L434" s="63">
        <f t="shared" si="68"/>
        <v>0.29383177570093461</v>
      </c>
      <c r="M434" s="63">
        <f t="shared" si="69"/>
        <v>1.6864864864864864E-2</v>
      </c>
      <c r="N434" s="63">
        <f t="shared" si="70"/>
        <v>0.27237337074565665</v>
      </c>
      <c r="O434" s="62">
        <f t="shared" si="71"/>
        <v>0.74832432432432427</v>
      </c>
      <c r="P434" s="62">
        <f t="shared" si="72"/>
        <v>0.16994594594594592</v>
      </c>
      <c r="Q434" s="62">
        <f t="shared" si="73"/>
        <v>-1.2411077460620201E-2</v>
      </c>
      <c r="R434" s="63">
        <f t="shared" si="74"/>
        <v>0.29383177570093455</v>
      </c>
      <c r="S434" s="63">
        <f t="shared" si="75"/>
        <v>-2.145840495527792E-2</v>
      </c>
      <c r="T434" s="63">
        <f t="shared" si="76"/>
        <v>0.27237337074565665</v>
      </c>
    </row>
    <row r="435" spans="1:20" x14ac:dyDescent="0.3">
      <c r="A435" s="18" t="s">
        <v>155</v>
      </c>
      <c r="B435" s="18" t="s">
        <v>156</v>
      </c>
      <c r="C435" s="18" t="s">
        <v>124</v>
      </c>
      <c r="D435" s="18" t="s">
        <v>121</v>
      </c>
      <c r="E435" s="61">
        <v>2018</v>
      </c>
      <c r="F435" s="62">
        <v>3461000000</v>
      </c>
      <c r="G435" s="62">
        <v>2166000000</v>
      </c>
      <c r="H435" s="62">
        <v>4703000000</v>
      </c>
      <c r="I435" s="62">
        <v>4742000000</v>
      </c>
      <c r="J435" s="62">
        <f t="shared" si="66"/>
        <v>0.73591324686370407</v>
      </c>
      <c r="K435" s="62">
        <f t="shared" si="67"/>
        <v>0.4567692956558414</v>
      </c>
      <c r="L435" s="63">
        <f t="shared" si="68"/>
        <v>-0.37416931522681307</v>
      </c>
      <c r="M435" s="63">
        <f t="shared" si="69"/>
        <v>8.292579204762918E-3</v>
      </c>
      <c r="N435" s="63">
        <f t="shared" si="70"/>
        <v>-0.37931638327956602</v>
      </c>
      <c r="O435" s="62">
        <f t="shared" si="71"/>
        <v>0.46055709121837124</v>
      </c>
      <c r="P435" s="62">
        <f t="shared" si="72"/>
        <v>-0.27535615564533283</v>
      </c>
      <c r="Q435" s="62">
        <f t="shared" si="73"/>
        <v>-3.7877955625298387E-3</v>
      </c>
      <c r="R435" s="63">
        <f t="shared" si="74"/>
        <v>-0.37416931522681313</v>
      </c>
      <c r="S435" s="63">
        <f t="shared" si="75"/>
        <v>-5.1470680527529126E-3</v>
      </c>
      <c r="T435" s="63">
        <f t="shared" si="76"/>
        <v>-0.37931638327956602</v>
      </c>
    </row>
    <row r="436" spans="1:20" x14ac:dyDescent="0.3">
      <c r="A436" s="18" t="s">
        <v>155</v>
      </c>
      <c r="B436" s="18" t="s">
        <v>156</v>
      </c>
      <c r="C436" s="18" t="s">
        <v>124</v>
      </c>
      <c r="D436" s="18" t="s">
        <v>121</v>
      </c>
      <c r="E436" s="61">
        <v>2019</v>
      </c>
      <c r="F436" s="62">
        <v>2166000000</v>
      </c>
      <c r="G436" s="62">
        <v>5267000000</v>
      </c>
      <c r="H436" s="62">
        <v>4742000000</v>
      </c>
      <c r="I436" s="62">
        <v>4743000000</v>
      </c>
      <c r="J436" s="62">
        <f t="shared" si="66"/>
        <v>0.4567692956558414</v>
      </c>
      <c r="K436" s="62">
        <f t="shared" si="67"/>
        <v>1.1104786000421674</v>
      </c>
      <c r="L436" s="63">
        <f t="shared" si="68"/>
        <v>1.4316712834718375</v>
      </c>
      <c r="M436" s="63">
        <f t="shared" si="69"/>
        <v>2.1088148460565162E-4</v>
      </c>
      <c r="N436" s="63">
        <f t="shared" si="70"/>
        <v>1.4311585971375616</v>
      </c>
      <c r="O436" s="62">
        <f t="shared" si="71"/>
        <v>1.1107127794179672</v>
      </c>
      <c r="P436" s="62">
        <f t="shared" si="72"/>
        <v>0.65394348376212585</v>
      </c>
      <c r="Q436" s="62">
        <f t="shared" si="73"/>
        <v>-2.3417937579983672E-4</v>
      </c>
      <c r="R436" s="63">
        <f t="shared" si="74"/>
        <v>1.4316712834718379</v>
      </c>
      <c r="S436" s="63">
        <f t="shared" si="75"/>
        <v>-5.1268633427646614E-4</v>
      </c>
      <c r="T436" s="63">
        <f t="shared" si="76"/>
        <v>1.4311585971375616</v>
      </c>
    </row>
    <row r="437" spans="1:20" x14ac:dyDescent="0.3">
      <c r="A437" s="18" t="s">
        <v>155</v>
      </c>
      <c r="B437" s="18" t="s">
        <v>156</v>
      </c>
      <c r="C437" s="18" t="s">
        <v>124</v>
      </c>
      <c r="D437" s="18" t="s">
        <v>121</v>
      </c>
      <c r="E437" s="61">
        <v>2020</v>
      </c>
      <c r="F437" s="62">
        <v>5267000000</v>
      </c>
      <c r="G437" s="62">
        <v>6748000000</v>
      </c>
      <c r="H437" s="62">
        <v>4743000000</v>
      </c>
      <c r="I437" s="62">
        <v>4743000000</v>
      </c>
      <c r="J437" s="62">
        <f t="shared" si="66"/>
        <v>1.1104786000421674</v>
      </c>
      <c r="K437" s="62">
        <f t="shared" si="67"/>
        <v>1.4227282310773772</v>
      </c>
      <c r="L437" s="63">
        <f t="shared" si="68"/>
        <v>0.28118473514334535</v>
      </c>
      <c r="M437" s="63">
        <f t="shared" si="69"/>
        <v>0</v>
      </c>
      <c r="N437" s="63">
        <f t="shared" si="70"/>
        <v>0.28118473514334547</v>
      </c>
      <c r="O437" s="62">
        <f t="shared" si="71"/>
        <v>1.4227282310773772</v>
      </c>
      <c r="P437" s="62">
        <f t="shared" si="72"/>
        <v>0.31224963103520986</v>
      </c>
      <c r="Q437" s="62">
        <f t="shared" si="73"/>
        <v>0</v>
      </c>
      <c r="R437" s="63">
        <f t="shared" si="74"/>
        <v>0.28118473514334547</v>
      </c>
      <c r="S437" s="63">
        <f t="shared" si="75"/>
        <v>0</v>
      </c>
      <c r="T437" s="63">
        <f t="shared" si="76"/>
        <v>0.28118473514334547</v>
      </c>
    </row>
    <row r="438" spans="1:20" x14ac:dyDescent="0.3">
      <c r="A438" s="18" t="s">
        <v>155</v>
      </c>
      <c r="B438" s="18" t="s">
        <v>156</v>
      </c>
      <c r="C438" s="18" t="s">
        <v>124</v>
      </c>
      <c r="D438" s="18" t="s">
        <v>121</v>
      </c>
      <c r="E438" s="61">
        <v>2021</v>
      </c>
      <c r="F438" s="62">
        <v>6748000000</v>
      </c>
      <c r="G438" s="62">
        <v>6103000000</v>
      </c>
      <c r="H438" s="62">
        <v>4743000000</v>
      </c>
      <c r="I438" s="62">
        <v>4813000000</v>
      </c>
      <c r="J438" s="62">
        <f t="shared" si="66"/>
        <v>1.4227282310773772</v>
      </c>
      <c r="K438" s="62">
        <f t="shared" si="67"/>
        <v>1.2680241013920632</v>
      </c>
      <c r="L438" s="63">
        <f t="shared" si="68"/>
        <v>-9.5583876704208648E-2</v>
      </c>
      <c r="M438" s="63">
        <f t="shared" si="69"/>
        <v>1.4758591608686485E-2</v>
      </c>
      <c r="N438" s="63">
        <f t="shared" si="70"/>
        <v>-0.10873765368960348</v>
      </c>
      <c r="O438" s="62">
        <f t="shared" si="71"/>
        <v>1.2867383512544803</v>
      </c>
      <c r="P438" s="62">
        <f t="shared" si="72"/>
        <v>-0.1359898798228969</v>
      </c>
      <c r="Q438" s="62">
        <f t="shared" si="73"/>
        <v>-1.8714249862417098E-2</v>
      </c>
      <c r="R438" s="63">
        <f t="shared" si="74"/>
        <v>-9.5583876704208648E-2</v>
      </c>
      <c r="S438" s="63">
        <f t="shared" si="75"/>
        <v>-1.3153776985394827E-2</v>
      </c>
      <c r="T438" s="63">
        <f t="shared" si="76"/>
        <v>-0.10873765368960348</v>
      </c>
    </row>
    <row r="439" spans="1:20" x14ac:dyDescent="0.3">
      <c r="A439" s="18" t="s">
        <v>155</v>
      </c>
      <c r="B439" s="18" t="s">
        <v>156</v>
      </c>
      <c r="C439" s="18" t="s">
        <v>124</v>
      </c>
      <c r="D439" s="18" t="s">
        <v>121</v>
      </c>
      <c r="E439" s="61">
        <v>2022</v>
      </c>
      <c r="F439" s="62">
        <v>6103000000</v>
      </c>
      <c r="G439" s="62">
        <v>8001000000</v>
      </c>
      <c r="H439" s="62">
        <v>4813000000</v>
      </c>
      <c r="I439" s="62">
        <v>4972000000</v>
      </c>
      <c r="J439" s="62">
        <f t="shared" si="66"/>
        <v>1.2680241013920632</v>
      </c>
      <c r="K439" s="62">
        <f t="shared" si="67"/>
        <v>1.6092115848753017</v>
      </c>
      <c r="L439" s="63">
        <f t="shared" si="68"/>
        <v>0.31099459282320169</v>
      </c>
      <c r="M439" s="63">
        <f t="shared" si="69"/>
        <v>3.3035528776231039E-2</v>
      </c>
      <c r="N439" s="63">
        <f t="shared" si="70"/>
        <v>0.26907018810500188</v>
      </c>
      <c r="O439" s="62">
        <f t="shared" si="71"/>
        <v>1.6623727404944941</v>
      </c>
      <c r="P439" s="62">
        <f t="shared" si="72"/>
        <v>0.3943486391024309</v>
      </c>
      <c r="Q439" s="62">
        <f t="shared" si="73"/>
        <v>-5.3161155619192435E-2</v>
      </c>
      <c r="R439" s="63">
        <f t="shared" si="74"/>
        <v>0.31099459282320169</v>
      </c>
      <c r="S439" s="63">
        <f t="shared" si="75"/>
        <v>-4.1924404718199769E-2</v>
      </c>
      <c r="T439" s="63">
        <f t="shared" si="76"/>
        <v>0.26907018810500194</v>
      </c>
    </row>
    <row r="440" spans="1:20" x14ac:dyDescent="0.3">
      <c r="A440" s="18" t="s">
        <v>155</v>
      </c>
      <c r="B440" s="18" t="s">
        <v>156</v>
      </c>
      <c r="C440" s="18" t="s">
        <v>124</v>
      </c>
      <c r="D440" s="18" t="s">
        <v>121</v>
      </c>
      <c r="E440" s="61">
        <v>2023</v>
      </c>
      <c r="F440" s="62">
        <v>8001000000</v>
      </c>
      <c r="G440" s="62">
        <v>17788000000</v>
      </c>
      <c r="H440" s="62">
        <v>4972000000</v>
      </c>
      <c r="I440" s="62">
        <v>4976000000</v>
      </c>
      <c r="J440" s="62">
        <f t="shared" si="66"/>
        <v>1.6092115848753017</v>
      </c>
      <c r="K440" s="62">
        <f t="shared" si="67"/>
        <v>3.57475884244373</v>
      </c>
      <c r="L440" s="63">
        <f t="shared" si="68"/>
        <v>1.2232220972378454</v>
      </c>
      <c r="M440" s="63">
        <f t="shared" si="69"/>
        <v>8.045052292839903E-4</v>
      </c>
      <c r="N440" s="63">
        <f t="shared" si="70"/>
        <v>1.2214349412111267</v>
      </c>
      <c r="O440" s="62">
        <f t="shared" si="71"/>
        <v>3.5776347546259051</v>
      </c>
      <c r="P440" s="62">
        <f t="shared" si="72"/>
        <v>1.9684231697506034</v>
      </c>
      <c r="Q440" s="62">
        <f t="shared" si="73"/>
        <v>-2.8759121821750888E-3</v>
      </c>
      <c r="R440" s="63">
        <f t="shared" si="74"/>
        <v>1.2232220972378454</v>
      </c>
      <c r="S440" s="63">
        <f t="shared" si="75"/>
        <v>-1.7871560267184779E-3</v>
      </c>
      <c r="T440" s="63">
        <f t="shared" si="76"/>
        <v>1.2214349412111269</v>
      </c>
    </row>
    <row r="441" spans="1:20" x14ac:dyDescent="0.3">
      <c r="A441" s="18" t="s">
        <v>155</v>
      </c>
      <c r="B441" s="18" t="s">
        <v>156</v>
      </c>
      <c r="C441" s="18" t="s">
        <v>124</v>
      </c>
      <c r="D441" s="18" t="s">
        <v>121</v>
      </c>
      <c r="E441" s="61">
        <v>2024</v>
      </c>
      <c r="F441" s="62">
        <v>17788000000</v>
      </c>
      <c r="G441" s="62">
        <v>11209000000</v>
      </c>
      <c r="H441" s="62">
        <v>4976000000</v>
      </c>
      <c r="I441" s="62">
        <v>4938000000</v>
      </c>
      <c r="J441" s="62">
        <f t="shared" si="66"/>
        <v>3.57475884244373</v>
      </c>
      <c r="K441" s="62">
        <f t="shared" si="67"/>
        <v>2.2699473471040905</v>
      </c>
      <c r="L441" s="63">
        <f t="shared" si="68"/>
        <v>-0.36985608275241738</v>
      </c>
      <c r="M441" s="63">
        <f t="shared" si="69"/>
        <v>-7.6366559485530547E-3</v>
      </c>
      <c r="N441" s="63">
        <f t="shared" si="70"/>
        <v>-0.36500685860186899</v>
      </c>
      <c r="O441" s="62">
        <f t="shared" si="71"/>
        <v>2.252612540192926</v>
      </c>
      <c r="P441" s="62">
        <f t="shared" si="72"/>
        <v>-1.322146302250804</v>
      </c>
      <c r="Q441" s="62">
        <f t="shared" si="73"/>
        <v>1.7334806911164513E-2</v>
      </c>
      <c r="R441" s="63">
        <f t="shared" si="74"/>
        <v>-0.36985608275241738</v>
      </c>
      <c r="S441" s="63">
        <f t="shared" si="75"/>
        <v>4.849224150548382E-3</v>
      </c>
      <c r="T441" s="63">
        <f t="shared" si="76"/>
        <v>-0.36500685860186899</v>
      </c>
    </row>
    <row r="442" spans="1:20" x14ac:dyDescent="0.3">
      <c r="A442" s="18" t="s">
        <v>157</v>
      </c>
      <c r="B442" s="18" t="s">
        <v>158</v>
      </c>
      <c r="C442" s="18" t="s">
        <v>124</v>
      </c>
      <c r="D442" s="18" t="s">
        <v>121</v>
      </c>
      <c r="E442" s="61">
        <v>2016</v>
      </c>
      <c r="F442" s="62">
        <v>-6999000000</v>
      </c>
      <c r="G442" s="62">
        <v>-8450000000</v>
      </c>
      <c r="H442" s="62">
        <v>1944000000</v>
      </c>
      <c r="I442" s="62">
        <v>1952000000</v>
      </c>
      <c r="J442" s="62">
        <f t="shared" si="66"/>
        <v>-3.6003086419753085</v>
      </c>
      <c r="K442" s="62">
        <f t="shared" si="67"/>
        <v>-4.3288934426229506</v>
      </c>
      <c r="L442" s="63">
        <f t="shared" si="68"/>
        <v>-0.20731533076153735</v>
      </c>
      <c r="M442" s="63">
        <f t="shared" si="69"/>
        <v>4.11522633744856E-3</v>
      </c>
      <c r="N442" s="63">
        <f t="shared" si="70"/>
        <v>-0.2023673171108753</v>
      </c>
      <c r="O442" s="62">
        <f t="shared" si="71"/>
        <v>-4.3467078189300414</v>
      </c>
      <c r="P442" s="62">
        <f t="shared" si="72"/>
        <v>-0.7463991769547329</v>
      </c>
      <c r="Q442" s="62">
        <f t="shared" si="73"/>
        <v>1.7814376307090818E-2</v>
      </c>
      <c r="R442" s="63">
        <f t="shared" si="74"/>
        <v>-0.20731533076153746</v>
      </c>
      <c r="S442" s="63">
        <f t="shared" si="75"/>
        <v>4.9480136506621737E-3</v>
      </c>
      <c r="T442" s="63">
        <f t="shared" si="76"/>
        <v>-0.2023673171108753</v>
      </c>
    </row>
    <row r="443" spans="1:20" x14ac:dyDescent="0.3">
      <c r="A443" s="18" t="s">
        <v>157</v>
      </c>
      <c r="B443" s="18" t="s">
        <v>158</v>
      </c>
      <c r="C443" s="18" t="s">
        <v>124</v>
      </c>
      <c r="D443" s="18" t="s">
        <v>121</v>
      </c>
      <c r="E443" s="61">
        <v>2017</v>
      </c>
      <c r="F443" s="62">
        <v>-8450000000</v>
      </c>
      <c r="G443" s="62">
        <v>3925000000</v>
      </c>
      <c r="H443" s="62">
        <v>1952000000</v>
      </c>
      <c r="I443" s="62">
        <v>2129000000</v>
      </c>
      <c r="J443" s="62">
        <f t="shared" si="66"/>
        <v>-4.3288934426229506</v>
      </c>
      <c r="K443" s="62">
        <f t="shared" si="67"/>
        <v>1.8435885392202913</v>
      </c>
      <c r="L443" s="63">
        <f t="shared" si="68"/>
        <v>1.4644970414201184</v>
      </c>
      <c r="M443" s="63">
        <f t="shared" si="69"/>
        <v>9.0676229508196718E-2</v>
      </c>
      <c r="N443" s="63">
        <f t="shared" si="70"/>
        <v>1.4258798613678116</v>
      </c>
      <c r="O443" s="62">
        <f t="shared" si="71"/>
        <v>2.0107581967213113</v>
      </c>
      <c r="P443" s="62">
        <f t="shared" si="72"/>
        <v>6.3396516393442619</v>
      </c>
      <c r="Q443" s="62">
        <f t="shared" si="73"/>
        <v>-0.16716965750101997</v>
      </c>
      <c r="R443" s="63">
        <f t="shared" si="74"/>
        <v>1.4644970414201184</v>
      </c>
      <c r="S443" s="63">
        <f t="shared" si="75"/>
        <v>-3.8617180052306625E-2</v>
      </c>
      <c r="T443" s="63">
        <f t="shared" si="76"/>
        <v>1.4258798613678119</v>
      </c>
    </row>
    <row r="444" spans="1:20" x14ac:dyDescent="0.3">
      <c r="A444" s="18" t="s">
        <v>157</v>
      </c>
      <c r="B444" s="18" t="s">
        <v>158</v>
      </c>
      <c r="C444" s="18" t="s">
        <v>124</v>
      </c>
      <c r="D444" s="18" t="s">
        <v>121</v>
      </c>
      <c r="E444" s="61">
        <v>2018</v>
      </c>
      <c r="F444" s="62">
        <v>3925000000</v>
      </c>
      <c r="G444" s="62">
        <v>3223000000</v>
      </c>
      <c r="H444" s="62">
        <v>2129000000</v>
      </c>
      <c r="I444" s="62">
        <v>2167000000</v>
      </c>
      <c r="J444" s="62">
        <f t="shared" si="66"/>
        <v>1.8435885392202913</v>
      </c>
      <c r="K444" s="62">
        <f t="shared" si="67"/>
        <v>1.4873096446700507</v>
      </c>
      <c r="L444" s="63">
        <f t="shared" si="68"/>
        <v>-0.17885350318471338</v>
      </c>
      <c r="M444" s="63">
        <f t="shared" si="69"/>
        <v>1.7848755284170972E-2</v>
      </c>
      <c r="N444" s="63">
        <f t="shared" si="70"/>
        <v>-0.19325293413948083</v>
      </c>
      <c r="O444" s="62">
        <f t="shared" si="71"/>
        <v>1.5138562705495537</v>
      </c>
      <c r="P444" s="62">
        <f t="shared" si="72"/>
        <v>-0.32973226867073757</v>
      </c>
      <c r="Q444" s="62">
        <f t="shared" si="73"/>
        <v>-2.6546625879503072E-2</v>
      </c>
      <c r="R444" s="63">
        <f t="shared" si="74"/>
        <v>-0.17885350318471344</v>
      </c>
      <c r="S444" s="63">
        <f t="shared" si="75"/>
        <v>-1.4399430954767398E-2</v>
      </c>
      <c r="T444" s="63">
        <f t="shared" si="76"/>
        <v>-0.19325293413948083</v>
      </c>
    </row>
    <row r="445" spans="1:20" x14ac:dyDescent="0.3">
      <c r="A445" s="18" t="s">
        <v>157</v>
      </c>
      <c r="B445" s="18" t="s">
        <v>158</v>
      </c>
      <c r="C445" s="18" t="s">
        <v>124</v>
      </c>
      <c r="D445" s="18" t="s">
        <v>121</v>
      </c>
      <c r="E445" s="61">
        <v>2019</v>
      </c>
      <c r="F445" s="62">
        <v>3223000000</v>
      </c>
      <c r="G445" s="62">
        <v>744000000</v>
      </c>
      <c r="H445" s="62">
        <v>2167000000</v>
      </c>
      <c r="I445" s="62">
        <v>2293000000</v>
      </c>
      <c r="J445" s="62">
        <f t="shared" si="66"/>
        <v>1.4873096446700507</v>
      </c>
      <c r="K445" s="62">
        <f t="shared" si="67"/>
        <v>0.32446576537287397</v>
      </c>
      <c r="L445" s="63">
        <f t="shared" si="68"/>
        <v>-0.76915916847657462</v>
      </c>
      <c r="M445" s="63">
        <f t="shared" si="69"/>
        <v>5.8144900784494691E-2</v>
      </c>
      <c r="N445" s="63">
        <f t="shared" si="70"/>
        <v>-0.78184383693359671</v>
      </c>
      <c r="O445" s="62">
        <f t="shared" si="71"/>
        <v>0.34333179510844486</v>
      </c>
      <c r="P445" s="62">
        <f t="shared" si="72"/>
        <v>-1.1439778495616058</v>
      </c>
      <c r="Q445" s="62">
        <f t="shared" si="73"/>
        <v>-1.8866029735570888E-2</v>
      </c>
      <c r="R445" s="63">
        <f t="shared" si="74"/>
        <v>-0.76915916847657462</v>
      </c>
      <c r="S445" s="63">
        <f t="shared" si="75"/>
        <v>-1.2684668457022066E-2</v>
      </c>
      <c r="T445" s="63">
        <f t="shared" si="76"/>
        <v>-0.78184383693359671</v>
      </c>
    </row>
    <row r="446" spans="1:20" x14ac:dyDescent="0.3">
      <c r="A446" s="18" t="s">
        <v>157</v>
      </c>
      <c r="B446" s="18" t="s">
        <v>158</v>
      </c>
      <c r="C446" s="18" t="s">
        <v>124</v>
      </c>
      <c r="D446" s="18" t="s">
        <v>121</v>
      </c>
      <c r="E446" s="61">
        <v>2020</v>
      </c>
      <c r="F446" s="62">
        <v>744000000</v>
      </c>
      <c r="G446" s="62">
        <v>1017000000</v>
      </c>
      <c r="H446" s="62">
        <v>2293000000</v>
      </c>
      <c r="I446" s="62">
        <v>2607000000</v>
      </c>
      <c r="J446" s="62">
        <f t="shared" si="66"/>
        <v>0.32446576537287397</v>
      </c>
      <c r="K446" s="62">
        <f t="shared" si="67"/>
        <v>0.39010356731875717</v>
      </c>
      <c r="L446" s="63">
        <f t="shared" si="68"/>
        <v>0.36693548387096775</v>
      </c>
      <c r="M446" s="63">
        <f t="shared" si="69"/>
        <v>0.13693850850414305</v>
      </c>
      <c r="N446" s="63">
        <f t="shared" si="70"/>
        <v>0.20229499981439539</v>
      </c>
      <c r="O446" s="62">
        <f t="shared" si="71"/>
        <v>0.44352376798953336</v>
      </c>
      <c r="P446" s="62">
        <f t="shared" si="72"/>
        <v>0.11905800261665939</v>
      </c>
      <c r="Q446" s="62">
        <f t="shared" si="73"/>
        <v>-5.3420200670776186E-2</v>
      </c>
      <c r="R446" s="63">
        <f t="shared" si="74"/>
        <v>0.36693548387096769</v>
      </c>
      <c r="S446" s="63">
        <f t="shared" si="75"/>
        <v>-0.16464048405657231</v>
      </c>
      <c r="T446" s="63">
        <f t="shared" si="76"/>
        <v>0.20229499981439539</v>
      </c>
    </row>
    <row r="447" spans="1:20" x14ac:dyDescent="0.3">
      <c r="A447" s="18" t="s">
        <v>157</v>
      </c>
      <c r="B447" s="18" t="s">
        <v>158</v>
      </c>
      <c r="C447" s="18" t="s">
        <v>124</v>
      </c>
      <c r="D447" s="18" t="s">
        <v>121</v>
      </c>
      <c r="E447" s="61">
        <v>2021</v>
      </c>
      <c r="F447" s="62">
        <v>1017000000</v>
      </c>
      <c r="G447" s="62">
        <v>4691000000</v>
      </c>
      <c r="H447" s="62">
        <v>2607000000</v>
      </c>
      <c r="I447" s="62">
        <v>2608000000</v>
      </c>
      <c r="J447" s="62">
        <f t="shared" si="66"/>
        <v>0.39010356731875717</v>
      </c>
      <c r="K447" s="62">
        <f t="shared" si="67"/>
        <v>1.7986963190184049</v>
      </c>
      <c r="L447" s="63">
        <f t="shared" si="68"/>
        <v>3.6125860373647982</v>
      </c>
      <c r="M447" s="63">
        <f t="shared" si="69"/>
        <v>3.835826620636747E-4</v>
      </c>
      <c r="N447" s="63">
        <f t="shared" si="70"/>
        <v>3.6108174077492445</v>
      </c>
      <c r="O447" s="62">
        <f t="shared" si="71"/>
        <v>1.7993862677406982</v>
      </c>
      <c r="P447" s="62">
        <f t="shared" si="72"/>
        <v>1.409282700421941</v>
      </c>
      <c r="Q447" s="62">
        <f t="shared" si="73"/>
        <v>-6.8994872229333204E-4</v>
      </c>
      <c r="R447" s="63">
        <f t="shared" si="74"/>
        <v>3.6125860373647991</v>
      </c>
      <c r="S447" s="63">
        <f t="shared" si="75"/>
        <v>-1.7686296155542938E-3</v>
      </c>
      <c r="T447" s="63">
        <f t="shared" si="76"/>
        <v>3.610817407749245</v>
      </c>
    </row>
    <row r="448" spans="1:20" x14ac:dyDescent="0.3">
      <c r="A448" s="18" t="s">
        <v>157</v>
      </c>
      <c r="B448" s="18" t="s">
        <v>158</v>
      </c>
      <c r="C448" s="18" t="s">
        <v>124</v>
      </c>
      <c r="D448" s="18" t="s">
        <v>121</v>
      </c>
      <c r="E448" s="61">
        <v>2022</v>
      </c>
      <c r="F448" s="62">
        <v>4691000000</v>
      </c>
      <c r="G448" s="62">
        <v>1831000000</v>
      </c>
      <c r="H448" s="62">
        <v>2608000000</v>
      </c>
      <c r="I448" s="62">
        <v>2609000000</v>
      </c>
      <c r="J448" s="62">
        <f t="shared" si="66"/>
        <v>1.7986963190184049</v>
      </c>
      <c r="K448" s="62">
        <f t="shared" si="67"/>
        <v>0.70180145649674208</v>
      </c>
      <c r="L448" s="63">
        <f t="shared" si="68"/>
        <v>-0.60967810701342995</v>
      </c>
      <c r="M448" s="63">
        <f t="shared" si="69"/>
        <v>3.834355828220859E-4</v>
      </c>
      <c r="N448" s="63">
        <f t="shared" si="70"/>
        <v>-0.60982771295171534</v>
      </c>
      <c r="O448" s="62">
        <f t="shared" si="71"/>
        <v>0.70207055214723924</v>
      </c>
      <c r="P448" s="62">
        <f t="shared" si="72"/>
        <v>-1.0966257668711656</v>
      </c>
      <c r="Q448" s="62">
        <f t="shared" si="73"/>
        <v>-2.6909565049715312E-4</v>
      </c>
      <c r="R448" s="63">
        <f t="shared" si="74"/>
        <v>-0.60967810701342995</v>
      </c>
      <c r="S448" s="63">
        <f t="shared" si="75"/>
        <v>-1.4960593828534967E-4</v>
      </c>
      <c r="T448" s="63">
        <f t="shared" si="76"/>
        <v>-0.60982771295171534</v>
      </c>
    </row>
    <row r="449" spans="1:20" x14ac:dyDescent="0.3">
      <c r="A449" s="18" t="s">
        <v>157</v>
      </c>
      <c r="B449" s="18" t="s">
        <v>158</v>
      </c>
      <c r="C449" s="18" t="s">
        <v>124</v>
      </c>
      <c r="D449" s="18" t="s">
        <v>121</v>
      </c>
      <c r="E449" s="61">
        <v>2023</v>
      </c>
      <c r="F449" s="62">
        <v>1831000000</v>
      </c>
      <c r="G449" s="62">
        <v>517000000</v>
      </c>
      <c r="H449" s="62">
        <v>2609000000</v>
      </c>
      <c r="I449" s="62">
        <v>2611000000</v>
      </c>
      <c r="J449" s="62">
        <f t="shared" si="66"/>
        <v>0.70180145649674208</v>
      </c>
      <c r="K449" s="62">
        <f t="shared" si="67"/>
        <v>0.19800842589046341</v>
      </c>
      <c r="L449" s="63">
        <f t="shared" si="68"/>
        <v>-0.7176406335335882</v>
      </c>
      <c r="M449" s="63">
        <f t="shared" si="69"/>
        <v>7.6657723265619016E-4</v>
      </c>
      <c r="N449" s="63">
        <f t="shared" si="70"/>
        <v>-0.71785691799660345</v>
      </c>
      <c r="O449" s="62">
        <f t="shared" si="71"/>
        <v>0.19816021464162514</v>
      </c>
      <c r="P449" s="62">
        <f t="shared" si="72"/>
        <v>-0.50364124185511694</v>
      </c>
      <c r="Q449" s="62">
        <f t="shared" si="73"/>
        <v>-1.5178875116172996E-4</v>
      </c>
      <c r="R449" s="63">
        <f t="shared" si="74"/>
        <v>-0.7176406335335882</v>
      </c>
      <c r="S449" s="63">
        <f t="shared" si="75"/>
        <v>-2.1628446301526677E-4</v>
      </c>
      <c r="T449" s="63">
        <f t="shared" si="76"/>
        <v>-0.71785691799660345</v>
      </c>
    </row>
    <row r="450" spans="1:20" x14ac:dyDescent="0.3">
      <c r="A450" s="18" t="s">
        <v>157</v>
      </c>
      <c r="B450" s="18" t="s">
        <v>158</v>
      </c>
      <c r="C450" s="18" t="s">
        <v>124</v>
      </c>
      <c r="D450" s="18" t="s">
        <v>121</v>
      </c>
      <c r="E450" s="61">
        <v>2024</v>
      </c>
      <c r="F450" s="62">
        <v>517000000</v>
      </c>
      <c r="G450" s="62">
        <v>4531000000</v>
      </c>
      <c r="H450" s="62">
        <v>2611000000</v>
      </c>
      <c r="I450" s="62">
        <v>2612000000</v>
      </c>
      <c r="J450" s="62">
        <f t="shared" si="66"/>
        <v>0.19800842589046341</v>
      </c>
      <c r="K450" s="62">
        <f t="shared" si="67"/>
        <v>1.7346860643185298</v>
      </c>
      <c r="L450" s="63">
        <f t="shared" si="68"/>
        <v>7.7640232108317218</v>
      </c>
      <c r="M450" s="63">
        <f t="shared" si="69"/>
        <v>3.8299502106472615E-4</v>
      </c>
      <c r="N450" s="63">
        <f t="shared" si="70"/>
        <v>7.7606679186376821</v>
      </c>
      <c r="O450" s="62">
        <f t="shared" si="71"/>
        <v>1.7353504404442743</v>
      </c>
      <c r="P450" s="62">
        <f t="shared" si="72"/>
        <v>1.5373420145538108</v>
      </c>
      <c r="Q450" s="62">
        <f t="shared" si="73"/>
        <v>-6.6437612574454796E-4</v>
      </c>
      <c r="R450" s="63">
        <f t="shared" si="74"/>
        <v>7.7640232108317218</v>
      </c>
      <c r="S450" s="63">
        <f t="shared" si="75"/>
        <v>-3.3552921940406474E-3</v>
      </c>
      <c r="T450" s="63">
        <f t="shared" si="76"/>
        <v>7.7606679186376812</v>
      </c>
    </row>
    <row r="451" spans="1:20" x14ac:dyDescent="0.3">
      <c r="A451" s="18" t="s">
        <v>159</v>
      </c>
      <c r="B451" s="18" t="s">
        <v>160</v>
      </c>
      <c r="C451" s="18" t="s">
        <v>124</v>
      </c>
      <c r="D451" s="18" t="s">
        <v>121</v>
      </c>
      <c r="E451" s="61">
        <v>2016</v>
      </c>
      <c r="F451" s="62">
        <v>1358000000</v>
      </c>
      <c r="G451" s="62">
        <v>1593000000</v>
      </c>
      <c r="H451" s="62">
        <v>544891919</v>
      </c>
      <c r="I451" s="62">
        <v>547397823</v>
      </c>
      <c r="J451" s="62">
        <f t="shared" si="66"/>
        <v>2.4922373642322269</v>
      </c>
      <c r="K451" s="62">
        <f t="shared" si="67"/>
        <v>2.9101321435105523</v>
      </c>
      <c r="L451" s="63">
        <f t="shared" si="68"/>
        <v>0.17304860088365243</v>
      </c>
      <c r="M451" s="63">
        <f t="shared" si="69"/>
        <v>4.5989010161848259E-3</v>
      </c>
      <c r="N451" s="63">
        <f t="shared" si="70"/>
        <v>0.1676785627548219</v>
      </c>
      <c r="O451" s="62">
        <f t="shared" si="71"/>
        <v>2.9235155531825754</v>
      </c>
      <c r="P451" s="62">
        <f t="shared" si="72"/>
        <v>0.43127818895034853</v>
      </c>
      <c r="Q451" s="62">
        <f t="shared" si="73"/>
        <v>-1.3383409672023117E-2</v>
      </c>
      <c r="R451" s="63">
        <f t="shared" si="74"/>
        <v>0.17304860088365243</v>
      </c>
      <c r="S451" s="63">
        <f t="shared" si="75"/>
        <v>-5.3700381288305128E-3</v>
      </c>
      <c r="T451" s="63">
        <f t="shared" si="76"/>
        <v>0.1676785627548219</v>
      </c>
    </row>
    <row r="452" spans="1:20" x14ac:dyDescent="0.3">
      <c r="A452" s="18" t="s">
        <v>159</v>
      </c>
      <c r="B452" s="18" t="s">
        <v>160</v>
      </c>
      <c r="C452" s="18" t="s">
        <v>124</v>
      </c>
      <c r="D452" s="18" t="s">
        <v>121</v>
      </c>
      <c r="E452" s="61">
        <v>2017</v>
      </c>
      <c r="F452" s="62">
        <v>1593000000</v>
      </c>
      <c r="G452" s="62">
        <v>1814000000</v>
      </c>
      <c r="H452" s="62">
        <v>547397823</v>
      </c>
      <c r="I452" s="62">
        <v>555141474</v>
      </c>
      <c r="J452" s="62">
        <f t="shared" si="66"/>
        <v>2.9101321435105523</v>
      </c>
      <c r="K452" s="62">
        <f t="shared" si="67"/>
        <v>3.2676355216796504</v>
      </c>
      <c r="L452" s="63">
        <f t="shared" si="68"/>
        <v>0.13873195229127433</v>
      </c>
      <c r="M452" s="63">
        <f t="shared" si="69"/>
        <v>1.4146294841950806E-2</v>
      </c>
      <c r="N452" s="63">
        <f t="shared" si="70"/>
        <v>0.12284781602317016</v>
      </c>
      <c r="O452" s="62">
        <f t="shared" si="71"/>
        <v>3.3138604572053625</v>
      </c>
      <c r="P452" s="62">
        <f t="shared" si="72"/>
        <v>0.40372831369481021</v>
      </c>
      <c r="Q452" s="62">
        <f t="shared" si="73"/>
        <v>-4.6224935525712052E-2</v>
      </c>
      <c r="R452" s="63">
        <f t="shared" si="74"/>
        <v>0.13873195229127447</v>
      </c>
      <c r="S452" s="63">
        <f t="shared" si="75"/>
        <v>-1.5884136268104292E-2</v>
      </c>
      <c r="T452" s="63">
        <f t="shared" si="76"/>
        <v>0.12284781602317017</v>
      </c>
    </row>
    <row r="453" spans="1:20" x14ac:dyDescent="0.3">
      <c r="A453" s="18" t="s">
        <v>159</v>
      </c>
      <c r="B453" s="18" t="s">
        <v>160</v>
      </c>
      <c r="C453" s="18" t="s">
        <v>124</v>
      </c>
      <c r="D453" s="18" t="s">
        <v>121</v>
      </c>
      <c r="E453" s="61">
        <v>2018</v>
      </c>
      <c r="F453" s="62">
        <v>1814000000</v>
      </c>
      <c r="G453" s="62">
        <v>2027000000</v>
      </c>
      <c r="H453" s="62">
        <v>555141474</v>
      </c>
      <c r="I453" s="62">
        <v>556563377</v>
      </c>
      <c r="J453" s="62">
        <f t="shared" ref="J453:J516" si="77">F453/H453</f>
        <v>3.2676355216796504</v>
      </c>
      <c r="K453" s="62">
        <f t="shared" ref="K453:K516" si="78">G453/I453</f>
        <v>3.6419931381866686</v>
      </c>
      <c r="L453" s="63">
        <f t="shared" ref="L453:L516" si="79">IF(F453=0,"",((G453-F453)/ABS(F453)))</f>
        <v>0.11742006615214995</v>
      </c>
      <c r="M453" s="63">
        <f t="shared" ref="M453:M516" si="80">(I453-H453)/H453</f>
        <v>2.5613344824602312E-3</v>
      </c>
      <c r="N453" s="63">
        <f t="shared" ref="N453:N516" si="81">IF(J453=0,"",((K453-J453)/ABS(J453)))</f>
        <v>0.11456529163772479</v>
      </c>
      <c r="O453" s="62">
        <f t="shared" ref="O453:O516" si="82">G453/H453</f>
        <v>3.65132150079639</v>
      </c>
      <c r="P453" s="62">
        <f t="shared" ref="P453:P516" si="83">O453-J453</f>
        <v>0.38368597911673952</v>
      </c>
      <c r="Q453" s="62">
        <f t="shared" ref="Q453:Q516" si="84">K453-O453</f>
        <v>-9.3283626097213634E-3</v>
      </c>
      <c r="R453" s="63">
        <f t="shared" ref="R453:R516" si="85">IF(J453=0,"",P453/ABS(J453))</f>
        <v>0.11742006615214994</v>
      </c>
      <c r="S453" s="63">
        <f t="shared" ref="S453:S516" si="86">IF(J453=0,"",Q453/ABS(J453))</f>
        <v>-2.8547745144251401E-3</v>
      </c>
      <c r="T453" s="63">
        <f t="shared" ref="T453:T516" si="87">R453+S453</f>
        <v>0.11456529163772479</v>
      </c>
    </row>
    <row r="454" spans="1:20" x14ac:dyDescent="0.3">
      <c r="A454" s="18" t="s">
        <v>159</v>
      </c>
      <c r="B454" s="18" t="s">
        <v>160</v>
      </c>
      <c r="C454" s="18" t="s">
        <v>124</v>
      </c>
      <c r="D454" s="18" t="s">
        <v>121</v>
      </c>
      <c r="E454" s="61">
        <v>2019</v>
      </c>
      <c r="F454" s="62">
        <v>2027000000</v>
      </c>
      <c r="G454" s="62">
        <v>1883000000</v>
      </c>
      <c r="H454" s="62">
        <v>556563377</v>
      </c>
      <c r="I454" s="62">
        <v>556820762</v>
      </c>
      <c r="J454" s="62">
        <f t="shared" si="77"/>
        <v>3.6419931381866686</v>
      </c>
      <c r="K454" s="62">
        <f t="shared" si="78"/>
        <v>3.3816986156130437</v>
      </c>
      <c r="L454" s="63">
        <f t="shared" si="79"/>
        <v>-7.1040947212629504E-2</v>
      </c>
      <c r="M454" s="63">
        <f t="shared" si="80"/>
        <v>4.624540719645662E-4</v>
      </c>
      <c r="N454" s="63">
        <f t="shared" si="81"/>
        <v>-7.1470349530428898E-2</v>
      </c>
      <c r="O454" s="62">
        <f t="shared" si="82"/>
        <v>3.3832624959079909</v>
      </c>
      <c r="P454" s="62">
        <f t="shared" si="83"/>
        <v>-0.2587306422786777</v>
      </c>
      <c r="Q454" s="62">
        <f t="shared" si="84"/>
        <v>-1.5638802949471398E-3</v>
      </c>
      <c r="R454" s="63">
        <f t="shared" si="85"/>
        <v>-7.1040947212629421E-2</v>
      </c>
      <c r="S454" s="63">
        <f t="shared" si="86"/>
        <v>-4.2940231779947516E-4</v>
      </c>
      <c r="T454" s="63">
        <f t="shared" si="87"/>
        <v>-7.1470349530428898E-2</v>
      </c>
    </row>
    <row r="455" spans="1:20" x14ac:dyDescent="0.3">
      <c r="A455" s="18" t="s">
        <v>159</v>
      </c>
      <c r="B455" s="18" t="s">
        <v>160</v>
      </c>
      <c r="C455" s="18" t="s">
        <v>124</v>
      </c>
      <c r="D455" s="18" t="s">
        <v>121</v>
      </c>
      <c r="E455" s="61">
        <v>2020</v>
      </c>
      <c r="F455" s="62">
        <v>1883000000</v>
      </c>
      <c r="G455" s="62">
        <v>1707000000</v>
      </c>
      <c r="H455" s="62">
        <v>556820762</v>
      </c>
      <c r="I455" s="62">
        <v>557451759</v>
      </c>
      <c r="J455" s="62">
        <f t="shared" si="77"/>
        <v>3.3816986156130437</v>
      </c>
      <c r="K455" s="62">
        <f t="shared" si="78"/>
        <v>3.0621483786545913</v>
      </c>
      <c r="L455" s="63">
        <f t="shared" si="79"/>
        <v>-9.3467870419543284E-2</v>
      </c>
      <c r="M455" s="63">
        <f t="shared" si="80"/>
        <v>1.1332138509590991E-3</v>
      </c>
      <c r="N455" s="63">
        <f t="shared" si="81"/>
        <v>-9.4494002358197576E-2</v>
      </c>
      <c r="O455" s="62">
        <f t="shared" si="82"/>
        <v>3.0656184476109747</v>
      </c>
      <c r="P455" s="62">
        <f t="shared" si="83"/>
        <v>-0.31608016800206906</v>
      </c>
      <c r="Q455" s="62">
        <f t="shared" si="84"/>
        <v>-3.4700689563833542E-3</v>
      </c>
      <c r="R455" s="63">
        <f t="shared" si="85"/>
        <v>-9.3467870419543339E-2</v>
      </c>
      <c r="S455" s="63">
        <f t="shared" si="86"/>
        <v>-1.0261319386542346E-3</v>
      </c>
      <c r="T455" s="63">
        <f t="shared" si="87"/>
        <v>-9.4494002358197576E-2</v>
      </c>
    </row>
    <row r="456" spans="1:20" x14ac:dyDescent="0.3">
      <c r="A456" s="18" t="s">
        <v>159</v>
      </c>
      <c r="B456" s="18" t="s">
        <v>160</v>
      </c>
      <c r="C456" s="18" t="s">
        <v>124</v>
      </c>
      <c r="D456" s="18" t="s">
        <v>121</v>
      </c>
      <c r="E456" s="61">
        <v>2021</v>
      </c>
      <c r="F456" s="62">
        <v>1707000000</v>
      </c>
      <c r="G456" s="62">
        <v>1818000000</v>
      </c>
      <c r="H456" s="62">
        <v>557451759</v>
      </c>
      <c r="I456" s="62">
        <v>558061878</v>
      </c>
      <c r="J456" s="62">
        <f t="shared" si="77"/>
        <v>3.0621483786545913</v>
      </c>
      <c r="K456" s="62">
        <f t="shared" si="78"/>
        <v>3.2577032613576948</v>
      </c>
      <c r="L456" s="63">
        <f t="shared" si="79"/>
        <v>6.5026362038664326E-2</v>
      </c>
      <c r="M456" s="63">
        <f t="shared" si="80"/>
        <v>1.0944785627629528E-3</v>
      </c>
      <c r="N456" s="63">
        <f t="shared" si="81"/>
        <v>6.3861987899170317E-2</v>
      </c>
      <c r="O456" s="62">
        <f t="shared" si="82"/>
        <v>3.2612687477410938</v>
      </c>
      <c r="P456" s="62">
        <f t="shared" si="83"/>
        <v>0.19912036908650244</v>
      </c>
      <c r="Q456" s="62">
        <f t="shared" si="84"/>
        <v>-3.5654863833989303E-3</v>
      </c>
      <c r="R456" s="63">
        <f t="shared" si="85"/>
        <v>6.5026362038664326E-2</v>
      </c>
      <c r="S456" s="63">
        <f t="shared" si="86"/>
        <v>-1.1643741394940141E-3</v>
      </c>
      <c r="T456" s="63">
        <f t="shared" si="87"/>
        <v>6.3861987899170317E-2</v>
      </c>
    </row>
    <row r="457" spans="1:20" x14ac:dyDescent="0.3">
      <c r="A457" s="18" t="s">
        <v>159</v>
      </c>
      <c r="B457" s="18" t="s">
        <v>160</v>
      </c>
      <c r="C457" s="18" t="s">
        <v>124</v>
      </c>
      <c r="D457" s="18" t="s">
        <v>121</v>
      </c>
      <c r="E457" s="61">
        <v>2022</v>
      </c>
      <c r="F457" s="62">
        <v>1818000000</v>
      </c>
      <c r="G457" s="62">
        <v>1372000000</v>
      </c>
      <c r="H457" s="62">
        <v>558061878</v>
      </c>
      <c r="I457" s="62">
        <v>561264305</v>
      </c>
      <c r="J457" s="62">
        <f t="shared" si="77"/>
        <v>3.2577032613576948</v>
      </c>
      <c r="K457" s="62">
        <f t="shared" si="78"/>
        <v>2.44448112551893</v>
      </c>
      <c r="L457" s="63">
        <f t="shared" si="79"/>
        <v>-0.24532453245324531</v>
      </c>
      <c r="M457" s="63">
        <f t="shared" si="80"/>
        <v>5.7384801332012866E-3</v>
      </c>
      <c r="N457" s="63">
        <f t="shared" si="81"/>
        <v>-0.24963051284782847</v>
      </c>
      <c r="O457" s="62">
        <f t="shared" si="82"/>
        <v>2.4585087318937058</v>
      </c>
      <c r="P457" s="62">
        <f t="shared" si="83"/>
        <v>-0.79919452946398906</v>
      </c>
      <c r="Q457" s="62">
        <f t="shared" si="84"/>
        <v>-1.4027606374775736E-2</v>
      </c>
      <c r="R457" s="63">
        <f t="shared" si="85"/>
        <v>-0.24532453245324537</v>
      </c>
      <c r="S457" s="63">
        <f t="shared" si="86"/>
        <v>-4.305980394583124E-3</v>
      </c>
      <c r="T457" s="63">
        <f t="shared" si="87"/>
        <v>-0.2496305128478285</v>
      </c>
    </row>
    <row r="458" spans="1:20" x14ac:dyDescent="0.3">
      <c r="A458" s="18" t="s">
        <v>159</v>
      </c>
      <c r="B458" s="18" t="s">
        <v>160</v>
      </c>
      <c r="C458" s="18" t="s">
        <v>124</v>
      </c>
      <c r="D458" s="18" t="s">
        <v>121</v>
      </c>
      <c r="E458" s="61">
        <v>2023</v>
      </c>
      <c r="F458" s="62">
        <v>1372000000</v>
      </c>
      <c r="G458" s="62">
        <v>-594000000</v>
      </c>
      <c r="H458" s="62">
        <v>561264305</v>
      </c>
      <c r="I458" s="62">
        <v>563237277</v>
      </c>
      <c r="J458" s="62">
        <f t="shared" si="77"/>
        <v>2.44448112551893</v>
      </c>
      <c r="K458" s="62">
        <f t="shared" si="78"/>
        <v>-1.054617697116663</v>
      </c>
      <c r="L458" s="63">
        <f t="shared" si="79"/>
        <v>-1.4329446064139941</v>
      </c>
      <c r="M458" s="63">
        <f t="shared" si="80"/>
        <v>3.5152279994003894E-3</v>
      </c>
      <c r="N458" s="63">
        <f t="shared" si="81"/>
        <v>-1.431428038493356</v>
      </c>
      <c r="O458" s="62">
        <f t="shared" si="82"/>
        <v>-1.0583249187742305</v>
      </c>
      <c r="P458" s="62">
        <f t="shared" si="83"/>
        <v>-3.5028060442931608</v>
      </c>
      <c r="Q458" s="62">
        <f t="shared" si="84"/>
        <v>3.7072216575675387E-3</v>
      </c>
      <c r="R458" s="63">
        <f t="shared" si="85"/>
        <v>-1.4329446064139941</v>
      </c>
      <c r="S458" s="63">
        <f t="shared" si="86"/>
        <v>1.5165679206381869E-3</v>
      </c>
      <c r="T458" s="63">
        <f t="shared" si="87"/>
        <v>-1.431428038493356</v>
      </c>
    </row>
    <row r="459" spans="1:20" x14ac:dyDescent="0.3">
      <c r="A459" s="18" t="s">
        <v>159</v>
      </c>
      <c r="B459" s="18" t="s">
        <v>160</v>
      </c>
      <c r="C459" s="18" t="s">
        <v>124</v>
      </c>
      <c r="D459" s="18" t="s">
        <v>121</v>
      </c>
      <c r="E459" s="61">
        <v>2024</v>
      </c>
      <c r="F459" s="62">
        <v>-594000000</v>
      </c>
      <c r="G459" s="62">
        <v>471000000</v>
      </c>
      <c r="H459" s="62">
        <v>563237277</v>
      </c>
      <c r="I459" s="62">
        <v>563237277</v>
      </c>
      <c r="J459" s="62">
        <f t="shared" si="77"/>
        <v>-1.054617697116663</v>
      </c>
      <c r="K459" s="62">
        <f t="shared" si="78"/>
        <v>0.83623726488543482</v>
      </c>
      <c r="L459" s="63">
        <f t="shared" si="79"/>
        <v>1.792929292929293</v>
      </c>
      <c r="M459" s="63">
        <f t="shared" si="80"/>
        <v>0</v>
      </c>
      <c r="N459" s="63">
        <f t="shared" si="81"/>
        <v>1.792929292929293</v>
      </c>
      <c r="O459" s="62">
        <f t="shared" si="82"/>
        <v>0.83623726488543482</v>
      </c>
      <c r="P459" s="62">
        <f t="shared" si="83"/>
        <v>1.8908549620020978</v>
      </c>
      <c r="Q459" s="62">
        <f t="shared" si="84"/>
        <v>0</v>
      </c>
      <c r="R459" s="63">
        <f t="shared" si="85"/>
        <v>1.792929292929293</v>
      </c>
      <c r="S459" s="63">
        <f t="shared" si="86"/>
        <v>0</v>
      </c>
      <c r="T459" s="63">
        <f t="shared" si="87"/>
        <v>1.792929292929293</v>
      </c>
    </row>
    <row r="460" spans="1:20" x14ac:dyDescent="0.3">
      <c r="A460" s="18" t="s">
        <v>161</v>
      </c>
      <c r="B460" s="18" t="s">
        <v>162</v>
      </c>
      <c r="C460" s="18" t="s">
        <v>124</v>
      </c>
      <c r="D460" s="18" t="s">
        <v>121</v>
      </c>
      <c r="E460" s="61">
        <v>2016</v>
      </c>
      <c r="F460" s="62">
        <v>1150725000</v>
      </c>
      <c r="G460" s="62">
        <v>1171229000</v>
      </c>
      <c r="H460" s="62">
        <v>120621081</v>
      </c>
      <c r="I460" s="62">
        <v>120620906</v>
      </c>
      <c r="J460" s="62">
        <f t="shared" si="77"/>
        <v>9.5399990653375095</v>
      </c>
      <c r="K460" s="62">
        <f t="shared" si="78"/>
        <v>9.7100000227157963</v>
      </c>
      <c r="L460" s="63">
        <f t="shared" si="79"/>
        <v>1.7818331921180125E-2</v>
      </c>
      <c r="M460" s="63">
        <f t="shared" si="80"/>
        <v>-1.4508243380773548E-6</v>
      </c>
      <c r="N460" s="63">
        <f t="shared" si="81"/>
        <v>1.7819808598930134E-2</v>
      </c>
      <c r="O460" s="62">
        <f t="shared" si="82"/>
        <v>9.7099859352114404</v>
      </c>
      <c r="P460" s="62">
        <f t="shared" si="83"/>
        <v>0.16998686987393086</v>
      </c>
      <c r="Q460" s="62">
        <f t="shared" si="84"/>
        <v>1.408750435594186E-5</v>
      </c>
      <c r="R460" s="63">
        <f t="shared" si="85"/>
        <v>1.7818331921180014E-2</v>
      </c>
      <c r="S460" s="63">
        <f t="shared" si="86"/>
        <v>1.4766777501191995E-6</v>
      </c>
      <c r="T460" s="63">
        <f t="shared" si="87"/>
        <v>1.7819808598930134E-2</v>
      </c>
    </row>
    <row r="461" spans="1:20" x14ac:dyDescent="0.3">
      <c r="A461" s="18" t="s">
        <v>161</v>
      </c>
      <c r="B461" s="18" t="s">
        <v>162</v>
      </c>
      <c r="C461" s="18" t="s">
        <v>124</v>
      </c>
      <c r="D461" s="18" t="s">
        <v>121</v>
      </c>
      <c r="E461" s="61">
        <v>2017</v>
      </c>
      <c r="F461" s="62">
        <v>1171229000</v>
      </c>
      <c r="G461" s="62">
        <v>958555000</v>
      </c>
      <c r="H461" s="62">
        <v>120620906</v>
      </c>
      <c r="I461" s="62">
        <v>120596984</v>
      </c>
      <c r="J461" s="62">
        <f t="shared" si="77"/>
        <v>9.7100000227157963</v>
      </c>
      <c r="K461" s="62">
        <f t="shared" si="78"/>
        <v>7.9484160234056933</v>
      </c>
      <c r="L461" s="63">
        <f t="shared" si="79"/>
        <v>-0.18158191096702694</v>
      </c>
      <c r="M461" s="63">
        <f t="shared" si="80"/>
        <v>-1.9832382953581859E-4</v>
      </c>
      <c r="N461" s="63">
        <f t="shared" si="81"/>
        <v>-0.18141956696076345</v>
      </c>
      <c r="O461" s="62">
        <f t="shared" si="82"/>
        <v>7.9468396631011871</v>
      </c>
      <c r="P461" s="62">
        <f t="shared" si="83"/>
        <v>-1.7631603596146093</v>
      </c>
      <c r="Q461" s="62">
        <f t="shared" si="84"/>
        <v>1.5763603045062524E-3</v>
      </c>
      <c r="R461" s="63">
        <f t="shared" si="85"/>
        <v>-0.18158191096702694</v>
      </c>
      <c r="S461" s="63">
        <f t="shared" si="86"/>
        <v>1.6234400626348908E-4</v>
      </c>
      <c r="T461" s="63">
        <f t="shared" si="87"/>
        <v>-0.18141956696076345</v>
      </c>
    </row>
    <row r="462" spans="1:20" x14ac:dyDescent="0.3">
      <c r="A462" s="18" t="s">
        <v>161</v>
      </c>
      <c r="B462" s="18" t="s">
        <v>162</v>
      </c>
      <c r="C462" s="18" t="s">
        <v>124</v>
      </c>
      <c r="D462" s="18" t="s">
        <v>121</v>
      </c>
      <c r="E462" s="61">
        <v>2018</v>
      </c>
      <c r="F462" s="62">
        <v>958555000</v>
      </c>
      <c r="G462" s="62">
        <v>1059493000</v>
      </c>
      <c r="H462" s="62">
        <v>120596984</v>
      </c>
      <c r="I462" s="62">
        <v>120596999</v>
      </c>
      <c r="J462" s="62">
        <f t="shared" si="77"/>
        <v>7.9484160234056933</v>
      </c>
      <c r="K462" s="62">
        <f t="shared" si="78"/>
        <v>8.7854010363889738</v>
      </c>
      <c r="L462" s="63">
        <f t="shared" si="79"/>
        <v>0.10530225182696872</v>
      </c>
      <c r="M462" s="63">
        <f t="shared" si="80"/>
        <v>1.2438122001459007E-7</v>
      </c>
      <c r="N462" s="63">
        <f t="shared" si="81"/>
        <v>0.10530211434814327</v>
      </c>
      <c r="O462" s="62">
        <f t="shared" si="82"/>
        <v>8.7854021291278723</v>
      </c>
      <c r="P462" s="62">
        <f t="shared" si="83"/>
        <v>0.83698610572217902</v>
      </c>
      <c r="Q462" s="62">
        <f t="shared" si="84"/>
        <v>-1.0927388984782738E-6</v>
      </c>
      <c r="R462" s="63">
        <f t="shared" si="85"/>
        <v>0.10530225182696865</v>
      </c>
      <c r="S462" s="63">
        <f t="shared" si="86"/>
        <v>-1.374788253735696E-7</v>
      </c>
      <c r="T462" s="63">
        <f t="shared" si="87"/>
        <v>0.10530211434814327</v>
      </c>
    </row>
    <row r="463" spans="1:20" x14ac:dyDescent="0.3">
      <c r="A463" s="18" t="s">
        <v>161</v>
      </c>
      <c r="B463" s="18" t="s">
        <v>162</v>
      </c>
      <c r="C463" s="18" t="s">
        <v>124</v>
      </c>
      <c r="D463" s="18" t="s">
        <v>121</v>
      </c>
      <c r="E463" s="61">
        <v>2019</v>
      </c>
      <c r="F463" s="62">
        <v>1059493000</v>
      </c>
      <c r="G463" s="62">
        <v>1284167000</v>
      </c>
      <c r="H463" s="62">
        <v>120596999</v>
      </c>
      <c r="I463" s="62">
        <v>120596997</v>
      </c>
      <c r="J463" s="62">
        <f t="shared" si="77"/>
        <v>8.7854010363889738</v>
      </c>
      <c r="K463" s="62">
        <f t="shared" si="78"/>
        <v>10.648416062963824</v>
      </c>
      <c r="L463" s="63">
        <f t="shared" si="79"/>
        <v>0.21205803153017527</v>
      </c>
      <c r="M463" s="63">
        <f t="shared" si="80"/>
        <v>-1.6584160605853881E-8</v>
      </c>
      <c r="N463" s="63">
        <f t="shared" si="81"/>
        <v>0.21205805163114066</v>
      </c>
      <c r="O463" s="62">
        <f t="shared" si="82"/>
        <v>10.648415886368781</v>
      </c>
      <c r="P463" s="62">
        <f t="shared" si="83"/>
        <v>1.8630148499798072</v>
      </c>
      <c r="Q463" s="62">
        <f t="shared" si="84"/>
        <v>1.7659504258915604E-7</v>
      </c>
      <c r="R463" s="63">
        <f t="shared" si="85"/>
        <v>0.21205803153017522</v>
      </c>
      <c r="S463" s="63">
        <f t="shared" si="86"/>
        <v>2.0100965437741831E-8</v>
      </c>
      <c r="T463" s="63">
        <f t="shared" si="87"/>
        <v>0.21205805163114066</v>
      </c>
    </row>
    <row r="464" spans="1:20" x14ac:dyDescent="0.3">
      <c r="A464" s="18" t="s">
        <v>161</v>
      </c>
      <c r="B464" s="18" t="s">
        <v>162</v>
      </c>
      <c r="C464" s="18" t="s">
        <v>124</v>
      </c>
      <c r="D464" s="18" t="s">
        <v>121</v>
      </c>
      <c r="E464" s="61">
        <v>2020</v>
      </c>
      <c r="F464" s="62">
        <v>1284167000</v>
      </c>
      <c r="G464" s="62">
        <v>883073000</v>
      </c>
      <c r="H464" s="62">
        <v>120596997</v>
      </c>
      <c r="I464" s="62">
        <v>120638387</v>
      </c>
      <c r="J464" s="62">
        <f t="shared" si="77"/>
        <v>10.648416062963824</v>
      </c>
      <c r="K464" s="62">
        <f t="shared" si="78"/>
        <v>7.3200000593509262</v>
      </c>
      <c r="L464" s="63">
        <f t="shared" si="79"/>
        <v>-0.31233788128802564</v>
      </c>
      <c r="M464" s="63">
        <f t="shared" si="80"/>
        <v>3.4320920942998271E-4</v>
      </c>
      <c r="N464" s="63">
        <f t="shared" si="81"/>
        <v>-0.31257381228645226</v>
      </c>
      <c r="O464" s="62">
        <f t="shared" si="82"/>
        <v>7.3225123507843231</v>
      </c>
      <c r="P464" s="62">
        <f t="shared" si="83"/>
        <v>-3.3259037121795005</v>
      </c>
      <c r="Q464" s="62">
        <f t="shared" si="84"/>
        <v>-2.5122914333968183E-3</v>
      </c>
      <c r="R464" s="63">
        <f t="shared" si="85"/>
        <v>-0.3123378812880257</v>
      </c>
      <c r="S464" s="63">
        <f t="shared" si="86"/>
        <v>-2.3593099842659232E-4</v>
      </c>
      <c r="T464" s="63">
        <f t="shared" si="87"/>
        <v>-0.31257381228645231</v>
      </c>
    </row>
    <row r="465" spans="1:20" x14ac:dyDescent="0.3">
      <c r="A465" s="18" t="s">
        <v>161</v>
      </c>
      <c r="B465" s="18" t="s">
        <v>162</v>
      </c>
      <c r="C465" s="18" t="s">
        <v>124</v>
      </c>
      <c r="D465" s="18" t="s">
        <v>121</v>
      </c>
      <c r="E465" s="61">
        <v>2021</v>
      </c>
      <c r="F465" s="62">
        <v>883073000</v>
      </c>
      <c r="G465" s="62">
        <v>1231334000</v>
      </c>
      <c r="H465" s="62">
        <v>120638387</v>
      </c>
      <c r="I465" s="62">
        <v>120600783</v>
      </c>
      <c r="J465" s="62">
        <f t="shared" si="77"/>
        <v>7.3200000593509262</v>
      </c>
      <c r="K465" s="62">
        <f t="shared" si="78"/>
        <v>10.210000046185439</v>
      </c>
      <c r="L465" s="63">
        <f t="shared" si="79"/>
        <v>0.39437396455332685</v>
      </c>
      <c r="M465" s="63">
        <f t="shared" si="80"/>
        <v>-3.1170841168491419E-4</v>
      </c>
      <c r="N465" s="63">
        <f t="shared" si="81"/>
        <v>0.39480873816970602</v>
      </c>
      <c r="O465" s="62">
        <f t="shared" si="82"/>
        <v>10.20681750328774</v>
      </c>
      <c r="P465" s="62">
        <f t="shared" si="83"/>
        <v>2.8868174439368133</v>
      </c>
      <c r="Q465" s="62">
        <f t="shared" si="84"/>
        <v>3.1825428976990366E-3</v>
      </c>
      <c r="R465" s="63">
        <f t="shared" si="85"/>
        <v>0.39437396455332696</v>
      </c>
      <c r="S465" s="63">
        <f t="shared" si="86"/>
        <v>4.3477361637907376E-4</v>
      </c>
      <c r="T465" s="63">
        <f t="shared" si="87"/>
        <v>0.39480873816970602</v>
      </c>
    </row>
    <row r="466" spans="1:20" x14ac:dyDescent="0.3">
      <c r="A466" s="18" t="s">
        <v>161</v>
      </c>
      <c r="B466" s="18" t="s">
        <v>162</v>
      </c>
      <c r="C466" s="18" t="s">
        <v>124</v>
      </c>
      <c r="D466" s="18" t="s">
        <v>121</v>
      </c>
      <c r="E466" s="61">
        <v>2022</v>
      </c>
      <c r="F466" s="62">
        <v>1231334000</v>
      </c>
      <c r="G466" s="62">
        <v>780800000</v>
      </c>
      <c r="H466" s="62">
        <v>120600783</v>
      </c>
      <c r="I466" s="62">
        <v>120680061</v>
      </c>
      <c r="J466" s="62">
        <f t="shared" si="77"/>
        <v>10.210000046185439</v>
      </c>
      <c r="K466" s="62">
        <f t="shared" si="78"/>
        <v>6.4700000441663681</v>
      </c>
      <c r="L466" s="63">
        <f t="shared" si="79"/>
        <v>-0.36589097677803101</v>
      </c>
      <c r="M466" s="63">
        <f t="shared" si="80"/>
        <v>6.5735891615231051E-4</v>
      </c>
      <c r="N466" s="63">
        <f t="shared" si="81"/>
        <v>-0.366307540166601</v>
      </c>
      <c r="O466" s="62">
        <f t="shared" si="82"/>
        <v>6.4742531563829067</v>
      </c>
      <c r="P466" s="62">
        <f t="shared" si="83"/>
        <v>-3.7357468898025319</v>
      </c>
      <c r="Q466" s="62">
        <f t="shared" si="84"/>
        <v>-4.2531122165385682E-3</v>
      </c>
      <c r="R466" s="63">
        <f t="shared" si="85"/>
        <v>-0.36589097677803101</v>
      </c>
      <c r="S466" s="63">
        <f t="shared" si="86"/>
        <v>-4.1656338856997112E-4</v>
      </c>
      <c r="T466" s="63">
        <f t="shared" si="87"/>
        <v>-0.366307540166601</v>
      </c>
    </row>
    <row r="467" spans="1:20" x14ac:dyDescent="0.3">
      <c r="A467" s="18" t="s">
        <v>161</v>
      </c>
      <c r="B467" s="18" t="s">
        <v>162</v>
      </c>
      <c r="C467" s="18" t="s">
        <v>124</v>
      </c>
      <c r="D467" s="18" t="s">
        <v>121</v>
      </c>
      <c r="E467" s="61">
        <v>2023</v>
      </c>
      <c r="F467" s="62">
        <v>780800000</v>
      </c>
      <c r="G467" s="62">
        <v>1824800000</v>
      </c>
      <c r="H467" s="62">
        <v>120680061</v>
      </c>
      <c r="I467" s="62">
        <v>120608063</v>
      </c>
      <c r="J467" s="62">
        <f t="shared" si="77"/>
        <v>6.4700000441663681</v>
      </c>
      <c r="K467" s="62">
        <f t="shared" si="78"/>
        <v>15.130000056463887</v>
      </c>
      <c r="L467" s="63">
        <f t="shared" si="79"/>
        <v>1.3370901639344261</v>
      </c>
      <c r="M467" s="63">
        <f t="shared" si="80"/>
        <v>-5.9660228378571997E-4</v>
      </c>
      <c r="N467" s="63">
        <f t="shared" si="81"/>
        <v>1.3384853096107394</v>
      </c>
      <c r="O467" s="62">
        <f t="shared" si="82"/>
        <v>15.120973463876522</v>
      </c>
      <c r="P467" s="62">
        <f t="shared" si="83"/>
        <v>8.6509734197101551</v>
      </c>
      <c r="Q467" s="62">
        <f t="shared" si="84"/>
        <v>9.0265925873644903E-3</v>
      </c>
      <c r="R467" s="63">
        <f t="shared" si="85"/>
        <v>1.3370901639344264</v>
      </c>
      <c r="S467" s="63">
        <f t="shared" si="86"/>
        <v>1.3951456763131333E-3</v>
      </c>
      <c r="T467" s="63">
        <f t="shared" si="87"/>
        <v>1.3384853096107394</v>
      </c>
    </row>
    <row r="468" spans="1:20" x14ac:dyDescent="0.3">
      <c r="A468" s="18" t="s">
        <v>161</v>
      </c>
      <c r="B468" s="18" t="s">
        <v>162</v>
      </c>
      <c r="C468" s="18" t="s">
        <v>124</v>
      </c>
      <c r="D468" s="18" t="s">
        <v>121</v>
      </c>
      <c r="E468" s="61">
        <v>2024</v>
      </c>
      <c r="F468" s="62">
        <v>1824800000</v>
      </c>
      <c r="G468" s="62">
        <v>2328700000</v>
      </c>
      <c r="H468" s="62">
        <v>120608063</v>
      </c>
      <c r="I468" s="62">
        <v>120597011</v>
      </c>
      <c r="J468" s="62">
        <f t="shared" si="77"/>
        <v>15.130000056463887</v>
      </c>
      <c r="K468" s="62">
        <f t="shared" si="78"/>
        <v>19.309765480008455</v>
      </c>
      <c r="L468" s="63">
        <f t="shared" si="79"/>
        <v>0.27613985094256904</v>
      </c>
      <c r="M468" s="63">
        <f t="shared" si="80"/>
        <v>-9.163566452435274E-5</v>
      </c>
      <c r="N468" s="63">
        <f t="shared" si="81"/>
        <v>0.27625680158268573</v>
      </c>
      <c r="O468" s="62">
        <f t="shared" si="82"/>
        <v>19.307996016816887</v>
      </c>
      <c r="P468" s="62">
        <f t="shared" si="83"/>
        <v>4.1779959603529999</v>
      </c>
      <c r="Q468" s="62">
        <f t="shared" si="84"/>
        <v>1.7694631915681214E-3</v>
      </c>
      <c r="R468" s="63">
        <f t="shared" si="85"/>
        <v>0.2761398509425691</v>
      </c>
      <c r="S468" s="63">
        <f t="shared" si="86"/>
        <v>1.1695064011663144E-4</v>
      </c>
      <c r="T468" s="63">
        <f t="shared" si="87"/>
        <v>0.27625680158268573</v>
      </c>
    </row>
    <row r="469" spans="1:20" x14ac:dyDescent="0.3">
      <c r="A469" s="18" t="s">
        <v>163</v>
      </c>
      <c r="B469" s="18" t="s">
        <v>164</v>
      </c>
      <c r="C469" s="18" t="s">
        <v>124</v>
      </c>
      <c r="D469" s="18" t="s">
        <v>121</v>
      </c>
      <c r="E469" s="61">
        <v>2016</v>
      </c>
      <c r="F469" s="62">
        <v>800100000</v>
      </c>
      <c r="G469" s="62">
        <v>706200000</v>
      </c>
      <c r="H469" s="62">
        <v>187916000</v>
      </c>
      <c r="I469" s="62">
        <v>193023000</v>
      </c>
      <c r="J469" s="62">
        <f t="shared" si="77"/>
        <v>4.2577534643138426</v>
      </c>
      <c r="K469" s="62">
        <f t="shared" si="78"/>
        <v>3.658631354812639</v>
      </c>
      <c r="L469" s="63">
        <f t="shared" si="79"/>
        <v>-0.11736032995875516</v>
      </c>
      <c r="M469" s="63">
        <f t="shared" si="80"/>
        <v>2.7177036548244961E-2</v>
      </c>
      <c r="N469" s="63">
        <f t="shared" si="81"/>
        <v>-0.14071319876144003</v>
      </c>
      <c r="O469" s="62">
        <f t="shared" si="82"/>
        <v>3.7580621128589371</v>
      </c>
      <c r="P469" s="62">
        <f t="shared" si="83"/>
        <v>-0.49969135145490551</v>
      </c>
      <c r="Q469" s="62">
        <f t="shared" si="84"/>
        <v>-9.9430758046298084E-2</v>
      </c>
      <c r="R469" s="63">
        <f t="shared" si="85"/>
        <v>-0.11736032995875517</v>
      </c>
      <c r="S469" s="63">
        <f t="shared" si="86"/>
        <v>-2.3352868802684851E-2</v>
      </c>
      <c r="T469" s="63">
        <f t="shared" si="87"/>
        <v>-0.14071319876144003</v>
      </c>
    </row>
    <row r="470" spans="1:20" x14ac:dyDescent="0.3">
      <c r="A470" s="18" t="s">
        <v>163</v>
      </c>
      <c r="B470" s="18" t="s">
        <v>164</v>
      </c>
      <c r="C470" s="18" t="s">
        <v>124</v>
      </c>
      <c r="D470" s="18" t="s">
        <v>121</v>
      </c>
      <c r="E470" s="61">
        <v>2017</v>
      </c>
      <c r="F470" s="62">
        <v>706200000</v>
      </c>
      <c r="G470" s="62">
        <v>917700000</v>
      </c>
      <c r="H470" s="62">
        <v>193023000</v>
      </c>
      <c r="I470" s="62">
        <v>198416000</v>
      </c>
      <c r="J470" s="62">
        <f t="shared" si="77"/>
        <v>3.658631354812639</v>
      </c>
      <c r="K470" s="62">
        <f t="shared" si="78"/>
        <v>4.6251310378195303</v>
      </c>
      <c r="L470" s="63">
        <f t="shared" si="79"/>
        <v>0.29949022939677145</v>
      </c>
      <c r="M470" s="63">
        <f t="shared" si="80"/>
        <v>2.7939675582702578E-2</v>
      </c>
      <c r="N470" s="63">
        <f t="shared" si="81"/>
        <v>0.26416973706179436</v>
      </c>
      <c r="O470" s="62">
        <f t="shared" si="82"/>
        <v>4.754355698543697</v>
      </c>
      <c r="P470" s="62">
        <f t="shared" si="83"/>
        <v>1.095724343731058</v>
      </c>
      <c r="Q470" s="62">
        <f t="shared" si="84"/>
        <v>-0.12922466072416672</v>
      </c>
      <c r="R470" s="63">
        <f t="shared" si="85"/>
        <v>0.29949022939677145</v>
      </c>
      <c r="S470" s="63">
        <f t="shared" si="86"/>
        <v>-3.5320492334977104E-2</v>
      </c>
      <c r="T470" s="63">
        <f t="shared" si="87"/>
        <v>0.26416973706179436</v>
      </c>
    </row>
    <row r="471" spans="1:20" x14ac:dyDescent="0.3">
      <c r="A471" s="18" t="s">
        <v>163</v>
      </c>
      <c r="B471" s="18" t="s">
        <v>164</v>
      </c>
      <c r="C471" s="18" t="s">
        <v>124</v>
      </c>
      <c r="D471" s="18" t="s">
        <v>121</v>
      </c>
      <c r="E471" s="61">
        <v>2018</v>
      </c>
      <c r="F471" s="62">
        <v>917700000</v>
      </c>
      <c r="G471" s="62">
        <v>1143000000</v>
      </c>
      <c r="H471" s="62">
        <v>198416000</v>
      </c>
      <c r="I471" s="62">
        <v>198416000</v>
      </c>
      <c r="J471" s="62">
        <f t="shared" si="77"/>
        <v>4.6251310378195303</v>
      </c>
      <c r="K471" s="62">
        <f t="shared" si="78"/>
        <v>5.7606241432142573</v>
      </c>
      <c r="L471" s="63">
        <f t="shared" si="79"/>
        <v>0.24550506701536451</v>
      </c>
      <c r="M471" s="63">
        <f t="shared" si="80"/>
        <v>0</v>
      </c>
      <c r="N471" s="63">
        <f t="shared" si="81"/>
        <v>0.2455050670153647</v>
      </c>
      <c r="O471" s="62">
        <f t="shared" si="82"/>
        <v>5.7606241432142573</v>
      </c>
      <c r="P471" s="62">
        <f t="shared" si="83"/>
        <v>1.135493105394727</v>
      </c>
      <c r="Q471" s="62">
        <f t="shared" si="84"/>
        <v>0</v>
      </c>
      <c r="R471" s="63">
        <f t="shared" si="85"/>
        <v>0.2455050670153647</v>
      </c>
      <c r="S471" s="63">
        <f t="shared" si="86"/>
        <v>0</v>
      </c>
      <c r="T471" s="63">
        <f t="shared" si="87"/>
        <v>0.2455050670153647</v>
      </c>
    </row>
    <row r="472" spans="1:20" x14ac:dyDescent="0.3">
      <c r="A472" s="18" t="s">
        <v>163</v>
      </c>
      <c r="B472" s="18" t="s">
        <v>164</v>
      </c>
      <c r="C472" s="18" t="s">
        <v>124</v>
      </c>
      <c r="D472" s="18" t="s">
        <v>121</v>
      </c>
      <c r="E472" s="61">
        <v>2019</v>
      </c>
      <c r="F472" s="62">
        <v>1143000000</v>
      </c>
      <c r="G472" s="62">
        <v>1090900000</v>
      </c>
      <c r="H472" s="62">
        <v>198416000</v>
      </c>
      <c r="I472" s="62">
        <v>198416000</v>
      </c>
      <c r="J472" s="62">
        <f t="shared" si="77"/>
        <v>5.7606241432142573</v>
      </c>
      <c r="K472" s="62">
        <f t="shared" si="78"/>
        <v>5.4980445125393116</v>
      </c>
      <c r="L472" s="63">
        <f t="shared" si="79"/>
        <v>-4.5581802274715658E-2</v>
      </c>
      <c r="M472" s="63">
        <f t="shared" si="80"/>
        <v>0</v>
      </c>
      <c r="N472" s="63">
        <f t="shared" si="81"/>
        <v>-4.5581802274715685E-2</v>
      </c>
      <c r="O472" s="62">
        <f t="shared" si="82"/>
        <v>5.4980445125393116</v>
      </c>
      <c r="P472" s="62">
        <f t="shared" si="83"/>
        <v>-0.26257963067494572</v>
      </c>
      <c r="Q472" s="62">
        <f t="shared" si="84"/>
        <v>0</v>
      </c>
      <c r="R472" s="63">
        <f t="shared" si="85"/>
        <v>-4.5581802274715685E-2</v>
      </c>
      <c r="S472" s="63">
        <f t="shared" si="86"/>
        <v>0</v>
      </c>
      <c r="T472" s="63">
        <f t="shared" si="87"/>
        <v>-4.5581802274715685E-2</v>
      </c>
    </row>
    <row r="473" spans="1:20" x14ac:dyDescent="0.3">
      <c r="A473" s="18" t="s">
        <v>163</v>
      </c>
      <c r="B473" s="18" t="s">
        <v>164</v>
      </c>
      <c r="C473" s="18" t="s">
        <v>124</v>
      </c>
      <c r="D473" s="18" t="s">
        <v>121</v>
      </c>
      <c r="E473" s="61">
        <v>2020</v>
      </c>
      <c r="F473" s="62">
        <v>1090900000</v>
      </c>
      <c r="G473" s="62">
        <v>-1936900000</v>
      </c>
      <c r="H473" s="62">
        <v>198416000</v>
      </c>
      <c r="I473" s="62">
        <v>198416000</v>
      </c>
      <c r="J473" s="62">
        <f t="shared" si="77"/>
        <v>5.4980445125393116</v>
      </c>
      <c r="K473" s="62">
        <f t="shared" si="78"/>
        <v>-9.7618135634223044</v>
      </c>
      <c r="L473" s="63">
        <f t="shared" si="79"/>
        <v>-2.7755064625538548</v>
      </c>
      <c r="M473" s="63">
        <f t="shared" si="80"/>
        <v>0</v>
      </c>
      <c r="N473" s="63">
        <f t="shared" si="81"/>
        <v>-2.7755064625538548</v>
      </c>
      <c r="O473" s="62">
        <f t="shared" si="82"/>
        <v>-9.7618135634223044</v>
      </c>
      <c r="P473" s="62">
        <f t="shared" si="83"/>
        <v>-15.259858075961617</v>
      </c>
      <c r="Q473" s="62">
        <f t="shared" si="84"/>
        <v>0</v>
      </c>
      <c r="R473" s="63">
        <f t="shared" si="85"/>
        <v>-2.7755064625538548</v>
      </c>
      <c r="S473" s="63">
        <f t="shared" si="86"/>
        <v>0</v>
      </c>
      <c r="T473" s="63">
        <f t="shared" si="87"/>
        <v>-2.7755064625538548</v>
      </c>
    </row>
    <row r="474" spans="1:20" x14ac:dyDescent="0.3">
      <c r="A474" s="18" t="s">
        <v>163</v>
      </c>
      <c r="B474" s="18" t="s">
        <v>164</v>
      </c>
      <c r="C474" s="18" t="s">
        <v>124</v>
      </c>
      <c r="D474" s="18" t="s">
        <v>121</v>
      </c>
      <c r="E474" s="61">
        <v>2021</v>
      </c>
      <c r="F474" s="62">
        <v>-1936900000</v>
      </c>
      <c r="G474" s="62">
        <v>1759000000</v>
      </c>
      <c r="H474" s="62">
        <v>198416000</v>
      </c>
      <c r="I474" s="62">
        <v>197308000</v>
      </c>
      <c r="J474" s="62">
        <f t="shared" si="77"/>
        <v>-9.7618135634223044</v>
      </c>
      <c r="K474" s="62">
        <f t="shared" si="78"/>
        <v>8.9149958440610622</v>
      </c>
      <c r="L474" s="63">
        <f t="shared" si="79"/>
        <v>1.9081522019722237</v>
      </c>
      <c r="M474" s="63">
        <f t="shared" si="80"/>
        <v>-5.5842270784614142E-3</v>
      </c>
      <c r="N474" s="63">
        <f t="shared" si="81"/>
        <v>1.9132520085679281</v>
      </c>
      <c r="O474" s="62">
        <f t="shared" si="82"/>
        <v>8.8652124828642851</v>
      </c>
      <c r="P474" s="62">
        <f t="shared" si="83"/>
        <v>18.627026046286588</v>
      </c>
      <c r="Q474" s="62">
        <f t="shared" si="84"/>
        <v>4.9783361196777065E-2</v>
      </c>
      <c r="R474" s="63">
        <f t="shared" si="85"/>
        <v>1.9081522019722235</v>
      </c>
      <c r="S474" s="63">
        <f t="shared" si="86"/>
        <v>5.0998065957043306E-3</v>
      </c>
      <c r="T474" s="63">
        <f t="shared" si="87"/>
        <v>1.9132520085679279</v>
      </c>
    </row>
    <row r="475" spans="1:20" x14ac:dyDescent="0.3">
      <c r="A475" s="18" t="s">
        <v>163</v>
      </c>
      <c r="B475" s="18" t="s">
        <v>164</v>
      </c>
      <c r="C475" s="18" t="s">
        <v>124</v>
      </c>
      <c r="D475" s="18" t="s">
        <v>121</v>
      </c>
      <c r="E475" s="61">
        <v>2022</v>
      </c>
      <c r="F475" s="62">
        <v>1759000000</v>
      </c>
      <c r="G475" s="62">
        <v>1596600000</v>
      </c>
      <c r="H475" s="62">
        <v>197308000</v>
      </c>
      <c r="I475" s="62">
        <v>189028000</v>
      </c>
      <c r="J475" s="62">
        <f t="shared" si="77"/>
        <v>8.9149958440610622</v>
      </c>
      <c r="K475" s="62">
        <f t="shared" si="78"/>
        <v>8.4463677338806953</v>
      </c>
      <c r="L475" s="63">
        <f t="shared" si="79"/>
        <v>-9.2325184764070492E-2</v>
      </c>
      <c r="M475" s="63">
        <f t="shared" si="80"/>
        <v>-4.1964846838445473E-2</v>
      </c>
      <c r="N475" s="63">
        <f t="shared" si="81"/>
        <v>-5.2566273543756578E-2</v>
      </c>
      <c r="O475" s="62">
        <f t="shared" si="82"/>
        <v>8.0919172055872046</v>
      </c>
      <c r="P475" s="62">
        <f t="shared" si="83"/>
        <v>-0.82307863847385754</v>
      </c>
      <c r="Q475" s="62">
        <f t="shared" si="84"/>
        <v>0.35445052829349066</v>
      </c>
      <c r="R475" s="63">
        <f t="shared" si="85"/>
        <v>-9.2325184764070423E-2</v>
      </c>
      <c r="S475" s="63">
        <f t="shared" si="86"/>
        <v>3.9758911220313845E-2</v>
      </c>
      <c r="T475" s="63">
        <f t="shared" si="87"/>
        <v>-5.2566273543756578E-2</v>
      </c>
    </row>
    <row r="476" spans="1:20" x14ac:dyDescent="0.3">
      <c r="A476" s="18" t="s">
        <v>163</v>
      </c>
      <c r="B476" s="18" t="s">
        <v>164</v>
      </c>
      <c r="C476" s="18" t="s">
        <v>124</v>
      </c>
      <c r="D476" s="18" t="s">
        <v>121</v>
      </c>
      <c r="E476" s="61">
        <v>2023</v>
      </c>
      <c r="F476" s="62">
        <v>1596600000</v>
      </c>
      <c r="G476" s="62">
        <v>1928900000</v>
      </c>
      <c r="H476" s="62">
        <v>189028000</v>
      </c>
      <c r="I476" s="62">
        <v>185008000</v>
      </c>
      <c r="J476" s="62">
        <f t="shared" si="77"/>
        <v>8.4463677338806953</v>
      </c>
      <c r="K476" s="62">
        <f t="shared" si="78"/>
        <v>10.426035630891636</v>
      </c>
      <c r="L476" s="63">
        <f t="shared" si="79"/>
        <v>0.20812977577351874</v>
      </c>
      <c r="M476" s="63">
        <f t="shared" si="80"/>
        <v>-2.1266690649004379E-2</v>
      </c>
      <c r="N476" s="63">
        <f t="shared" si="81"/>
        <v>0.23438097409256181</v>
      </c>
      <c r="O476" s="62">
        <f t="shared" si="82"/>
        <v>10.204308356433968</v>
      </c>
      <c r="P476" s="62">
        <f t="shared" si="83"/>
        <v>1.7579406225532725</v>
      </c>
      <c r="Q476" s="62">
        <f t="shared" si="84"/>
        <v>0.2217272744576686</v>
      </c>
      <c r="R476" s="63">
        <f t="shared" si="85"/>
        <v>0.20812977577351871</v>
      </c>
      <c r="S476" s="63">
        <f t="shared" si="86"/>
        <v>2.6251198319043077E-2</v>
      </c>
      <c r="T476" s="63">
        <f t="shared" si="87"/>
        <v>0.23438097409256178</v>
      </c>
    </row>
    <row r="477" spans="1:20" x14ac:dyDescent="0.3">
      <c r="A477" s="18" t="s">
        <v>163</v>
      </c>
      <c r="B477" s="18" t="s">
        <v>164</v>
      </c>
      <c r="C477" s="18" t="s">
        <v>124</v>
      </c>
      <c r="D477" s="18" t="s">
        <v>121</v>
      </c>
      <c r="E477" s="61">
        <v>2024</v>
      </c>
      <c r="F477" s="62">
        <v>1928900000</v>
      </c>
      <c r="G477" s="62">
        <v>1781800000</v>
      </c>
      <c r="H477" s="62">
        <v>185008000</v>
      </c>
      <c r="I477" s="62">
        <v>184260047</v>
      </c>
      <c r="J477" s="62">
        <f t="shared" si="77"/>
        <v>10.426035630891636</v>
      </c>
      <c r="K477" s="62">
        <f t="shared" si="78"/>
        <v>9.670029010684015</v>
      </c>
      <c r="L477" s="63">
        <f t="shared" si="79"/>
        <v>-7.6261081445383377E-2</v>
      </c>
      <c r="M477" s="63">
        <f t="shared" si="80"/>
        <v>-4.0428143647842259E-3</v>
      </c>
      <c r="N477" s="63">
        <f t="shared" si="81"/>
        <v>-7.2511417279989443E-2</v>
      </c>
      <c r="O477" s="62">
        <f t="shared" si="82"/>
        <v>9.6309348784917415</v>
      </c>
      <c r="P477" s="62">
        <f t="shared" si="83"/>
        <v>-0.79510075239989497</v>
      </c>
      <c r="Q477" s="62">
        <f t="shared" si="84"/>
        <v>3.9094132192273534E-2</v>
      </c>
      <c r="R477" s="63">
        <f t="shared" si="85"/>
        <v>-7.6261081445383266E-2</v>
      </c>
      <c r="S477" s="63">
        <f t="shared" si="86"/>
        <v>3.7496641653938217E-3</v>
      </c>
      <c r="T477" s="63">
        <f t="shared" si="87"/>
        <v>-7.2511417279989443E-2</v>
      </c>
    </row>
    <row r="478" spans="1:20" x14ac:dyDescent="0.3">
      <c r="A478" s="18" t="s">
        <v>165</v>
      </c>
      <c r="B478" s="18" t="s">
        <v>166</v>
      </c>
      <c r="C478" s="18" t="s">
        <v>124</v>
      </c>
      <c r="D478" s="18" t="s">
        <v>121</v>
      </c>
      <c r="E478" s="61">
        <v>2016</v>
      </c>
      <c r="F478" s="62">
        <v>1921000000</v>
      </c>
      <c r="G478" s="62">
        <v>2053000000</v>
      </c>
      <c r="H478" s="62">
        <v>434278187</v>
      </c>
      <c r="I478" s="62">
        <v>434278198</v>
      </c>
      <c r="J478" s="62">
        <f t="shared" si="77"/>
        <v>4.4234319325828819</v>
      </c>
      <c r="K478" s="62">
        <f t="shared" si="78"/>
        <v>4.7273844495412591</v>
      </c>
      <c r="L478" s="63">
        <f t="shared" si="79"/>
        <v>6.8714211348256116E-2</v>
      </c>
      <c r="M478" s="63">
        <f t="shared" si="80"/>
        <v>2.5329386391677093E-8</v>
      </c>
      <c r="N478" s="63">
        <f t="shared" si="81"/>
        <v>6.8714184278381468E-2</v>
      </c>
      <c r="O478" s="62">
        <f t="shared" si="82"/>
        <v>4.7273845692830063</v>
      </c>
      <c r="P478" s="62">
        <f t="shared" si="83"/>
        <v>0.3039526367001244</v>
      </c>
      <c r="Q478" s="62">
        <f t="shared" si="84"/>
        <v>-1.1974174718432096E-7</v>
      </c>
      <c r="R478" s="63">
        <f t="shared" si="85"/>
        <v>6.8714211348255949E-2</v>
      </c>
      <c r="S478" s="63">
        <f t="shared" si="86"/>
        <v>-2.706987447965604E-8</v>
      </c>
      <c r="T478" s="63">
        <f t="shared" si="87"/>
        <v>6.8714184278381468E-2</v>
      </c>
    </row>
    <row r="479" spans="1:20" x14ac:dyDescent="0.3">
      <c r="A479" s="18" t="s">
        <v>165</v>
      </c>
      <c r="B479" s="18" t="s">
        <v>166</v>
      </c>
      <c r="C479" s="18" t="s">
        <v>124</v>
      </c>
      <c r="D479" s="18" t="s">
        <v>121</v>
      </c>
      <c r="E479" s="61">
        <v>2017</v>
      </c>
      <c r="F479" s="62">
        <v>2053000000</v>
      </c>
      <c r="G479" s="62">
        <v>2519000000</v>
      </c>
      <c r="H479" s="62">
        <v>434278198</v>
      </c>
      <c r="I479" s="62">
        <v>434278198</v>
      </c>
      <c r="J479" s="62">
        <f t="shared" si="77"/>
        <v>4.7273844495412591</v>
      </c>
      <c r="K479" s="62">
        <f t="shared" si="78"/>
        <v>5.8004293367727389</v>
      </c>
      <c r="L479" s="63">
        <f t="shared" si="79"/>
        <v>0.22698490014612763</v>
      </c>
      <c r="M479" s="63">
        <f t="shared" si="80"/>
        <v>0</v>
      </c>
      <c r="N479" s="63">
        <f t="shared" si="81"/>
        <v>0.22698490014612774</v>
      </c>
      <c r="O479" s="62">
        <f t="shared" si="82"/>
        <v>5.8004293367727389</v>
      </c>
      <c r="P479" s="62">
        <f t="shared" si="83"/>
        <v>1.0730448872314797</v>
      </c>
      <c r="Q479" s="62">
        <f t="shared" si="84"/>
        <v>0</v>
      </c>
      <c r="R479" s="63">
        <f t="shared" si="85"/>
        <v>0.22698490014612774</v>
      </c>
      <c r="S479" s="63">
        <f t="shared" si="86"/>
        <v>0</v>
      </c>
      <c r="T479" s="63">
        <f t="shared" si="87"/>
        <v>0.22698490014612774</v>
      </c>
    </row>
    <row r="480" spans="1:20" x14ac:dyDescent="0.3">
      <c r="A480" s="18" t="s">
        <v>165</v>
      </c>
      <c r="B480" s="18" t="s">
        <v>166</v>
      </c>
      <c r="C480" s="18" t="s">
        <v>124</v>
      </c>
      <c r="D480" s="18" t="s">
        <v>121</v>
      </c>
      <c r="E480" s="61">
        <v>2018</v>
      </c>
      <c r="F480" s="62">
        <v>2519000000</v>
      </c>
      <c r="G480" s="62">
        <v>2314000000</v>
      </c>
      <c r="H480" s="62">
        <v>434278198</v>
      </c>
      <c r="I480" s="62">
        <v>434278198</v>
      </c>
      <c r="J480" s="62">
        <f t="shared" si="77"/>
        <v>5.8004293367727389</v>
      </c>
      <c r="K480" s="62">
        <f t="shared" si="78"/>
        <v>5.3283816932481605</v>
      </c>
      <c r="L480" s="63">
        <f t="shared" si="79"/>
        <v>-8.1381500595474401E-2</v>
      </c>
      <c r="M480" s="63">
        <f t="shared" si="80"/>
        <v>0</v>
      </c>
      <c r="N480" s="63">
        <f t="shared" si="81"/>
        <v>-8.1381500595474499E-2</v>
      </c>
      <c r="O480" s="62">
        <f t="shared" si="82"/>
        <v>5.3283816932481605</v>
      </c>
      <c r="P480" s="62">
        <f t="shared" si="83"/>
        <v>-0.4720476435245784</v>
      </c>
      <c r="Q480" s="62">
        <f t="shared" si="84"/>
        <v>0</v>
      </c>
      <c r="R480" s="63">
        <f t="shared" si="85"/>
        <v>-8.1381500595474499E-2</v>
      </c>
      <c r="S480" s="63">
        <f t="shared" si="86"/>
        <v>0</v>
      </c>
      <c r="T480" s="63">
        <f t="shared" si="87"/>
        <v>-8.1381500595474499E-2</v>
      </c>
    </row>
    <row r="481" spans="1:20" x14ac:dyDescent="0.3">
      <c r="A481" s="18" t="s">
        <v>165</v>
      </c>
      <c r="B481" s="18" t="s">
        <v>166</v>
      </c>
      <c r="C481" s="18" t="s">
        <v>124</v>
      </c>
      <c r="D481" s="18" t="s">
        <v>121</v>
      </c>
      <c r="E481" s="61">
        <v>2019</v>
      </c>
      <c r="F481" s="62">
        <v>2314000000</v>
      </c>
      <c r="G481" s="62">
        <v>2085000000</v>
      </c>
      <c r="H481" s="62">
        <v>434278198</v>
      </c>
      <c r="I481" s="62">
        <v>434278198</v>
      </c>
      <c r="J481" s="62">
        <f t="shared" si="77"/>
        <v>5.3283816932481605</v>
      </c>
      <c r="K481" s="62">
        <f t="shared" si="78"/>
        <v>4.8010699353597301</v>
      </c>
      <c r="L481" s="63">
        <f t="shared" si="79"/>
        <v>-9.8962834917891096E-2</v>
      </c>
      <c r="M481" s="63">
        <f t="shared" si="80"/>
        <v>0</v>
      </c>
      <c r="N481" s="63">
        <f t="shared" si="81"/>
        <v>-9.8962834917891013E-2</v>
      </c>
      <c r="O481" s="62">
        <f t="shared" si="82"/>
        <v>4.8010699353597301</v>
      </c>
      <c r="P481" s="62">
        <f t="shared" si="83"/>
        <v>-0.52731175788843032</v>
      </c>
      <c r="Q481" s="62">
        <f t="shared" si="84"/>
        <v>0</v>
      </c>
      <c r="R481" s="63">
        <f t="shared" si="85"/>
        <v>-9.8962834917891013E-2</v>
      </c>
      <c r="S481" s="63">
        <f t="shared" si="86"/>
        <v>0</v>
      </c>
      <c r="T481" s="63">
        <f t="shared" si="87"/>
        <v>-9.8962834917891013E-2</v>
      </c>
    </row>
    <row r="482" spans="1:20" x14ac:dyDescent="0.3">
      <c r="A482" s="18" t="s">
        <v>165</v>
      </c>
      <c r="B482" s="18" t="s">
        <v>166</v>
      </c>
      <c r="C482" s="18" t="s">
        <v>124</v>
      </c>
      <c r="D482" s="18" t="s">
        <v>121</v>
      </c>
      <c r="E482" s="61">
        <v>2020</v>
      </c>
      <c r="F482" s="62">
        <v>2085000000</v>
      </c>
      <c r="G482" s="62">
        <v>1408000000</v>
      </c>
      <c r="H482" s="62">
        <v>434278198</v>
      </c>
      <c r="I482" s="62">
        <v>434278198</v>
      </c>
      <c r="J482" s="62">
        <f t="shared" si="77"/>
        <v>4.8010699353597301</v>
      </c>
      <c r="K482" s="62">
        <f t="shared" si="78"/>
        <v>3.2421613760127097</v>
      </c>
      <c r="L482" s="63">
        <f t="shared" si="79"/>
        <v>-0.32470023980815349</v>
      </c>
      <c r="M482" s="63">
        <f t="shared" si="80"/>
        <v>0</v>
      </c>
      <c r="N482" s="63">
        <f t="shared" si="81"/>
        <v>-0.32470023980815349</v>
      </c>
      <c r="O482" s="62">
        <f t="shared" si="82"/>
        <v>3.2421613760127097</v>
      </c>
      <c r="P482" s="62">
        <f t="shared" si="83"/>
        <v>-1.5589085593470204</v>
      </c>
      <c r="Q482" s="62">
        <f t="shared" si="84"/>
        <v>0</v>
      </c>
      <c r="R482" s="63">
        <f t="shared" si="85"/>
        <v>-0.32470023980815349</v>
      </c>
      <c r="S482" s="63">
        <f t="shared" si="86"/>
        <v>0</v>
      </c>
      <c r="T482" s="63">
        <f t="shared" si="87"/>
        <v>-0.32470023980815349</v>
      </c>
    </row>
    <row r="483" spans="1:20" x14ac:dyDescent="0.3">
      <c r="A483" s="18" t="s">
        <v>165</v>
      </c>
      <c r="B483" s="18" t="s">
        <v>166</v>
      </c>
      <c r="C483" s="18" t="s">
        <v>124</v>
      </c>
      <c r="D483" s="18" t="s">
        <v>121</v>
      </c>
      <c r="E483" s="61">
        <v>2021</v>
      </c>
      <c r="F483" s="62">
        <v>1408000000</v>
      </c>
      <c r="G483" s="62">
        <v>1634000000</v>
      </c>
      <c r="H483" s="62">
        <v>434278198</v>
      </c>
      <c r="I483" s="62">
        <v>434278198</v>
      </c>
      <c r="J483" s="62">
        <f t="shared" si="77"/>
        <v>3.2421613760127097</v>
      </c>
      <c r="K483" s="62">
        <f t="shared" si="78"/>
        <v>3.7625651196056586</v>
      </c>
      <c r="L483" s="63">
        <f t="shared" si="79"/>
        <v>0.16051136363636365</v>
      </c>
      <c r="M483" s="63">
        <f t="shared" si="80"/>
        <v>0</v>
      </c>
      <c r="N483" s="63">
        <f t="shared" si="81"/>
        <v>0.16051136363636356</v>
      </c>
      <c r="O483" s="62">
        <f t="shared" si="82"/>
        <v>3.7625651196056586</v>
      </c>
      <c r="P483" s="62">
        <f t="shared" si="83"/>
        <v>0.52040374359294894</v>
      </c>
      <c r="Q483" s="62">
        <f t="shared" si="84"/>
        <v>0</v>
      </c>
      <c r="R483" s="63">
        <f t="shared" si="85"/>
        <v>0.16051136363636356</v>
      </c>
      <c r="S483" s="63">
        <f t="shared" si="86"/>
        <v>0</v>
      </c>
      <c r="T483" s="63">
        <f t="shared" si="87"/>
        <v>0.16051136363636356</v>
      </c>
    </row>
    <row r="484" spans="1:20" x14ac:dyDescent="0.3">
      <c r="A484" s="18" t="s">
        <v>165</v>
      </c>
      <c r="B484" s="18" t="s">
        <v>166</v>
      </c>
      <c r="C484" s="18" t="s">
        <v>124</v>
      </c>
      <c r="D484" s="18" t="s">
        <v>121</v>
      </c>
      <c r="E484" s="61">
        <v>2022</v>
      </c>
      <c r="F484" s="62">
        <v>1634000000</v>
      </c>
      <c r="G484" s="62">
        <v>1259000000</v>
      </c>
      <c r="H484" s="62">
        <v>434278198</v>
      </c>
      <c r="I484" s="62">
        <v>428416547</v>
      </c>
      <c r="J484" s="62">
        <f t="shared" si="77"/>
        <v>3.7625651196056586</v>
      </c>
      <c r="K484" s="62">
        <f t="shared" si="78"/>
        <v>2.9387286948092601</v>
      </c>
      <c r="L484" s="63">
        <f t="shared" si="79"/>
        <v>-0.22949816401468789</v>
      </c>
      <c r="M484" s="63">
        <f t="shared" si="80"/>
        <v>-1.3497456301041389E-2</v>
      </c>
      <c r="N484" s="63">
        <f t="shared" si="81"/>
        <v>-0.21895605753203334</v>
      </c>
      <c r="O484" s="62">
        <f t="shared" si="82"/>
        <v>2.8990633326704556</v>
      </c>
      <c r="P484" s="62">
        <f t="shared" si="83"/>
        <v>-0.86350178693520308</v>
      </c>
      <c r="Q484" s="62">
        <f t="shared" si="84"/>
        <v>3.9665362138804561E-2</v>
      </c>
      <c r="R484" s="63">
        <f t="shared" si="85"/>
        <v>-0.22949816401468787</v>
      </c>
      <c r="S484" s="63">
        <f t="shared" si="86"/>
        <v>1.0542106482654511E-2</v>
      </c>
      <c r="T484" s="63">
        <f t="shared" si="87"/>
        <v>-0.21895605753203334</v>
      </c>
    </row>
    <row r="485" spans="1:20" x14ac:dyDescent="0.3">
      <c r="A485" s="18" t="s">
        <v>165</v>
      </c>
      <c r="B485" s="18" t="s">
        <v>166</v>
      </c>
      <c r="C485" s="18" t="s">
        <v>124</v>
      </c>
      <c r="D485" s="18" t="s">
        <v>121</v>
      </c>
      <c r="E485" s="61">
        <v>2023</v>
      </c>
      <c r="F485" s="62">
        <v>1259000000</v>
      </c>
      <c r="G485" s="62">
        <v>1318000000</v>
      </c>
      <c r="H485" s="62">
        <v>428416547</v>
      </c>
      <c r="I485" s="62">
        <v>421086262</v>
      </c>
      <c r="J485" s="62">
        <f t="shared" si="77"/>
        <v>2.9387286948092601</v>
      </c>
      <c r="K485" s="62">
        <f t="shared" si="78"/>
        <v>3.1299999998575112</v>
      </c>
      <c r="L485" s="63">
        <f t="shared" si="79"/>
        <v>4.6862589356632248E-2</v>
      </c>
      <c r="M485" s="63">
        <f t="shared" si="80"/>
        <v>-1.7110181787632961E-2</v>
      </c>
      <c r="N485" s="63">
        <f t="shared" si="81"/>
        <v>6.5086411476533268E-2</v>
      </c>
      <c r="O485" s="62">
        <f t="shared" si="82"/>
        <v>3.0764451308646583</v>
      </c>
      <c r="P485" s="62">
        <f t="shared" si="83"/>
        <v>0.13771643605539818</v>
      </c>
      <c r="Q485" s="62">
        <f t="shared" si="84"/>
        <v>5.3554868992852889E-2</v>
      </c>
      <c r="R485" s="63">
        <f t="shared" si="85"/>
        <v>4.6862589356632241E-2</v>
      </c>
      <c r="S485" s="63">
        <f t="shared" si="86"/>
        <v>1.8223822119901034E-2</v>
      </c>
      <c r="T485" s="63">
        <f t="shared" si="87"/>
        <v>6.5086411476533268E-2</v>
      </c>
    </row>
    <row r="486" spans="1:20" x14ac:dyDescent="0.3">
      <c r="A486" s="18" t="s">
        <v>165</v>
      </c>
      <c r="B486" s="18" t="s">
        <v>166</v>
      </c>
      <c r="C486" s="18" t="s">
        <v>124</v>
      </c>
      <c r="D486" s="18" t="s">
        <v>121</v>
      </c>
      <c r="E486" s="61">
        <v>2024</v>
      </c>
      <c r="F486" s="62">
        <v>1318000000</v>
      </c>
      <c r="G486" s="62">
        <v>2007000000</v>
      </c>
      <c r="H486" s="62">
        <v>421086262</v>
      </c>
      <c r="I486" s="62">
        <v>419874477</v>
      </c>
      <c r="J486" s="62">
        <f t="shared" si="77"/>
        <v>3.1299999998575112</v>
      </c>
      <c r="K486" s="62">
        <f t="shared" si="78"/>
        <v>4.7799999998571003</v>
      </c>
      <c r="L486" s="63">
        <f t="shared" si="79"/>
        <v>0.52276176024279208</v>
      </c>
      <c r="M486" s="63">
        <f t="shared" si="80"/>
        <v>-2.8777595218720292E-3</v>
      </c>
      <c r="N486" s="63">
        <f t="shared" si="81"/>
        <v>0.52715654954463353</v>
      </c>
      <c r="O486" s="62">
        <f t="shared" si="82"/>
        <v>4.7662443093429632</v>
      </c>
      <c r="P486" s="62">
        <f t="shared" si="83"/>
        <v>1.636244309485452</v>
      </c>
      <c r="Q486" s="62">
        <f t="shared" si="84"/>
        <v>1.3755690514137164E-2</v>
      </c>
      <c r="R486" s="63">
        <f t="shared" si="85"/>
        <v>0.5227617602427922</v>
      </c>
      <c r="S486" s="63">
        <f t="shared" si="86"/>
        <v>4.3947893018413328E-3</v>
      </c>
      <c r="T486" s="63">
        <f t="shared" si="87"/>
        <v>0.52715654954463353</v>
      </c>
    </row>
    <row r="487" spans="1:20" x14ac:dyDescent="0.3">
      <c r="A487" s="18" t="s">
        <v>167</v>
      </c>
      <c r="B487" s="18" t="s">
        <v>168</v>
      </c>
      <c r="C487" s="18" t="s">
        <v>124</v>
      </c>
      <c r="D487" s="18" t="s">
        <v>121</v>
      </c>
      <c r="E487" s="61">
        <v>2016</v>
      </c>
      <c r="F487" s="62">
        <v>632000000</v>
      </c>
      <c r="G487" s="62">
        <v>744000000</v>
      </c>
      <c r="H487" s="62">
        <v>1122600000</v>
      </c>
      <c r="I487" s="62">
        <v>1125200000</v>
      </c>
      <c r="J487" s="62">
        <f t="shared" si="77"/>
        <v>0.5629787992161055</v>
      </c>
      <c r="K487" s="62">
        <f t="shared" si="78"/>
        <v>0.66121578386064694</v>
      </c>
      <c r="L487" s="63">
        <f t="shared" si="79"/>
        <v>0.17721518987341772</v>
      </c>
      <c r="M487" s="63">
        <f t="shared" si="80"/>
        <v>2.3160520220915732E-3</v>
      </c>
      <c r="N487" s="63">
        <f t="shared" si="81"/>
        <v>0.17449499835753515</v>
      </c>
      <c r="O487" s="62">
        <f t="shared" si="82"/>
        <v>0.66274719401389626</v>
      </c>
      <c r="P487" s="62">
        <f t="shared" si="83"/>
        <v>9.976839479779076E-2</v>
      </c>
      <c r="Q487" s="62">
        <f t="shared" si="84"/>
        <v>-1.531410153249313E-3</v>
      </c>
      <c r="R487" s="63">
        <f t="shared" si="85"/>
        <v>0.17721518987341756</v>
      </c>
      <c r="S487" s="63">
        <f t="shared" si="86"/>
        <v>-2.720191515882403E-3</v>
      </c>
      <c r="T487" s="63">
        <f t="shared" si="87"/>
        <v>0.17449499835753515</v>
      </c>
    </row>
    <row r="488" spans="1:20" x14ac:dyDescent="0.3">
      <c r="A488" s="18" t="s">
        <v>167</v>
      </c>
      <c r="B488" s="18" t="s">
        <v>168</v>
      </c>
      <c r="C488" s="18" t="s">
        <v>124</v>
      </c>
      <c r="D488" s="18" t="s">
        <v>121</v>
      </c>
      <c r="E488" s="61">
        <v>2017</v>
      </c>
      <c r="F488" s="62">
        <v>744000000</v>
      </c>
      <c r="G488" s="62">
        <v>790000000</v>
      </c>
      <c r="H488" s="62">
        <v>1125200000</v>
      </c>
      <c r="I488" s="62">
        <v>1128600000</v>
      </c>
      <c r="J488" s="62">
        <f t="shared" si="77"/>
        <v>0.66121578386064694</v>
      </c>
      <c r="K488" s="62">
        <f t="shared" si="78"/>
        <v>0.69998227892964737</v>
      </c>
      <c r="L488" s="63">
        <f t="shared" si="79"/>
        <v>6.1827956989247312E-2</v>
      </c>
      <c r="M488" s="63">
        <f t="shared" si="80"/>
        <v>3.0216850337717741E-3</v>
      </c>
      <c r="N488" s="63">
        <f t="shared" si="81"/>
        <v>5.8629113241450655E-2</v>
      </c>
      <c r="O488" s="62">
        <f t="shared" si="82"/>
        <v>0.70209740490579453</v>
      </c>
      <c r="P488" s="62">
        <f t="shared" si="83"/>
        <v>4.0881621045147587E-2</v>
      </c>
      <c r="Q488" s="62">
        <f t="shared" si="84"/>
        <v>-2.1151259761471586E-3</v>
      </c>
      <c r="R488" s="63">
        <f t="shared" si="85"/>
        <v>6.1827956989247403E-2</v>
      </c>
      <c r="S488" s="63">
        <f t="shared" si="86"/>
        <v>-3.1988437477967514E-3</v>
      </c>
      <c r="T488" s="63">
        <f t="shared" si="87"/>
        <v>5.8629113241450648E-2</v>
      </c>
    </row>
    <row r="489" spans="1:20" x14ac:dyDescent="0.3">
      <c r="A489" s="18" t="s">
        <v>167</v>
      </c>
      <c r="B489" s="18" t="s">
        <v>168</v>
      </c>
      <c r="C489" s="18" t="s">
        <v>124</v>
      </c>
      <c r="D489" s="18" t="s">
        <v>121</v>
      </c>
      <c r="E489" s="61">
        <v>2018</v>
      </c>
      <c r="F489" s="62">
        <v>790000000</v>
      </c>
      <c r="G489" s="62">
        <v>1075000000</v>
      </c>
      <c r="H489" s="62">
        <v>1128600000</v>
      </c>
      <c r="I489" s="62">
        <v>1130500000</v>
      </c>
      <c r="J489" s="62">
        <f t="shared" si="77"/>
        <v>0.69998227892964737</v>
      </c>
      <c r="K489" s="62">
        <f t="shared" si="78"/>
        <v>0.95090667846085808</v>
      </c>
      <c r="L489" s="63">
        <f t="shared" si="79"/>
        <v>0.36075949367088606</v>
      </c>
      <c r="M489" s="63">
        <f t="shared" si="80"/>
        <v>1.6835016835016834E-3</v>
      </c>
      <c r="N489" s="63">
        <f t="shared" si="81"/>
        <v>0.35847250292522076</v>
      </c>
      <c r="O489" s="62">
        <f t="shared" si="82"/>
        <v>0.95250753145489986</v>
      </c>
      <c r="P489" s="62">
        <f t="shared" si="83"/>
        <v>0.25252525252525249</v>
      </c>
      <c r="Q489" s="62">
        <f t="shared" si="84"/>
        <v>-1.6008529940417793E-3</v>
      </c>
      <c r="R489" s="63">
        <f t="shared" si="85"/>
        <v>0.360759493670886</v>
      </c>
      <c r="S489" s="63">
        <f t="shared" si="86"/>
        <v>-2.2869907456652557E-3</v>
      </c>
      <c r="T489" s="63">
        <f t="shared" si="87"/>
        <v>0.35847250292522076</v>
      </c>
    </row>
    <row r="490" spans="1:20" x14ac:dyDescent="0.3">
      <c r="A490" s="18" t="s">
        <v>167</v>
      </c>
      <c r="B490" s="18" t="s">
        <v>168</v>
      </c>
      <c r="C490" s="18" t="s">
        <v>124</v>
      </c>
      <c r="D490" s="18" t="s">
        <v>121</v>
      </c>
      <c r="E490" s="61">
        <v>2019</v>
      </c>
      <c r="F490" s="62">
        <v>1075000000</v>
      </c>
      <c r="G490" s="62">
        <v>870000000</v>
      </c>
      <c r="H490" s="62">
        <v>1130500000</v>
      </c>
      <c r="I490" s="62">
        <v>1163400000</v>
      </c>
      <c r="J490" s="62">
        <f t="shared" si="77"/>
        <v>0.95090667846085808</v>
      </c>
      <c r="K490" s="62">
        <f t="shared" si="78"/>
        <v>0.74780814853017019</v>
      </c>
      <c r="L490" s="63">
        <f t="shared" si="79"/>
        <v>-0.19069767441860466</v>
      </c>
      <c r="M490" s="63">
        <f t="shared" si="80"/>
        <v>2.910216718266254E-2</v>
      </c>
      <c r="N490" s="63">
        <f t="shared" si="81"/>
        <v>-0.21358408194106293</v>
      </c>
      <c r="O490" s="62">
        <f t="shared" si="82"/>
        <v>0.76957098628925258</v>
      </c>
      <c r="P490" s="62">
        <f t="shared" si="83"/>
        <v>-0.1813356921716055</v>
      </c>
      <c r="Q490" s="62">
        <f t="shared" si="84"/>
        <v>-2.1762837759082387E-2</v>
      </c>
      <c r="R490" s="63">
        <f t="shared" si="85"/>
        <v>-0.19069767441860466</v>
      </c>
      <c r="S490" s="63">
        <f t="shared" si="86"/>
        <v>-2.2886407522458269E-2</v>
      </c>
      <c r="T490" s="63">
        <f t="shared" si="87"/>
        <v>-0.21358408194106293</v>
      </c>
    </row>
    <row r="491" spans="1:20" x14ac:dyDescent="0.3">
      <c r="A491" s="18" t="s">
        <v>167</v>
      </c>
      <c r="B491" s="18" t="s">
        <v>168</v>
      </c>
      <c r="C491" s="18" t="s">
        <v>124</v>
      </c>
      <c r="D491" s="18" t="s">
        <v>121</v>
      </c>
      <c r="E491" s="61">
        <v>2020</v>
      </c>
      <c r="F491" s="62">
        <v>870000000</v>
      </c>
      <c r="G491" s="62">
        <v>368000000</v>
      </c>
      <c r="H491" s="62">
        <v>1163400000</v>
      </c>
      <c r="I491" s="62">
        <v>1264500000</v>
      </c>
      <c r="J491" s="62">
        <f t="shared" si="77"/>
        <v>0.74780814853017019</v>
      </c>
      <c r="K491" s="62">
        <f t="shared" si="78"/>
        <v>0.29102412020561486</v>
      </c>
      <c r="L491" s="63">
        <f t="shared" si="79"/>
        <v>-0.57701149425287357</v>
      </c>
      <c r="M491" s="63">
        <f t="shared" si="80"/>
        <v>8.6900464156781848E-2</v>
      </c>
      <c r="N491" s="63">
        <f t="shared" si="81"/>
        <v>-0.61083050408366402</v>
      </c>
      <c r="O491" s="62">
        <f t="shared" si="82"/>
        <v>0.3163142513323019</v>
      </c>
      <c r="P491" s="62">
        <f t="shared" si="83"/>
        <v>-0.43149389719786829</v>
      </c>
      <c r="Q491" s="62">
        <f t="shared" si="84"/>
        <v>-2.5290131126687043E-2</v>
      </c>
      <c r="R491" s="63">
        <f t="shared" si="85"/>
        <v>-0.57701149425287357</v>
      </c>
      <c r="S491" s="63">
        <f t="shared" si="86"/>
        <v>-3.3819009830790468E-2</v>
      </c>
      <c r="T491" s="63">
        <f t="shared" si="87"/>
        <v>-0.61083050408366402</v>
      </c>
    </row>
    <row r="492" spans="1:20" x14ac:dyDescent="0.3">
      <c r="A492" s="18" t="s">
        <v>167</v>
      </c>
      <c r="B492" s="18" t="s">
        <v>168</v>
      </c>
      <c r="C492" s="18" t="s">
        <v>124</v>
      </c>
      <c r="D492" s="18" t="s">
        <v>121</v>
      </c>
      <c r="E492" s="61">
        <v>2021</v>
      </c>
      <c r="F492" s="62">
        <v>368000000</v>
      </c>
      <c r="G492" s="62">
        <v>1169000000</v>
      </c>
      <c r="H492" s="62">
        <v>1264500000</v>
      </c>
      <c r="I492" s="62">
        <v>1301200000</v>
      </c>
      <c r="J492" s="62">
        <f t="shared" si="77"/>
        <v>0.29102412020561486</v>
      </c>
      <c r="K492" s="62">
        <f t="shared" si="78"/>
        <v>0.89840147556102057</v>
      </c>
      <c r="L492" s="63">
        <f t="shared" si="79"/>
        <v>2.1766304347826089</v>
      </c>
      <c r="M492" s="63">
        <f t="shared" si="80"/>
        <v>2.9023329379201265E-2</v>
      </c>
      <c r="N492" s="63">
        <f t="shared" si="81"/>
        <v>2.0870344180622569</v>
      </c>
      <c r="O492" s="62">
        <f t="shared" si="82"/>
        <v>0.92447607750098848</v>
      </c>
      <c r="P492" s="62">
        <f t="shared" si="83"/>
        <v>0.63345195729537362</v>
      </c>
      <c r="Q492" s="62">
        <f t="shared" si="84"/>
        <v>-2.6074601939967912E-2</v>
      </c>
      <c r="R492" s="63">
        <f t="shared" si="85"/>
        <v>2.1766304347826084</v>
      </c>
      <c r="S492" s="63">
        <f t="shared" si="86"/>
        <v>-8.9596016720351696E-2</v>
      </c>
      <c r="T492" s="63">
        <f t="shared" si="87"/>
        <v>2.0870344180622569</v>
      </c>
    </row>
    <row r="493" spans="1:20" x14ac:dyDescent="0.3">
      <c r="A493" s="18" t="s">
        <v>167</v>
      </c>
      <c r="B493" s="18" t="s">
        <v>168</v>
      </c>
      <c r="C493" s="18" t="s">
        <v>124</v>
      </c>
      <c r="D493" s="18" t="s">
        <v>121</v>
      </c>
      <c r="E493" s="61">
        <v>2022</v>
      </c>
      <c r="F493" s="62">
        <v>1169000000</v>
      </c>
      <c r="G493" s="62">
        <v>2179000000</v>
      </c>
      <c r="H493" s="62">
        <v>1301200000</v>
      </c>
      <c r="I493" s="62">
        <v>1301800000</v>
      </c>
      <c r="J493" s="62">
        <f t="shared" si="77"/>
        <v>0.89840147556102057</v>
      </c>
      <c r="K493" s="62">
        <f t="shared" si="78"/>
        <v>1.6738362267629436</v>
      </c>
      <c r="L493" s="63">
        <f t="shared" si="79"/>
        <v>0.86398631308810947</v>
      </c>
      <c r="M493" s="63">
        <f t="shared" si="80"/>
        <v>4.6111281893636643E-4</v>
      </c>
      <c r="N493" s="63">
        <f t="shared" si="81"/>
        <v>0.86312720125230313</v>
      </c>
      <c r="O493" s="62">
        <f t="shared" si="82"/>
        <v>1.6746080541039041</v>
      </c>
      <c r="P493" s="62">
        <f t="shared" si="83"/>
        <v>0.77620657854288355</v>
      </c>
      <c r="Q493" s="62">
        <f t="shared" si="84"/>
        <v>-7.7182734096048478E-4</v>
      </c>
      <c r="R493" s="63">
        <f t="shared" si="85"/>
        <v>0.86398631308810958</v>
      </c>
      <c r="S493" s="63">
        <f t="shared" si="86"/>
        <v>-8.591118358064866E-4</v>
      </c>
      <c r="T493" s="63">
        <f t="shared" si="87"/>
        <v>0.86312720125230313</v>
      </c>
    </row>
    <row r="494" spans="1:20" x14ac:dyDescent="0.3">
      <c r="A494" s="18" t="s">
        <v>167</v>
      </c>
      <c r="B494" s="18" t="s">
        <v>168</v>
      </c>
      <c r="C494" s="18" t="s">
        <v>124</v>
      </c>
      <c r="D494" s="18" t="s">
        <v>121</v>
      </c>
      <c r="E494" s="61">
        <v>2023</v>
      </c>
      <c r="F494" s="62">
        <v>2179000000</v>
      </c>
      <c r="G494" s="62">
        <v>3137000000</v>
      </c>
      <c r="H494" s="62">
        <v>1301800000</v>
      </c>
      <c r="I494" s="62">
        <v>1303000000</v>
      </c>
      <c r="J494" s="62">
        <f t="shared" si="77"/>
        <v>1.6738362267629436</v>
      </c>
      <c r="K494" s="62">
        <f t="shared" si="78"/>
        <v>2.40752110514198</v>
      </c>
      <c r="L494" s="63">
        <f t="shared" si="79"/>
        <v>0.43965121615419916</v>
      </c>
      <c r="M494" s="63">
        <f t="shared" si="80"/>
        <v>9.2180058380703642E-4</v>
      </c>
      <c r="N494" s="63">
        <f t="shared" si="81"/>
        <v>0.43832536699120217</v>
      </c>
      <c r="O494" s="62">
        <f t="shared" si="82"/>
        <v>2.4097403595022278</v>
      </c>
      <c r="P494" s="62">
        <f t="shared" si="83"/>
        <v>0.73590413273928412</v>
      </c>
      <c r="Q494" s="62">
        <f t="shared" si="84"/>
        <v>-2.2192543602477244E-3</v>
      </c>
      <c r="R494" s="63">
        <f t="shared" si="85"/>
        <v>0.43965121615419922</v>
      </c>
      <c r="S494" s="63">
        <f t="shared" si="86"/>
        <v>-1.3258491629970113E-3</v>
      </c>
      <c r="T494" s="63">
        <f t="shared" si="87"/>
        <v>0.43832536699120223</v>
      </c>
    </row>
    <row r="495" spans="1:20" x14ac:dyDescent="0.3">
      <c r="A495" s="18" t="s">
        <v>167</v>
      </c>
      <c r="B495" s="18" t="s">
        <v>168</v>
      </c>
      <c r="C495" s="18" t="s">
        <v>124</v>
      </c>
      <c r="D495" s="18" t="s">
        <v>121</v>
      </c>
      <c r="E495" s="61">
        <v>2024</v>
      </c>
      <c r="F495" s="62">
        <v>3137000000</v>
      </c>
      <c r="G495" s="62">
        <v>1301000000</v>
      </c>
      <c r="H495" s="62">
        <v>1303000000</v>
      </c>
      <c r="I495" s="62">
        <v>1301000000</v>
      </c>
      <c r="J495" s="62">
        <f t="shared" si="77"/>
        <v>2.40752110514198</v>
      </c>
      <c r="K495" s="62">
        <f t="shared" si="78"/>
        <v>1</v>
      </c>
      <c r="L495" s="63">
        <f t="shared" si="79"/>
        <v>-0.58527255339496331</v>
      </c>
      <c r="M495" s="63">
        <f t="shared" si="80"/>
        <v>-1.5349194167306216E-3</v>
      </c>
      <c r="N495" s="63">
        <f t="shared" si="81"/>
        <v>-0.58463500159387949</v>
      </c>
      <c r="O495" s="62">
        <f t="shared" si="82"/>
        <v>0.99846508058326933</v>
      </c>
      <c r="P495" s="62">
        <f t="shared" si="83"/>
        <v>-1.4090560245587107</v>
      </c>
      <c r="Q495" s="62">
        <f t="shared" si="84"/>
        <v>1.5349194167306734E-3</v>
      </c>
      <c r="R495" s="63">
        <f t="shared" si="85"/>
        <v>-0.58527255339496331</v>
      </c>
      <c r="S495" s="63">
        <f t="shared" si="86"/>
        <v>6.375518010838596E-4</v>
      </c>
      <c r="T495" s="63">
        <f t="shared" si="87"/>
        <v>-0.58463500159387949</v>
      </c>
    </row>
    <row r="496" spans="1:20" x14ac:dyDescent="0.3">
      <c r="A496" s="18" t="s">
        <v>169</v>
      </c>
      <c r="B496" s="18" t="s">
        <v>170</v>
      </c>
      <c r="C496" s="18" t="s">
        <v>124</v>
      </c>
      <c r="D496" s="18" t="s">
        <v>121</v>
      </c>
      <c r="E496" s="61">
        <v>2016</v>
      </c>
      <c r="F496" s="62">
        <v>8424000000</v>
      </c>
      <c r="G496" s="62">
        <v>8526000000</v>
      </c>
      <c r="H496" s="62">
        <v>1069800000</v>
      </c>
      <c r="I496" s="62">
        <v>1069800000</v>
      </c>
      <c r="J496" s="62">
        <f t="shared" si="77"/>
        <v>7.8743690409422324</v>
      </c>
      <c r="K496" s="62">
        <f t="shared" si="78"/>
        <v>7.9697139652271449</v>
      </c>
      <c r="L496" s="63">
        <f t="shared" si="79"/>
        <v>1.2108262108262107E-2</v>
      </c>
      <c r="M496" s="63">
        <f t="shared" si="80"/>
        <v>0</v>
      </c>
      <c r="N496" s="63">
        <f t="shared" si="81"/>
        <v>1.2108262108262033E-2</v>
      </c>
      <c r="O496" s="62">
        <f t="shared" si="82"/>
        <v>7.9697139652271449</v>
      </c>
      <c r="P496" s="62">
        <f t="shared" si="83"/>
        <v>9.534492428491248E-2</v>
      </c>
      <c r="Q496" s="62">
        <f t="shared" si="84"/>
        <v>0</v>
      </c>
      <c r="R496" s="63">
        <f t="shared" si="85"/>
        <v>1.2108262108262033E-2</v>
      </c>
      <c r="S496" s="63">
        <f t="shared" si="86"/>
        <v>0</v>
      </c>
      <c r="T496" s="63">
        <f t="shared" si="87"/>
        <v>1.2108262108262033E-2</v>
      </c>
    </row>
    <row r="497" spans="1:20" x14ac:dyDescent="0.3">
      <c r="A497" s="18" t="s">
        <v>169</v>
      </c>
      <c r="B497" s="18" t="s">
        <v>170</v>
      </c>
      <c r="C497" s="18" t="s">
        <v>124</v>
      </c>
      <c r="D497" s="18" t="s">
        <v>121</v>
      </c>
      <c r="E497" s="61">
        <v>2017</v>
      </c>
      <c r="F497" s="62">
        <v>8526000000</v>
      </c>
      <c r="G497" s="62">
        <v>10525000000</v>
      </c>
      <c r="H497" s="62">
        <v>1069800000</v>
      </c>
      <c r="I497" s="62">
        <v>1069800000</v>
      </c>
      <c r="J497" s="62">
        <f t="shared" si="77"/>
        <v>7.9697139652271449</v>
      </c>
      <c r="K497" s="62">
        <f t="shared" si="78"/>
        <v>9.8382875303795103</v>
      </c>
      <c r="L497" s="63">
        <f t="shared" si="79"/>
        <v>0.23445930096176401</v>
      </c>
      <c r="M497" s="63">
        <f t="shared" si="80"/>
        <v>0</v>
      </c>
      <c r="N497" s="63">
        <f t="shared" si="81"/>
        <v>0.23445930096176409</v>
      </c>
      <c r="O497" s="62">
        <f t="shared" si="82"/>
        <v>9.8382875303795103</v>
      </c>
      <c r="P497" s="62">
        <f t="shared" si="83"/>
        <v>1.8685735651523654</v>
      </c>
      <c r="Q497" s="62">
        <f t="shared" si="84"/>
        <v>0</v>
      </c>
      <c r="R497" s="63">
        <f t="shared" si="85"/>
        <v>0.23445930096176409</v>
      </c>
      <c r="S497" s="63">
        <f t="shared" si="86"/>
        <v>0</v>
      </c>
      <c r="T497" s="63">
        <f t="shared" si="87"/>
        <v>0.23445930096176409</v>
      </c>
    </row>
    <row r="498" spans="1:20" x14ac:dyDescent="0.3">
      <c r="A498" s="18" t="s">
        <v>169</v>
      </c>
      <c r="B498" s="18" t="s">
        <v>170</v>
      </c>
      <c r="C498" s="18" t="s">
        <v>124</v>
      </c>
      <c r="D498" s="18" t="s">
        <v>121</v>
      </c>
      <c r="E498" s="61">
        <v>2018</v>
      </c>
      <c r="F498" s="62">
        <v>10525000000</v>
      </c>
      <c r="G498" s="62">
        <v>7249000000</v>
      </c>
      <c r="H498" s="62">
        <v>1069800000</v>
      </c>
      <c r="I498" s="62">
        <v>1069800000</v>
      </c>
      <c r="J498" s="62">
        <f t="shared" si="77"/>
        <v>9.8382875303795103</v>
      </c>
      <c r="K498" s="62">
        <f t="shared" si="78"/>
        <v>6.7760329033464197</v>
      </c>
      <c r="L498" s="63">
        <f t="shared" si="79"/>
        <v>-0.31125890736342043</v>
      </c>
      <c r="M498" s="63">
        <f t="shared" si="80"/>
        <v>0</v>
      </c>
      <c r="N498" s="63">
        <f t="shared" si="81"/>
        <v>-0.31125890736342043</v>
      </c>
      <c r="O498" s="62">
        <f t="shared" si="82"/>
        <v>6.7760329033464197</v>
      </c>
      <c r="P498" s="62">
        <f t="shared" si="83"/>
        <v>-3.0622546270330906</v>
      </c>
      <c r="Q498" s="62">
        <f t="shared" si="84"/>
        <v>0</v>
      </c>
      <c r="R498" s="63">
        <f t="shared" si="85"/>
        <v>-0.31125890736342043</v>
      </c>
      <c r="S498" s="63">
        <f t="shared" si="86"/>
        <v>0</v>
      </c>
      <c r="T498" s="63">
        <f t="shared" si="87"/>
        <v>-0.31125890736342043</v>
      </c>
    </row>
    <row r="499" spans="1:20" x14ac:dyDescent="0.3">
      <c r="A499" s="18" t="s">
        <v>169</v>
      </c>
      <c r="B499" s="18" t="s">
        <v>170</v>
      </c>
      <c r="C499" s="18" t="s">
        <v>124</v>
      </c>
      <c r="D499" s="18" t="s">
        <v>121</v>
      </c>
      <c r="E499" s="61">
        <v>2019</v>
      </c>
      <c r="F499" s="62">
        <v>7249000000</v>
      </c>
      <c r="G499" s="62">
        <v>2377000000</v>
      </c>
      <c r="H499" s="62">
        <v>1069800000</v>
      </c>
      <c r="I499" s="62">
        <v>1069800000</v>
      </c>
      <c r="J499" s="62">
        <f t="shared" si="77"/>
        <v>6.7760329033464197</v>
      </c>
      <c r="K499" s="62">
        <f t="shared" si="78"/>
        <v>2.221910637502337</v>
      </c>
      <c r="L499" s="63">
        <f t="shared" si="79"/>
        <v>-0.67209270244171615</v>
      </c>
      <c r="M499" s="63">
        <f t="shared" si="80"/>
        <v>0</v>
      </c>
      <c r="N499" s="63">
        <f t="shared" si="81"/>
        <v>-0.67209270244171604</v>
      </c>
      <c r="O499" s="62">
        <f t="shared" si="82"/>
        <v>2.221910637502337</v>
      </c>
      <c r="P499" s="62">
        <f t="shared" si="83"/>
        <v>-4.5541222658440823</v>
      </c>
      <c r="Q499" s="62">
        <f t="shared" si="84"/>
        <v>0</v>
      </c>
      <c r="R499" s="63">
        <f t="shared" si="85"/>
        <v>-0.67209270244171604</v>
      </c>
      <c r="S499" s="63">
        <f t="shared" si="86"/>
        <v>0</v>
      </c>
      <c r="T499" s="63">
        <f t="shared" si="87"/>
        <v>-0.67209270244171604</v>
      </c>
    </row>
    <row r="500" spans="1:20" x14ac:dyDescent="0.3">
      <c r="A500" s="18" t="s">
        <v>169</v>
      </c>
      <c r="B500" s="18" t="s">
        <v>170</v>
      </c>
      <c r="C500" s="18" t="s">
        <v>124</v>
      </c>
      <c r="D500" s="18" t="s">
        <v>121</v>
      </c>
      <c r="E500" s="61">
        <v>2020</v>
      </c>
      <c r="F500" s="62">
        <v>2377000000</v>
      </c>
      <c r="G500" s="62">
        <v>3627000000</v>
      </c>
      <c r="H500" s="62">
        <v>1069800000</v>
      </c>
      <c r="I500" s="62">
        <v>1069800000</v>
      </c>
      <c r="J500" s="62">
        <f t="shared" si="77"/>
        <v>2.221910637502337</v>
      </c>
      <c r="K500" s="62">
        <f t="shared" si="78"/>
        <v>3.3903533370723498</v>
      </c>
      <c r="L500" s="63">
        <f t="shared" si="79"/>
        <v>0.52587294909549853</v>
      </c>
      <c r="M500" s="63">
        <f t="shared" si="80"/>
        <v>0</v>
      </c>
      <c r="N500" s="63">
        <f t="shared" si="81"/>
        <v>0.52587294909549842</v>
      </c>
      <c r="O500" s="62">
        <f t="shared" si="82"/>
        <v>3.3903533370723498</v>
      </c>
      <c r="P500" s="62">
        <f t="shared" si="83"/>
        <v>1.1684426995700128</v>
      </c>
      <c r="Q500" s="62">
        <f t="shared" si="84"/>
        <v>0</v>
      </c>
      <c r="R500" s="63">
        <f t="shared" si="85"/>
        <v>0.52587294909549842</v>
      </c>
      <c r="S500" s="63">
        <f t="shared" si="86"/>
        <v>0</v>
      </c>
      <c r="T500" s="63">
        <f t="shared" si="87"/>
        <v>0.52587294909549842</v>
      </c>
    </row>
    <row r="501" spans="1:20" x14ac:dyDescent="0.3">
      <c r="A501" s="18" t="s">
        <v>169</v>
      </c>
      <c r="B501" s="18" t="s">
        <v>170</v>
      </c>
      <c r="C501" s="18" t="s">
        <v>124</v>
      </c>
      <c r="D501" s="18" t="s">
        <v>121</v>
      </c>
      <c r="E501" s="61">
        <v>2021</v>
      </c>
      <c r="F501" s="62">
        <v>3627000000</v>
      </c>
      <c r="G501" s="62">
        <v>10660000000</v>
      </c>
      <c r="H501" s="62">
        <v>1069800000</v>
      </c>
      <c r="I501" s="62">
        <v>1069800000</v>
      </c>
      <c r="J501" s="62">
        <f t="shared" si="77"/>
        <v>3.3903533370723498</v>
      </c>
      <c r="K501" s="62">
        <f t="shared" si="78"/>
        <v>9.9644793419330711</v>
      </c>
      <c r="L501" s="63">
        <f t="shared" si="79"/>
        <v>1.9390681003584229</v>
      </c>
      <c r="M501" s="63">
        <f t="shared" si="80"/>
        <v>0</v>
      </c>
      <c r="N501" s="63">
        <f t="shared" si="81"/>
        <v>1.9390681003584229</v>
      </c>
      <c r="O501" s="62">
        <f t="shared" si="82"/>
        <v>9.9644793419330711</v>
      </c>
      <c r="P501" s="62">
        <f t="shared" si="83"/>
        <v>6.5741260048607213</v>
      </c>
      <c r="Q501" s="62">
        <f t="shared" si="84"/>
        <v>0</v>
      </c>
      <c r="R501" s="63">
        <f t="shared" si="85"/>
        <v>1.9390681003584229</v>
      </c>
      <c r="S501" s="63">
        <f t="shared" si="86"/>
        <v>0</v>
      </c>
      <c r="T501" s="63">
        <f t="shared" si="87"/>
        <v>1.9390681003584229</v>
      </c>
    </row>
    <row r="502" spans="1:20" x14ac:dyDescent="0.3">
      <c r="A502" s="18" t="s">
        <v>169</v>
      </c>
      <c r="B502" s="18" t="s">
        <v>170</v>
      </c>
      <c r="C502" s="18" t="s">
        <v>124</v>
      </c>
      <c r="D502" s="18" t="s">
        <v>121</v>
      </c>
      <c r="E502" s="61">
        <v>2022</v>
      </c>
      <c r="F502" s="62">
        <v>10660000000</v>
      </c>
      <c r="G502" s="62">
        <v>14501000000</v>
      </c>
      <c r="H502" s="62">
        <v>1069800000</v>
      </c>
      <c r="I502" s="62">
        <v>1069800000</v>
      </c>
      <c r="J502" s="62">
        <f t="shared" si="77"/>
        <v>9.9644793419330711</v>
      </c>
      <c r="K502" s="62">
        <f t="shared" si="78"/>
        <v>13.554870069171807</v>
      </c>
      <c r="L502" s="63">
        <f t="shared" si="79"/>
        <v>0.36031894934333958</v>
      </c>
      <c r="M502" s="63">
        <f t="shared" si="80"/>
        <v>0</v>
      </c>
      <c r="N502" s="63">
        <f t="shared" si="81"/>
        <v>0.36031894934333958</v>
      </c>
      <c r="O502" s="62">
        <f t="shared" si="82"/>
        <v>13.554870069171807</v>
      </c>
      <c r="P502" s="62">
        <f t="shared" si="83"/>
        <v>3.5903907272387361</v>
      </c>
      <c r="Q502" s="62">
        <f t="shared" si="84"/>
        <v>0</v>
      </c>
      <c r="R502" s="63">
        <f t="shared" si="85"/>
        <v>0.36031894934333958</v>
      </c>
      <c r="S502" s="63">
        <f t="shared" si="86"/>
        <v>0</v>
      </c>
      <c r="T502" s="63">
        <f t="shared" si="87"/>
        <v>0.36031894934333958</v>
      </c>
    </row>
    <row r="503" spans="1:20" x14ac:dyDescent="0.3">
      <c r="A503" s="18" t="s">
        <v>169</v>
      </c>
      <c r="B503" s="18" t="s">
        <v>170</v>
      </c>
      <c r="C503" s="18" t="s">
        <v>124</v>
      </c>
      <c r="D503" s="18" t="s">
        <v>121</v>
      </c>
      <c r="E503" s="61">
        <v>2023</v>
      </c>
      <c r="F503" s="62">
        <v>14501000000</v>
      </c>
      <c r="G503" s="62">
        <v>14261000000</v>
      </c>
      <c r="H503" s="62">
        <v>1069800000</v>
      </c>
      <c r="I503" s="62">
        <v>1059599999</v>
      </c>
      <c r="J503" s="62">
        <f t="shared" si="77"/>
        <v>13.554870069171807</v>
      </c>
      <c r="K503" s="62">
        <f t="shared" si="78"/>
        <v>13.458852409832817</v>
      </c>
      <c r="L503" s="63">
        <f t="shared" si="79"/>
        <v>-1.655058271843321E-2</v>
      </c>
      <c r="M503" s="63">
        <f t="shared" si="80"/>
        <v>-9.5344933632454665E-3</v>
      </c>
      <c r="N503" s="63">
        <f t="shared" si="81"/>
        <v>-7.0836281608752391E-3</v>
      </c>
      <c r="O503" s="62">
        <f t="shared" si="82"/>
        <v>13.330529070854364</v>
      </c>
      <c r="P503" s="62">
        <f t="shared" si="83"/>
        <v>-0.2243409983174427</v>
      </c>
      <c r="Q503" s="62">
        <f t="shared" si="84"/>
        <v>0.12832333897845238</v>
      </c>
      <c r="R503" s="63">
        <f t="shared" si="85"/>
        <v>-1.6550582718433227E-2</v>
      </c>
      <c r="S503" s="63">
        <f t="shared" si="86"/>
        <v>9.4669545575579873E-3</v>
      </c>
      <c r="T503" s="63">
        <f t="shared" si="87"/>
        <v>-7.08362816087524E-3</v>
      </c>
    </row>
    <row r="504" spans="1:20" x14ac:dyDescent="0.3">
      <c r="A504" s="18" t="s">
        <v>169</v>
      </c>
      <c r="B504" s="18" t="s">
        <v>170</v>
      </c>
      <c r="C504" s="18" t="s">
        <v>124</v>
      </c>
      <c r="D504" s="18" t="s">
        <v>121</v>
      </c>
      <c r="E504" s="61">
        <v>2024</v>
      </c>
      <c r="F504" s="62">
        <v>14261000000</v>
      </c>
      <c r="G504" s="62">
        <v>10207000000</v>
      </c>
      <c r="H504" s="62">
        <v>1059599999</v>
      </c>
      <c r="I504" s="62">
        <v>1002000000</v>
      </c>
      <c r="J504" s="62">
        <f t="shared" si="77"/>
        <v>13.458852409832817</v>
      </c>
      <c r="K504" s="62">
        <f t="shared" si="78"/>
        <v>10.186626746506986</v>
      </c>
      <c r="L504" s="63">
        <f t="shared" si="79"/>
        <v>-0.28427179019704091</v>
      </c>
      <c r="M504" s="63">
        <f t="shared" si="80"/>
        <v>-5.4360135007889894E-2</v>
      </c>
      <c r="N504" s="63">
        <f t="shared" si="81"/>
        <v>-0.24312813334182906</v>
      </c>
      <c r="O504" s="62">
        <f t="shared" si="82"/>
        <v>9.6328803412918838</v>
      </c>
      <c r="P504" s="62">
        <f t="shared" si="83"/>
        <v>-3.8259720685409331</v>
      </c>
      <c r="Q504" s="62">
        <f t="shared" si="84"/>
        <v>0.55374640521510266</v>
      </c>
      <c r="R504" s="63">
        <f t="shared" si="85"/>
        <v>-0.28427179019704091</v>
      </c>
      <c r="S504" s="63">
        <f t="shared" si="86"/>
        <v>4.114365685521186E-2</v>
      </c>
      <c r="T504" s="63">
        <f t="shared" si="87"/>
        <v>-0.24312813334182903</v>
      </c>
    </row>
    <row r="505" spans="1:20" x14ac:dyDescent="0.3">
      <c r="A505" s="18" t="s">
        <v>171</v>
      </c>
      <c r="B505" s="18" t="s">
        <v>172</v>
      </c>
      <c r="C505" s="18" t="s">
        <v>124</v>
      </c>
      <c r="D505" s="18" t="s">
        <v>121</v>
      </c>
      <c r="E505" s="61">
        <v>2016</v>
      </c>
      <c r="F505" s="62">
        <v>1114800000</v>
      </c>
      <c r="G505" s="62">
        <v>1629000000</v>
      </c>
      <c r="H505" s="62">
        <v>434777878</v>
      </c>
      <c r="I505" s="62">
        <v>434400000</v>
      </c>
      <c r="J505" s="62">
        <f t="shared" si="77"/>
        <v>2.5640678985971777</v>
      </c>
      <c r="K505" s="62">
        <f t="shared" si="78"/>
        <v>3.75</v>
      </c>
      <c r="L505" s="63">
        <f t="shared" si="79"/>
        <v>0.46124865446716901</v>
      </c>
      <c r="M505" s="63">
        <f t="shared" si="80"/>
        <v>-8.6912885664343755E-4</v>
      </c>
      <c r="N505" s="63">
        <f t="shared" si="81"/>
        <v>0.46251977260495147</v>
      </c>
      <c r="O505" s="62">
        <f t="shared" si="82"/>
        <v>3.7467407667875872</v>
      </c>
      <c r="P505" s="62">
        <f t="shared" si="83"/>
        <v>1.1826728681904095</v>
      </c>
      <c r="Q505" s="62">
        <f t="shared" si="84"/>
        <v>3.2592332124128376E-3</v>
      </c>
      <c r="R505" s="63">
        <f t="shared" si="85"/>
        <v>0.46124865446716889</v>
      </c>
      <c r="S505" s="63">
        <f t="shared" si="86"/>
        <v>1.2711181377825409E-3</v>
      </c>
      <c r="T505" s="63">
        <f t="shared" si="87"/>
        <v>0.46251977260495142</v>
      </c>
    </row>
    <row r="506" spans="1:20" x14ac:dyDescent="0.3">
      <c r="A506" s="18" t="s">
        <v>171</v>
      </c>
      <c r="B506" s="18" t="s">
        <v>172</v>
      </c>
      <c r="C506" s="18" t="s">
        <v>124</v>
      </c>
      <c r="D506" s="18" t="s">
        <v>121</v>
      </c>
      <c r="E506" s="61">
        <v>2017</v>
      </c>
      <c r="F506" s="62">
        <v>1629000000</v>
      </c>
      <c r="G506" s="62">
        <v>2600000000</v>
      </c>
      <c r="H506" s="62">
        <v>434400000</v>
      </c>
      <c r="I506" s="62">
        <v>434777878</v>
      </c>
      <c r="J506" s="62">
        <f t="shared" si="77"/>
        <v>3.75</v>
      </c>
      <c r="K506" s="62">
        <f t="shared" si="78"/>
        <v>5.9800650666959649</v>
      </c>
      <c r="L506" s="63">
        <f t="shared" si="79"/>
        <v>0.59607120933087787</v>
      </c>
      <c r="M506" s="63">
        <f t="shared" si="80"/>
        <v>8.6988489871086551E-4</v>
      </c>
      <c r="N506" s="63">
        <f t="shared" si="81"/>
        <v>0.59468401778559066</v>
      </c>
      <c r="O506" s="62">
        <f t="shared" si="82"/>
        <v>5.9852670349907919</v>
      </c>
      <c r="P506" s="62">
        <f t="shared" si="83"/>
        <v>2.2352670349907919</v>
      </c>
      <c r="Q506" s="62">
        <f t="shared" si="84"/>
        <v>-5.2019682948269974E-3</v>
      </c>
      <c r="R506" s="63">
        <f t="shared" si="85"/>
        <v>0.59607120933087787</v>
      </c>
      <c r="S506" s="63">
        <f t="shared" si="86"/>
        <v>-1.3871915452871994E-3</v>
      </c>
      <c r="T506" s="63">
        <f t="shared" si="87"/>
        <v>0.59468401778559066</v>
      </c>
    </row>
    <row r="507" spans="1:20" x14ac:dyDescent="0.3">
      <c r="A507" s="18" t="s">
        <v>171</v>
      </c>
      <c r="B507" s="18" t="s">
        <v>172</v>
      </c>
      <c r="C507" s="18" t="s">
        <v>124</v>
      </c>
      <c r="D507" s="18" t="s">
        <v>121</v>
      </c>
      <c r="E507" s="61">
        <v>2018</v>
      </c>
      <c r="F507" s="62">
        <v>2600000000</v>
      </c>
      <c r="G507" s="62">
        <v>3374000000</v>
      </c>
      <c r="H507" s="62">
        <v>434777878</v>
      </c>
      <c r="I507" s="62">
        <v>434777878</v>
      </c>
      <c r="J507" s="62">
        <f t="shared" si="77"/>
        <v>5.9800650666959649</v>
      </c>
      <c r="K507" s="62">
        <f t="shared" si="78"/>
        <v>7.7602844365508403</v>
      </c>
      <c r="L507" s="63">
        <f t="shared" si="79"/>
        <v>0.2976923076923077</v>
      </c>
      <c r="M507" s="63">
        <f t="shared" si="80"/>
        <v>0</v>
      </c>
      <c r="N507" s="63">
        <f t="shared" si="81"/>
        <v>0.29769230769230764</v>
      </c>
      <c r="O507" s="62">
        <f t="shared" si="82"/>
        <v>7.7602844365508403</v>
      </c>
      <c r="P507" s="62">
        <f t="shared" si="83"/>
        <v>1.7802193698548754</v>
      </c>
      <c r="Q507" s="62">
        <f t="shared" si="84"/>
        <v>0</v>
      </c>
      <c r="R507" s="63">
        <f t="shared" si="85"/>
        <v>0.29769230769230764</v>
      </c>
      <c r="S507" s="63">
        <f t="shared" si="86"/>
        <v>0</v>
      </c>
      <c r="T507" s="63">
        <f t="shared" si="87"/>
        <v>0.29769230769230764</v>
      </c>
    </row>
    <row r="508" spans="1:20" x14ac:dyDescent="0.3">
      <c r="A508" s="18" t="s">
        <v>171</v>
      </c>
      <c r="B508" s="18" t="s">
        <v>172</v>
      </c>
      <c r="C508" s="18" t="s">
        <v>124</v>
      </c>
      <c r="D508" s="18" t="s">
        <v>121</v>
      </c>
      <c r="E508" s="61">
        <v>2019</v>
      </c>
      <c r="F508" s="62">
        <v>3374000000</v>
      </c>
      <c r="G508" s="62">
        <v>1320000000</v>
      </c>
      <c r="H508" s="62">
        <v>434777878</v>
      </c>
      <c r="I508" s="62">
        <v>434777878</v>
      </c>
      <c r="J508" s="62">
        <f t="shared" si="77"/>
        <v>7.7602844365508403</v>
      </c>
      <c r="K508" s="62">
        <f t="shared" si="78"/>
        <v>3.0360330338610284</v>
      </c>
      <c r="L508" s="63">
        <f t="shared" si="79"/>
        <v>-0.60877296976882034</v>
      </c>
      <c r="M508" s="63">
        <f t="shared" si="80"/>
        <v>0</v>
      </c>
      <c r="N508" s="63">
        <f t="shared" si="81"/>
        <v>-0.60877296976882034</v>
      </c>
      <c r="O508" s="62">
        <f t="shared" si="82"/>
        <v>3.0360330338610284</v>
      </c>
      <c r="P508" s="62">
        <f t="shared" si="83"/>
        <v>-4.7242514026898119</v>
      </c>
      <c r="Q508" s="62">
        <f t="shared" si="84"/>
        <v>0</v>
      </c>
      <c r="R508" s="63">
        <f t="shared" si="85"/>
        <v>-0.60877296976882034</v>
      </c>
      <c r="S508" s="63">
        <f t="shared" si="86"/>
        <v>0</v>
      </c>
      <c r="T508" s="63">
        <f t="shared" si="87"/>
        <v>-0.60877296976882034</v>
      </c>
    </row>
    <row r="509" spans="1:20" x14ac:dyDescent="0.3">
      <c r="A509" s="18" t="s">
        <v>171</v>
      </c>
      <c r="B509" s="18" t="s">
        <v>172</v>
      </c>
      <c r="C509" s="18" t="s">
        <v>124</v>
      </c>
      <c r="D509" s="18" t="s">
        <v>121</v>
      </c>
      <c r="E509" s="61">
        <v>2020</v>
      </c>
      <c r="F509" s="62">
        <v>1320000000</v>
      </c>
      <c r="G509" s="62">
        <v>1987000000</v>
      </c>
      <c r="H509" s="62">
        <v>434777878</v>
      </c>
      <c r="I509" s="62">
        <v>434777878</v>
      </c>
      <c r="J509" s="62">
        <f t="shared" si="77"/>
        <v>3.0360330338610284</v>
      </c>
      <c r="K509" s="62">
        <f t="shared" si="78"/>
        <v>4.5701497259711088</v>
      </c>
      <c r="L509" s="63">
        <f t="shared" si="79"/>
        <v>0.50530303030303025</v>
      </c>
      <c r="M509" s="63">
        <f t="shared" si="80"/>
        <v>0</v>
      </c>
      <c r="N509" s="63">
        <f t="shared" si="81"/>
        <v>0.50530303030303036</v>
      </c>
      <c r="O509" s="62">
        <f t="shared" si="82"/>
        <v>4.5701497259711088</v>
      </c>
      <c r="P509" s="62">
        <f t="shared" si="83"/>
        <v>1.5341166921100804</v>
      </c>
      <c r="Q509" s="62">
        <f t="shared" si="84"/>
        <v>0</v>
      </c>
      <c r="R509" s="63">
        <f t="shared" si="85"/>
        <v>0.50530303030303036</v>
      </c>
      <c r="S509" s="63">
        <f t="shared" si="86"/>
        <v>0</v>
      </c>
      <c r="T509" s="63">
        <f t="shared" si="87"/>
        <v>0.50530303030303036</v>
      </c>
    </row>
    <row r="510" spans="1:20" x14ac:dyDescent="0.3">
      <c r="A510" s="18" t="s">
        <v>171</v>
      </c>
      <c r="B510" s="18" t="s">
        <v>172</v>
      </c>
      <c r="C510" s="18" t="s">
        <v>124</v>
      </c>
      <c r="D510" s="18" t="s">
        <v>121</v>
      </c>
      <c r="E510" s="61">
        <v>2021</v>
      </c>
      <c r="F510" s="62">
        <v>1987000000</v>
      </c>
      <c r="G510" s="62">
        <v>3055000000</v>
      </c>
      <c r="H510" s="62">
        <v>434777878</v>
      </c>
      <c r="I510" s="62">
        <v>434777878</v>
      </c>
      <c r="J510" s="62">
        <f t="shared" si="77"/>
        <v>4.5701497259711088</v>
      </c>
      <c r="K510" s="62">
        <f t="shared" si="78"/>
        <v>7.0265764533677588</v>
      </c>
      <c r="L510" s="63">
        <f t="shared" si="79"/>
        <v>0.53749370910920991</v>
      </c>
      <c r="M510" s="63">
        <f t="shared" si="80"/>
        <v>0</v>
      </c>
      <c r="N510" s="63">
        <f t="shared" si="81"/>
        <v>0.53749370910920979</v>
      </c>
      <c r="O510" s="62">
        <f t="shared" si="82"/>
        <v>7.0265764533677588</v>
      </c>
      <c r="P510" s="62">
        <f t="shared" si="83"/>
        <v>2.45642672739665</v>
      </c>
      <c r="Q510" s="62">
        <f t="shared" si="84"/>
        <v>0</v>
      </c>
      <c r="R510" s="63">
        <f t="shared" si="85"/>
        <v>0.53749370910920979</v>
      </c>
      <c r="S510" s="63">
        <f t="shared" si="86"/>
        <v>0</v>
      </c>
      <c r="T510" s="63">
        <f t="shared" si="87"/>
        <v>0.53749370910920979</v>
      </c>
    </row>
    <row r="511" spans="1:20" x14ac:dyDescent="0.3">
      <c r="A511" s="18" t="s">
        <v>171</v>
      </c>
      <c r="B511" s="18" t="s">
        <v>172</v>
      </c>
      <c r="C511" s="18" t="s">
        <v>124</v>
      </c>
      <c r="D511" s="18" t="s">
        <v>121</v>
      </c>
      <c r="E511" s="61">
        <v>2022</v>
      </c>
      <c r="F511" s="62">
        <v>3055000000</v>
      </c>
      <c r="G511" s="62">
        <v>3326000000</v>
      </c>
      <c r="H511" s="62">
        <v>434777878</v>
      </c>
      <c r="I511" s="62">
        <v>434777878</v>
      </c>
      <c r="J511" s="62">
        <f t="shared" si="77"/>
        <v>7.0265764533677588</v>
      </c>
      <c r="K511" s="62">
        <f t="shared" si="78"/>
        <v>7.6498832353195301</v>
      </c>
      <c r="L511" s="63">
        <f t="shared" si="79"/>
        <v>8.8707037643207851E-2</v>
      </c>
      <c r="M511" s="63">
        <f t="shared" si="80"/>
        <v>0</v>
      </c>
      <c r="N511" s="63">
        <f t="shared" si="81"/>
        <v>8.8707037643207781E-2</v>
      </c>
      <c r="O511" s="62">
        <f t="shared" si="82"/>
        <v>7.6498832353195301</v>
      </c>
      <c r="P511" s="62">
        <f t="shared" si="83"/>
        <v>0.62330678195177125</v>
      </c>
      <c r="Q511" s="62">
        <f t="shared" si="84"/>
        <v>0</v>
      </c>
      <c r="R511" s="63">
        <f t="shared" si="85"/>
        <v>8.8707037643207781E-2</v>
      </c>
      <c r="S511" s="63">
        <f t="shared" si="86"/>
        <v>0</v>
      </c>
      <c r="T511" s="63">
        <f t="shared" si="87"/>
        <v>8.8707037643207781E-2</v>
      </c>
    </row>
    <row r="512" spans="1:20" x14ac:dyDescent="0.3">
      <c r="A512" s="18" t="s">
        <v>171</v>
      </c>
      <c r="B512" s="18" t="s">
        <v>172</v>
      </c>
      <c r="C512" s="18" t="s">
        <v>124</v>
      </c>
      <c r="D512" s="18" t="s">
        <v>121</v>
      </c>
      <c r="E512" s="61">
        <v>2023</v>
      </c>
      <c r="F512" s="62">
        <v>3326000000</v>
      </c>
      <c r="G512" s="62">
        <v>2824000000</v>
      </c>
      <c r="H512" s="62">
        <v>434777878</v>
      </c>
      <c r="I512" s="62">
        <v>434777878</v>
      </c>
      <c r="J512" s="62">
        <f t="shared" si="77"/>
        <v>7.6498832353195301</v>
      </c>
      <c r="K512" s="62">
        <f t="shared" si="78"/>
        <v>6.4952706724420786</v>
      </c>
      <c r="L512" s="63">
        <f t="shared" si="79"/>
        <v>-0.15093205051112446</v>
      </c>
      <c r="M512" s="63">
        <f t="shared" si="80"/>
        <v>0</v>
      </c>
      <c r="N512" s="63">
        <f t="shared" si="81"/>
        <v>-0.15093205051112446</v>
      </c>
      <c r="O512" s="62">
        <f t="shared" si="82"/>
        <v>6.4952706724420786</v>
      </c>
      <c r="P512" s="62">
        <f t="shared" si="83"/>
        <v>-1.1546125628774515</v>
      </c>
      <c r="Q512" s="62">
        <f t="shared" si="84"/>
        <v>0</v>
      </c>
      <c r="R512" s="63">
        <f t="shared" si="85"/>
        <v>-0.15093205051112446</v>
      </c>
      <c r="S512" s="63">
        <f t="shared" si="86"/>
        <v>0</v>
      </c>
      <c r="T512" s="63">
        <f t="shared" si="87"/>
        <v>-0.15093205051112446</v>
      </c>
    </row>
    <row r="513" spans="1:20" x14ac:dyDescent="0.3">
      <c r="A513" s="18" t="s">
        <v>171</v>
      </c>
      <c r="B513" s="18" t="s">
        <v>172</v>
      </c>
      <c r="C513" s="18" t="s">
        <v>124</v>
      </c>
      <c r="D513" s="18" t="s">
        <v>121</v>
      </c>
      <c r="E513" s="61">
        <v>2024</v>
      </c>
      <c r="F513" s="62">
        <v>2824000000</v>
      </c>
      <c r="G513" s="62">
        <v>2777000000</v>
      </c>
      <c r="H513" s="62">
        <v>434777878</v>
      </c>
      <c r="I513" s="62">
        <v>434777878</v>
      </c>
      <c r="J513" s="62">
        <f t="shared" si="77"/>
        <v>6.4952706724420786</v>
      </c>
      <c r="K513" s="62">
        <f t="shared" si="78"/>
        <v>6.3871694962364209</v>
      </c>
      <c r="L513" s="63">
        <f t="shared" si="79"/>
        <v>-1.6643059490084985E-2</v>
      </c>
      <c r="M513" s="63">
        <f t="shared" si="80"/>
        <v>0</v>
      </c>
      <c r="N513" s="63">
        <f t="shared" si="81"/>
        <v>-1.6643059490084954E-2</v>
      </c>
      <c r="O513" s="62">
        <f t="shared" si="82"/>
        <v>6.3871694962364209</v>
      </c>
      <c r="P513" s="62">
        <f t="shared" si="83"/>
        <v>-0.10810117620565762</v>
      </c>
      <c r="Q513" s="62">
        <f t="shared" si="84"/>
        <v>0</v>
      </c>
      <c r="R513" s="63">
        <f t="shared" si="85"/>
        <v>-1.6643059490084954E-2</v>
      </c>
      <c r="S513" s="63">
        <f t="shared" si="86"/>
        <v>0</v>
      </c>
      <c r="T513" s="63">
        <f t="shared" si="87"/>
        <v>-1.6643059490084954E-2</v>
      </c>
    </row>
    <row r="514" spans="1:20" x14ac:dyDescent="0.3">
      <c r="A514" s="18" t="s">
        <v>173</v>
      </c>
      <c r="B514" s="18" t="s">
        <v>174</v>
      </c>
      <c r="C514" s="18" t="s">
        <v>124</v>
      </c>
      <c r="D514" s="18" t="s">
        <v>121</v>
      </c>
      <c r="E514" s="61">
        <v>2016</v>
      </c>
      <c r="F514" s="62">
        <v>217600000</v>
      </c>
      <c r="G514" s="62">
        <v>312200000</v>
      </c>
      <c r="H514" s="62">
        <v>51073326</v>
      </c>
      <c r="I514" s="62">
        <v>51262220</v>
      </c>
      <c r="J514" s="62">
        <f t="shared" si="77"/>
        <v>4.2605410111728377</v>
      </c>
      <c r="K514" s="62">
        <f t="shared" si="78"/>
        <v>6.0902551625739187</v>
      </c>
      <c r="L514" s="63">
        <f t="shared" si="79"/>
        <v>0.43474264705882354</v>
      </c>
      <c r="M514" s="63">
        <f t="shared" si="80"/>
        <v>3.6984863684029509E-3</v>
      </c>
      <c r="N514" s="63">
        <f t="shared" si="81"/>
        <v>0.42945582417886385</v>
      </c>
      <c r="O514" s="62">
        <f t="shared" si="82"/>
        <v>6.1127798882727946</v>
      </c>
      <c r="P514" s="62">
        <f t="shared" si="83"/>
        <v>1.8522388770999569</v>
      </c>
      <c r="Q514" s="62">
        <f t="shared" si="84"/>
        <v>-2.2524725698875869E-2</v>
      </c>
      <c r="R514" s="63">
        <f t="shared" si="85"/>
        <v>0.43474264705882371</v>
      </c>
      <c r="S514" s="63">
        <f t="shared" si="86"/>
        <v>-5.2868228799598585E-3</v>
      </c>
      <c r="T514" s="63">
        <f t="shared" si="87"/>
        <v>0.42945582417886385</v>
      </c>
    </row>
    <row r="515" spans="1:20" x14ac:dyDescent="0.3">
      <c r="A515" s="18" t="s">
        <v>173</v>
      </c>
      <c r="B515" s="18" t="s">
        <v>174</v>
      </c>
      <c r="C515" s="18" t="s">
        <v>124</v>
      </c>
      <c r="D515" s="18" t="s">
        <v>121</v>
      </c>
      <c r="E515" s="61">
        <v>2017</v>
      </c>
      <c r="F515" s="62">
        <v>312200000</v>
      </c>
      <c r="G515" s="62">
        <v>378200000</v>
      </c>
      <c r="H515" s="62">
        <v>51262220</v>
      </c>
      <c r="I515" s="62">
        <v>51442495</v>
      </c>
      <c r="J515" s="62">
        <f t="shared" si="77"/>
        <v>6.0902551625739187</v>
      </c>
      <c r="K515" s="62">
        <f t="shared" si="78"/>
        <v>7.351898464489329</v>
      </c>
      <c r="L515" s="63">
        <f t="shared" si="79"/>
        <v>0.2114029468289558</v>
      </c>
      <c r="M515" s="63">
        <f t="shared" si="80"/>
        <v>3.5167224517393121E-3</v>
      </c>
      <c r="N515" s="63">
        <f t="shared" si="81"/>
        <v>0.20715770821369053</v>
      </c>
      <c r="O515" s="62">
        <f t="shared" si="82"/>
        <v>7.3777530508823066</v>
      </c>
      <c r="P515" s="62">
        <f t="shared" si="83"/>
        <v>1.2874978883083879</v>
      </c>
      <c r="Q515" s="62">
        <f t="shared" si="84"/>
        <v>-2.5854586392977552E-2</v>
      </c>
      <c r="R515" s="63">
        <f t="shared" si="85"/>
        <v>0.21140294682895583</v>
      </c>
      <c r="S515" s="63">
        <f t="shared" si="86"/>
        <v>-4.2452386152652842E-3</v>
      </c>
      <c r="T515" s="63">
        <f t="shared" si="87"/>
        <v>0.20715770821369053</v>
      </c>
    </row>
    <row r="516" spans="1:20" x14ac:dyDescent="0.3">
      <c r="A516" s="18" t="s">
        <v>173</v>
      </c>
      <c r="B516" s="18" t="s">
        <v>174</v>
      </c>
      <c r="C516" s="18" t="s">
        <v>124</v>
      </c>
      <c r="D516" s="18" t="s">
        <v>121</v>
      </c>
      <c r="E516" s="61">
        <v>2018</v>
      </c>
      <c r="F516" s="62">
        <v>378200000</v>
      </c>
      <c r="G516" s="62">
        <v>447000000</v>
      </c>
      <c r="H516" s="62">
        <v>51442495</v>
      </c>
      <c r="I516" s="62">
        <v>55185185</v>
      </c>
      <c r="J516" s="62">
        <f t="shared" si="77"/>
        <v>7.351898464489329</v>
      </c>
      <c r="K516" s="62">
        <f t="shared" si="78"/>
        <v>8.100000027181208</v>
      </c>
      <c r="L516" s="63">
        <f t="shared" si="79"/>
        <v>0.18191433104177684</v>
      </c>
      <c r="M516" s="63">
        <f t="shared" si="80"/>
        <v>7.2754830417925881E-2</v>
      </c>
      <c r="N516" s="63">
        <f t="shared" si="81"/>
        <v>0.10175624245972811</v>
      </c>
      <c r="O516" s="62">
        <f t="shared" si="82"/>
        <v>8.6893141555439719</v>
      </c>
      <c r="P516" s="62">
        <f t="shared" si="83"/>
        <v>1.3374156910546429</v>
      </c>
      <c r="Q516" s="62">
        <f t="shared" si="84"/>
        <v>-0.58931412836276387</v>
      </c>
      <c r="R516" s="63">
        <f t="shared" si="85"/>
        <v>0.18191433104177687</v>
      </c>
      <c r="S516" s="63">
        <f t="shared" si="86"/>
        <v>-8.0158088582048759E-2</v>
      </c>
      <c r="T516" s="63">
        <f t="shared" si="87"/>
        <v>0.10175624245972811</v>
      </c>
    </row>
    <row r="517" spans="1:20" x14ac:dyDescent="0.3">
      <c r="A517" s="18" t="s">
        <v>173</v>
      </c>
      <c r="B517" s="18" t="s">
        <v>174</v>
      </c>
      <c r="C517" s="18" t="s">
        <v>124</v>
      </c>
      <c r="D517" s="18" t="s">
        <v>121</v>
      </c>
      <c r="E517" s="61">
        <v>2019</v>
      </c>
      <c r="F517" s="62">
        <v>447000000</v>
      </c>
      <c r="G517" s="62">
        <v>478100000</v>
      </c>
      <c r="H517" s="62">
        <v>55185185</v>
      </c>
      <c r="I517" s="62">
        <v>51813526</v>
      </c>
      <c r="J517" s="62">
        <f t="shared" ref="J517:J580" si="88">F517/H517</f>
        <v>8.100000027181208</v>
      </c>
      <c r="K517" s="62">
        <f t="shared" ref="K517:K580" si="89">G517/I517</f>
        <v>9.2273202947045139</v>
      </c>
      <c r="L517" s="63">
        <f t="shared" ref="L517:L580" si="90">IF(F517=0,"",((G517-F517)/ABS(F517)))</f>
        <v>6.9574944071588374E-2</v>
      </c>
      <c r="M517" s="63">
        <f t="shared" ref="M517:M580" si="91">(I517-H517)/H517</f>
        <v>-6.1097176715091198E-2</v>
      </c>
      <c r="N517" s="63">
        <f t="shared" ref="N517:N580" si="92">IF(J517=0,"",((K517-J517)/ABS(J517)))</f>
        <v>0.13917534120251257</v>
      </c>
      <c r="O517" s="62">
        <f t="shared" ref="O517:O580" si="93">G517/H517</f>
        <v>8.6635570760522054</v>
      </c>
      <c r="P517" s="62">
        <f t="shared" ref="P517:P580" si="94">O517-J517</f>
        <v>0.56355704887099733</v>
      </c>
      <c r="Q517" s="62">
        <f t="shared" ref="Q517:Q580" si="95">K517-O517</f>
        <v>0.5637632186523085</v>
      </c>
      <c r="R517" s="63">
        <f t="shared" ref="R517:R580" si="96">IF(J517=0,"",P517/ABS(J517))</f>
        <v>6.9574944071588429E-2</v>
      </c>
      <c r="S517" s="63">
        <f t="shared" ref="S517:S580" si="97">IF(J517=0,"",Q517/ABS(J517))</f>
        <v>6.9600397130924155E-2</v>
      </c>
      <c r="T517" s="63">
        <f t="shared" ref="T517:T580" si="98">R517+S517</f>
        <v>0.13917534120251257</v>
      </c>
    </row>
    <row r="518" spans="1:20" x14ac:dyDescent="0.3">
      <c r="A518" s="18" t="s">
        <v>173</v>
      </c>
      <c r="B518" s="18" t="s">
        <v>174</v>
      </c>
      <c r="C518" s="18" t="s">
        <v>124</v>
      </c>
      <c r="D518" s="18" t="s">
        <v>121</v>
      </c>
      <c r="E518" s="61">
        <v>2020</v>
      </c>
      <c r="F518" s="62">
        <v>478100000</v>
      </c>
      <c r="G518" s="62">
        <v>139000000</v>
      </c>
      <c r="H518" s="62">
        <v>51813526</v>
      </c>
      <c r="I518" s="62">
        <v>52985567</v>
      </c>
      <c r="J518" s="62">
        <f t="shared" si="88"/>
        <v>9.2273202947045139</v>
      </c>
      <c r="K518" s="62">
        <f t="shared" si="89"/>
        <v>2.6233559036935472</v>
      </c>
      <c r="L518" s="63">
        <f t="shared" si="90"/>
        <v>-0.70926584396569758</v>
      </c>
      <c r="M518" s="63">
        <f t="shared" si="91"/>
        <v>2.2620367507897456E-2</v>
      </c>
      <c r="N518" s="63">
        <f t="shared" si="92"/>
        <v>-0.7156968849126143</v>
      </c>
      <c r="O518" s="62">
        <f t="shared" si="93"/>
        <v>2.682697178339108</v>
      </c>
      <c r="P518" s="62">
        <f t="shared" si="94"/>
        <v>-6.5446231163654058</v>
      </c>
      <c r="Q518" s="62">
        <f t="shared" si="95"/>
        <v>-5.9341274645560826E-2</v>
      </c>
      <c r="R518" s="63">
        <f t="shared" si="96"/>
        <v>-0.70926584396569747</v>
      </c>
      <c r="S518" s="63">
        <f t="shared" si="97"/>
        <v>-6.4310409469167679E-3</v>
      </c>
      <c r="T518" s="63">
        <f t="shared" si="98"/>
        <v>-0.7156968849126143</v>
      </c>
    </row>
    <row r="519" spans="1:20" x14ac:dyDescent="0.3">
      <c r="A519" s="18" t="s">
        <v>173</v>
      </c>
      <c r="B519" s="18" t="s">
        <v>174</v>
      </c>
      <c r="C519" s="18" t="s">
        <v>124</v>
      </c>
      <c r="D519" s="18" t="s">
        <v>121</v>
      </c>
      <c r="E519" s="61">
        <v>2021</v>
      </c>
      <c r="F519" s="62">
        <v>139000000</v>
      </c>
      <c r="G519" s="62">
        <v>222000000</v>
      </c>
      <c r="H519" s="62">
        <v>52985567</v>
      </c>
      <c r="I519" s="62">
        <v>53325298</v>
      </c>
      <c r="J519" s="62">
        <f t="shared" si="88"/>
        <v>2.6233559036935472</v>
      </c>
      <c r="K519" s="62">
        <f t="shared" si="89"/>
        <v>4.1631272271558615</v>
      </c>
      <c r="L519" s="63">
        <f t="shared" si="90"/>
        <v>0.59712230215827333</v>
      </c>
      <c r="M519" s="63">
        <f t="shared" si="91"/>
        <v>6.4117649245878598E-3</v>
      </c>
      <c r="N519" s="63">
        <f t="shared" si="92"/>
        <v>0.58694716995677076</v>
      </c>
      <c r="O519" s="62">
        <f t="shared" si="93"/>
        <v>4.1898202202875359</v>
      </c>
      <c r="P519" s="62">
        <f t="shared" si="94"/>
        <v>1.5664643165939887</v>
      </c>
      <c r="Q519" s="62">
        <f t="shared" si="95"/>
        <v>-2.6692993131674392E-2</v>
      </c>
      <c r="R519" s="63">
        <f t="shared" si="96"/>
        <v>0.59712230215827344</v>
      </c>
      <c r="S519" s="63">
        <f t="shared" si="97"/>
        <v>-1.0175132201502686E-2</v>
      </c>
      <c r="T519" s="63">
        <f t="shared" si="98"/>
        <v>0.58694716995677076</v>
      </c>
    </row>
    <row r="520" spans="1:20" x14ac:dyDescent="0.3">
      <c r="A520" s="18" t="s">
        <v>173</v>
      </c>
      <c r="B520" s="18" t="s">
        <v>174</v>
      </c>
      <c r="C520" s="18" t="s">
        <v>124</v>
      </c>
      <c r="D520" s="18" t="s">
        <v>121</v>
      </c>
      <c r="E520" s="61">
        <v>2022</v>
      </c>
      <c r="F520" s="62">
        <v>222000000</v>
      </c>
      <c r="G520" s="62">
        <v>331000000</v>
      </c>
      <c r="H520" s="62">
        <v>53325298</v>
      </c>
      <c r="I520" s="62">
        <v>53366518</v>
      </c>
      <c r="J520" s="62">
        <f t="shared" si="88"/>
        <v>4.1631272271558615</v>
      </c>
      <c r="K520" s="62">
        <f t="shared" si="89"/>
        <v>6.202390794917517</v>
      </c>
      <c r="L520" s="63">
        <f t="shared" si="90"/>
        <v>0.49099099099099097</v>
      </c>
      <c r="M520" s="63">
        <f t="shared" si="91"/>
        <v>7.7299146082596669E-4</v>
      </c>
      <c r="N520" s="63">
        <f t="shared" si="92"/>
        <v>0.48983935788933997</v>
      </c>
      <c r="O520" s="62">
        <f t="shared" si="93"/>
        <v>6.2071851900386941</v>
      </c>
      <c r="P520" s="62">
        <f t="shared" si="94"/>
        <v>2.0440579628828326</v>
      </c>
      <c r="Q520" s="62">
        <f t="shared" si="95"/>
        <v>-4.7943951211770752E-3</v>
      </c>
      <c r="R520" s="63">
        <f t="shared" si="96"/>
        <v>0.49099099099099092</v>
      </c>
      <c r="S520" s="63">
        <f t="shared" si="97"/>
        <v>-1.1516331016509624E-3</v>
      </c>
      <c r="T520" s="63">
        <f t="shared" si="98"/>
        <v>0.48983935788933997</v>
      </c>
    </row>
    <row r="521" spans="1:20" x14ac:dyDescent="0.3">
      <c r="A521" s="18" t="s">
        <v>173</v>
      </c>
      <c r="B521" s="18" t="s">
        <v>174</v>
      </c>
      <c r="C521" s="18" t="s">
        <v>124</v>
      </c>
      <c r="D521" s="18" t="s">
        <v>121</v>
      </c>
      <c r="E521" s="61">
        <v>2023</v>
      </c>
      <c r="F521" s="62">
        <v>331000000</v>
      </c>
      <c r="G521" s="62">
        <v>-102000000</v>
      </c>
      <c r="H521" s="62">
        <v>53366518</v>
      </c>
      <c r="I521" s="62">
        <v>53691433</v>
      </c>
      <c r="J521" s="62">
        <f t="shared" si="88"/>
        <v>6.202390794917517</v>
      </c>
      <c r="K521" s="62">
        <f t="shared" si="89"/>
        <v>-1.8997444154638228</v>
      </c>
      <c r="L521" s="63">
        <f t="shared" si="90"/>
        <v>-1.3081570996978853</v>
      </c>
      <c r="M521" s="63">
        <f t="shared" si="91"/>
        <v>6.0883679913311941E-3</v>
      </c>
      <c r="N521" s="63">
        <f t="shared" si="92"/>
        <v>-1.3062922795868568</v>
      </c>
      <c r="O521" s="62">
        <f t="shared" si="93"/>
        <v>-1.9113107585546427</v>
      </c>
      <c r="P521" s="62">
        <f t="shared" si="94"/>
        <v>-8.1137015534721595</v>
      </c>
      <c r="Q521" s="62">
        <f t="shared" si="95"/>
        <v>1.1566343090819942E-2</v>
      </c>
      <c r="R521" s="63">
        <f t="shared" si="96"/>
        <v>-1.3081570996978851</v>
      </c>
      <c r="S521" s="63">
        <f t="shared" si="97"/>
        <v>1.8648201110284535E-3</v>
      </c>
      <c r="T521" s="63">
        <f t="shared" si="98"/>
        <v>-1.3062922795868566</v>
      </c>
    </row>
    <row r="522" spans="1:20" x14ac:dyDescent="0.3">
      <c r="A522" s="18" t="s">
        <v>173</v>
      </c>
      <c r="B522" s="18" t="s">
        <v>174</v>
      </c>
      <c r="C522" s="18" t="s">
        <v>124</v>
      </c>
      <c r="D522" s="18" t="s">
        <v>121</v>
      </c>
      <c r="E522" s="61">
        <v>2024</v>
      </c>
      <c r="F522" s="62">
        <v>-102000000</v>
      </c>
      <c r="G522" s="62">
        <v>633000000</v>
      </c>
      <c r="H522" s="62">
        <v>53691433</v>
      </c>
      <c r="I522" s="62">
        <v>54545454</v>
      </c>
      <c r="J522" s="62">
        <f t="shared" si="88"/>
        <v>-1.8997444154638228</v>
      </c>
      <c r="K522" s="62">
        <f t="shared" si="89"/>
        <v>11.605000116050002</v>
      </c>
      <c r="L522" s="63">
        <f t="shared" si="90"/>
        <v>7.2058823529411766</v>
      </c>
      <c r="M522" s="63">
        <f t="shared" si="91"/>
        <v>1.5906094367047346E-2</v>
      </c>
      <c r="N522" s="63">
        <f t="shared" si="92"/>
        <v>7.1087165313322638</v>
      </c>
      <c r="O522" s="62">
        <f t="shared" si="93"/>
        <v>11.789590343025488</v>
      </c>
      <c r="P522" s="62">
        <f t="shared" si="94"/>
        <v>13.689334758489311</v>
      </c>
      <c r="Q522" s="62">
        <f t="shared" si="95"/>
        <v>-0.18459022697548555</v>
      </c>
      <c r="R522" s="63">
        <f t="shared" si="96"/>
        <v>7.2058823529411766</v>
      </c>
      <c r="S522" s="63">
        <f t="shared" si="97"/>
        <v>-9.7165821608912489E-2</v>
      </c>
      <c r="T522" s="63">
        <f t="shared" si="98"/>
        <v>7.1087165313322638</v>
      </c>
    </row>
    <row r="523" spans="1:20" x14ac:dyDescent="0.3">
      <c r="A523" s="18" t="s">
        <v>175</v>
      </c>
      <c r="B523" s="18" t="s">
        <v>176</v>
      </c>
      <c r="C523" s="18" t="s">
        <v>124</v>
      </c>
      <c r="D523" s="18" t="s">
        <v>121</v>
      </c>
      <c r="E523" s="61">
        <v>2016</v>
      </c>
      <c r="F523" s="62">
        <v>3107000000</v>
      </c>
      <c r="G523" s="62">
        <v>2580000000</v>
      </c>
      <c r="H523" s="62">
        <v>165893895</v>
      </c>
      <c r="I523" s="62">
        <v>159975155</v>
      </c>
      <c r="J523" s="62">
        <f t="shared" si="88"/>
        <v>18.728838695360068</v>
      </c>
      <c r="K523" s="62">
        <f t="shared" si="89"/>
        <v>16.127504299026935</v>
      </c>
      <c r="L523" s="63">
        <f t="shared" si="90"/>
        <v>-0.1696169938847763</v>
      </c>
      <c r="M523" s="63">
        <f t="shared" si="91"/>
        <v>-3.5677865059470695E-2</v>
      </c>
      <c r="N523" s="63">
        <f t="shared" si="92"/>
        <v>-0.13889459131161158</v>
      </c>
      <c r="O523" s="62">
        <f t="shared" si="93"/>
        <v>15.552109376900217</v>
      </c>
      <c r="P523" s="62">
        <f t="shared" si="94"/>
        <v>-3.1767293184598504</v>
      </c>
      <c r="Q523" s="62">
        <f t="shared" si="95"/>
        <v>0.57539492212671739</v>
      </c>
      <c r="R523" s="63">
        <f t="shared" si="96"/>
        <v>-0.1696169938847763</v>
      </c>
      <c r="S523" s="63">
        <f t="shared" si="97"/>
        <v>3.0722402573164734E-2</v>
      </c>
      <c r="T523" s="63">
        <f t="shared" si="98"/>
        <v>-0.13889459131161158</v>
      </c>
    </row>
    <row r="524" spans="1:20" x14ac:dyDescent="0.3">
      <c r="A524" s="18" t="s">
        <v>175</v>
      </c>
      <c r="B524" s="18" t="s">
        <v>176</v>
      </c>
      <c r="C524" s="18" t="s">
        <v>124</v>
      </c>
      <c r="D524" s="18" t="s">
        <v>121</v>
      </c>
      <c r="E524" s="61">
        <v>2017</v>
      </c>
      <c r="F524" s="62">
        <v>2580000000</v>
      </c>
      <c r="G524" s="62">
        <v>375000000</v>
      </c>
      <c r="H524" s="62">
        <v>159975155</v>
      </c>
      <c r="I524" s="62">
        <v>154060991</v>
      </c>
      <c r="J524" s="62">
        <f t="shared" si="88"/>
        <v>16.127504299026935</v>
      </c>
      <c r="K524" s="62">
        <f t="shared" si="89"/>
        <v>2.4341009204594823</v>
      </c>
      <c r="L524" s="63">
        <f t="shared" si="90"/>
        <v>-0.85465116279069764</v>
      </c>
      <c r="M524" s="63">
        <f t="shared" si="91"/>
        <v>-3.6969265633779197E-2</v>
      </c>
      <c r="N524" s="63">
        <f t="shared" si="92"/>
        <v>-0.84907144494722941</v>
      </c>
      <c r="O524" s="62">
        <f t="shared" si="93"/>
        <v>2.344113996951589</v>
      </c>
      <c r="P524" s="62">
        <f t="shared" si="94"/>
        <v>-13.783390302075347</v>
      </c>
      <c r="Q524" s="62">
        <f t="shared" si="95"/>
        <v>8.998692350789339E-2</v>
      </c>
      <c r="R524" s="63">
        <f t="shared" si="96"/>
        <v>-0.85465116279069775</v>
      </c>
      <c r="S524" s="63">
        <f t="shared" si="97"/>
        <v>5.5797178434683669E-3</v>
      </c>
      <c r="T524" s="63">
        <f t="shared" si="98"/>
        <v>-0.84907144494722941</v>
      </c>
    </row>
    <row r="525" spans="1:20" x14ac:dyDescent="0.3">
      <c r="A525" s="18" t="s">
        <v>175</v>
      </c>
      <c r="B525" s="18" t="s">
        <v>176</v>
      </c>
      <c r="C525" s="18" t="s">
        <v>124</v>
      </c>
      <c r="D525" s="18" t="s">
        <v>121</v>
      </c>
      <c r="E525" s="61">
        <v>2018</v>
      </c>
      <c r="F525" s="62">
        <v>375000000</v>
      </c>
      <c r="G525" s="62">
        <v>2310000000</v>
      </c>
      <c r="H525" s="62">
        <v>154060991</v>
      </c>
      <c r="I525" s="62">
        <v>148703565</v>
      </c>
      <c r="J525" s="62">
        <f t="shared" si="88"/>
        <v>2.4341009204594823</v>
      </c>
      <c r="K525" s="62">
        <f t="shared" si="89"/>
        <v>15.534261064958327</v>
      </c>
      <c r="L525" s="63">
        <f t="shared" si="90"/>
        <v>5.16</v>
      </c>
      <c r="M525" s="63">
        <f t="shared" si="91"/>
        <v>-3.4774708154382834E-2</v>
      </c>
      <c r="N525" s="63">
        <f t="shared" si="92"/>
        <v>5.3819297443205203</v>
      </c>
      <c r="O525" s="62">
        <f t="shared" si="93"/>
        <v>14.99406167003041</v>
      </c>
      <c r="P525" s="62">
        <f t="shared" si="94"/>
        <v>12.559960749570928</v>
      </c>
      <c r="Q525" s="62">
        <f t="shared" si="95"/>
        <v>0.54019939492791735</v>
      </c>
      <c r="R525" s="63">
        <f t="shared" si="96"/>
        <v>5.16</v>
      </c>
      <c r="S525" s="63">
        <f t="shared" si="97"/>
        <v>0.22192974432052084</v>
      </c>
      <c r="T525" s="63">
        <f t="shared" si="98"/>
        <v>5.3819297443205212</v>
      </c>
    </row>
    <row r="526" spans="1:20" x14ac:dyDescent="0.3">
      <c r="A526" s="18" t="s">
        <v>175</v>
      </c>
      <c r="B526" s="18" t="s">
        <v>176</v>
      </c>
      <c r="C526" s="18" t="s">
        <v>124</v>
      </c>
      <c r="D526" s="18" t="s">
        <v>121</v>
      </c>
      <c r="E526" s="61">
        <v>2019</v>
      </c>
      <c r="F526" s="62">
        <v>2310000000</v>
      </c>
      <c r="G526" s="62">
        <v>2724000000</v>
      </c>
      <c r="H526" s="62">
        <v>148703565</v>
      </c>
      <c r="I526" s="62">
        <v>143638536</v>
      </c>
      <c r="J526" s="62">
        <f t="shared" si="88"/>
        <v>15.534261064958327</v>
      </c>
      <c r="K526" s="62">
        <f t="shared" si="89"/>
        <v>18.964270145443422</v>
      </c>
      <c r="L526" s="63">
        <f t="shared" si="90"/>
        <v>0.17922077922077922</v>
      </c>
      <c r="M526" s="63">
        <f t="shared" si="91"/>
        <v>-3.4061247959993428E-2</v>
      </c>
      <c r="N526" s="63">
        <f t="shared" si="92"/>
        <v>0.22080284772749154</v>
      </c>
      <c r="O526" s="62">
        <f t="shared" si="93"/>
        <v>18.318323437639172</v>
      </c>
      <c r="P526" s="62">
        <f t="shared" si="94"/>
        <v>2.7840623726808449</v>
      </c>
      <c r="Q526" s="62">
        <f t="shared" si="95"/>
        <v>0.64594670780424934</v>
      </c>
      <c r="R526" s="63">
        <f t="shared" si="96"/>
        <v>0.17922077922077934</v>
      </c>
      <c r="S526" s="63">
        <f t="shared" si="97"/>
        <v>4.1582068506712207E-2</v>
      </c>
      <c r="T526" s="63">
        <f t="shared" si="98"/>
        <v>0.22080284772749154</v>
      </c>
    </row>
    <row r="527" spans="1:20" x14ac:dyDescent="0.3">
      <c r="A527" s="18" t="s">
        <v>175</v>
      </c>
      <c r="B527" s="18" t="s">
        <v>176</v>
      </c>
      <c r="C527" s="18" t="s">
        <v>124</v>
      </c>
      <c r="D527" s="18" t="s">
        <v>121</v>
      </c>
      <c r="E527" s="61">
        <v>2020</v>
      </c>
      <c r="F527" s="62">
        <v>2724000000</v>
      </c>
      <c r="G527" s="62">
        <v>1211000000</v>
      </c>
      <c r="H527" s="62">
        <v>143638536</v>
      </c>
      <c r="I527" s="62">
        <v>140285225</v>
      </c>
      <c r="J527" s="62">
        <f t="shared" si="88"/>
        <v>18.964270145443422</v>
      </c>
      <c r="K527" s="62">
        <f t="shared" si="89"/>
        <v>8.6324130000147914</v>
      </c>
      <c r="L527" s="63">
        <f t="shared" si="90"/>
        <v>-0.55543318649045526</v>
      </c>
      <c r="M527" s="63">
        <f t="shared" si="91"/>
        <v>-2.3345482997682462E-2</v>
      </c>
      <c r="N527" s="63">
        <f t="shared" si="92"/>
        <v>-0.54480647376303504</v>
      </c>
      <c r="O527" s="62">
        <f t="shared" si="93"/>
        <v>8.4308851490939727</v>
      </c>
      <c r="P527" s="62">
        <f t="shared" si="94"/>
        <v>-10.533384996349449</v>
      </c>
      <c r="Q527" s="62">
        <f t="shared" si="95"/>
        <v>0.20152785092081871</v>
      </c>
      <c r="R527" s="63">
        <f t="shared" si="96"/>
        <v>-0.55543318649045526</v>
      </c>
      <c r="S527" s="63">
        <f t="shared" si="97"/>
        <v>1.0626712727420209E-2</v>
      </c>
      <c r="T527" s="63">
        <f t="shared" si="98"/>
        <v>-0.54480647376303504</v>
      </c>
    </row>
    <row r="528" spans="1:20" x14ac:dyDescent="0.3">
      <c r="A528" s="18" t="s">
        <v>175</v>
      </c>
      <c r="B528" s="18" t="s">
        <v>176</v>
      </c>
      <c r="C528" s="18" t="s">
        <v>124</v>
      </c>
      <c r="D528" s="18" t="s">
        <v>121</v>
      </c>
      <c r="E528" s="61">
        <v>2021</v>
      </c>
      <c r="F528" s="62">
        <v>1211000000</v>
      </c>
      <c r="G528" s="62">
        <v>2933000000</v>
      </c>
      <c r="H528" s="62">
        <v>140285225</v>
      </c>
      <c r="I528" s="62">
        <v>140098931</v>
      </c>
      <c r="J528" s="62">
        <f t="shared" si="88"/>
        <v>8.6324130000147914</v>
      </c>
      <c r="K528" s="62">
        <f t="shared" si="89"/>
        <v>20.935206136583584</v>
      </c>
      <c r="L528" s="63">
        <f t="shared" si="90"/>
        <v>1.4219653179190752</v>
      </c>
      <c r="M528" s="63">
        <f t="shared" si="91"/>
        <v>-1.327965935115405E-3</v>
      </c>
      <c r="N528" s="63">
        <f t="shared" si="92"/>
        <v>1.4251858821569023</v>
      </c>
      <c r="O528" s="62">
        <f t="shared" si="93"/>
        <v>20.907404895989583</v>
      </c>
      <c r="P528" s="62">
        <f t="shared" si="94"/>
        <v>12.274991895974791</v>
      </c>
      <c r="Q528" s="62">
        <f t="shared" si="95"/>
        <v>2.7801240594001797E-2</v>
      </c>
      <c r="R528" s="63">
        <f t="shared" si="96"/>
        <v>1.4219653179190752</v>
      </c>
      <c r="S528" s="63">
        <f t="shared" si="97"/>
        <v>3.2205642378271477E-3</v>
      </c>
      <c r="T528" s="63">
        <f t="shared" si="98"/>
        <v>1.4251858821569023</v>
      </c>
    </row>
    <row r="529" spans="1:20" x14ac:dyDescent="0.3">
      <c r="A529" s="18" t="s">
        <v>175</v>
      </c>
      <c r="B529" s="18" t="s">
        <v>176</v>
      </c>
      <c r="C529" s="18" t="s">
        <v>124</v>
      </c>
      <c r="D529" s="18" t="s">
        <v>121</v>
      </c>
      <c r="E529" s="61">
        <v>2022</v>
      </c>
      <c r="F529" s="62">
        <v>2933000000</v>
      </c>
      <c r="G529" s="62">
        <v>3432000000</v>
      </c>
      <c r="H529" s="62">
        <v>140098931</v>
      </c>
      <c r="I529" s="62">
        <v>139364438</v>
      </c>
      <c r="J529" s="62">
        <f t="shared" si="88"/>
        <v>20.935206136583584</v>
      </c>
      <c r="K529" s="62">
        <f t="shared" si="89"/>
        <v>24.626081439800302</v>
      </c>
      <c r="L529" s="63">
        <f t="shared" si="90"/>
        <v>0.17013296965564267</v>
      </c>
      <c r="M529" s="63">
        <f t="shared" si="91"/>
        <v>-5.2426738359623885E-3</v>
      </c>
      <c r="N529" s="63">
        <f t="shared" si="92"/>
        <v>0.17629992650356732</v>
      </c>
      <c r="O529" s="62">
        <f t="shared" si="93"/>
        <v>24.496974926953584</v>
      </c>
      <c r="P529" s="62">
        <f t="shared" si="94"/>
        <v>3.5617687903699995</v>
      </c>
      <c r="Q529" s="62">
        <f t="shared" si="95"/>
        <v>0.12910651284671815</v>
      </c>
      <c r="R529" s="63">
        <f t="shared" si="96"/>
        <v>0.17013296965564267</v>
      </c>
      <c r="S529" s="63">
        <f t="shared" si="97"/>
        <v>6.1669568479246432E-3</v>
      </c>
      <c r="T529" s="63">
        <f t="shared" si="98"/>
        <v>0.17629992650356732</v>
      </c>
    </row>
    <row r="530" spans="1:20" x14ac:dyDescent="0.3">
      <c r="A530" s="18" t="s">
        <v>175</v>
      </c>
      <c r="B530" s="18" t="s">
        <v>176</v>
      </c>
      <c r="C530" s="18" t="s">
        <v>124</v>
      </c>
      <c r="D530" s="18" t="s">
        <v>121</v>
      </c>
      <c r="E530" s="61">
        <v>2023</v>
      </c>
      <c r="F530" s="62">
        <v>3432000000</v>
      </c>
      <c r="G530" s="62">
        <v>4606000000</v>
      </c>
      <c r="H530" s="62">
        <v>139364438</v>
      </c>
      <c r="I530" s="62">
        <v>135976812</v>
      </c>
      <c r="J530" s="62">
        <f t="shared" si="88"/>
        <v>24.626081439800302</v>
      </c>
      <c r="K530" s="62">
        <f t="shared" si="89"/>
        <v>33.873422477355916</v>
      </c>
      <c r="L530" s="63">
        <f t="shared" si="90"/>
        <v>0.34207459207459207</v>
      </c>
      <c r="M530" s="63">
        <f t="shared" si="91"/>
        <v>-2.4307678835543398E-2</v>
      </c>
      <c r="N530" s="63">
        <f t="shared" si="92"/>
        <v>0.37551004857030162</v>
      </c>
      <c r="O530" s="62">
        <f t="shared" si="93"/>
        <v>33.050038202715676</v>
      </c>
      <c r="P530" s="62">
        <f t="shared" si="94"/>
        <v>8.423956762915374</v>
      </c>
      <c r="Q530" s="62">
        <f t="shared" si="95"/>
        <v>0.82338427464024022</v>
      </c>
      <c r="R530" s="63">
        <f t="shared" si="96"/>
        <v>0.34207459207459218</v>
      </c>
      <c r="S530" s="63">
        <f t="shared" si="97"/>
        <v>3.343545649570942E-2</v>
      </c>
      <c r="T530" s="63">
        <f t="shared" si="98"/>
        <v>0.37551004857030157</v>
      </c>
    </row>
    <row r="531" spans="1:20" x14ac:dyDescent="0.3">
      <c r="A531" s="18" t="s">
        <v>175</v>
      </c>
      <c r="B531" s="18" t="s">
        <v>176</v>
      </c>
      <c r="C531" s="18" t="s">
        <v>124</v>
      </c>
      <c r="D531" s="18" t="s">
        <v>121</v>
      </c>
      <c r="E531" s="61">
        <v>2024</v>
      </c>
      <c r="F531" s="62">
        <v>4606000000</v>
      </c>
      <c r="G531" s="62">
        <v>5685000000</v>
      </c>
      <c r="H531" s="62">
        <v>135976812</v>
      </c>
      <c r="I531" s="62">
        <v>132886198</v>
      </c>
      <c r="J531" s="62">
        <f t="shared" si="88"/>
        <v>33.873422477355916</v>
      </c>
      <c r="K531" s="62">
        <f t="shared" si="89"/>
        <v>42.780966613252041</v>
      </c>
      <c r="L531" s="63">
        <f t="shared" si="90"/>
        <v>0.23425966131133305</v>
      </c>
      <c r="M531" s="63">
        <f t="shared" si="91"/>
        <v>-2.272897823196502E-2</v>
      </c>
      <c r="N531" s="63">
        <f t="shared" si="92"/>
        <v>0.26296557845168256</v>
      </c>
      <c r="O531" s="62">
        <f t="shared" si="93"/>
        <v>41.808598954357009</v>
      </c>
      <c r="P531" s="62">
        <f t="shared" si="94"/>
        <v>7.9351764770010931</v>
      </c>
      <c r="Q531" s="62">
        <f t="shared" si="95"/>
        <v>0.97236765889503118</v>
      </c>
      <c r="R531" s="63">
        <f t="shared" si="96"/>
        <v>0.23425966131133305</v>
      </c>
      <c r="S531" s="63">
        <f t="shared" si="97"/>
        <v>2.87059171403495E-2</v>
      </c>
      <c r="T531" s="63">
        <f t="shared" si="98"/>
        <v>0.26296557845168256</v>
      </c>
    </row>
    <row r="532" spans="1:20" x14ac:dyDescent="0.3">
      <c r="A532" s="18" t="s">
        <v>177</v>
      </c>
      <c r="B532" s="18" t="s">
        <v>178</v>
      </c>
      <c r="C532" s="18" t="s">
        <v>124</v>
      </c>
      <c r="D532" s="18" t="s">
        <v>121</v>
      </c>
      <c r="E532" s="61">
        <v>2016</v>
      </c>
      <c r="F532" s="62">
        <v>-273000000</v>
      </c>
      <c r="G532" s="62">
        <v>1374000000</v>
      </c>
      <c r="H532" s="62">
        <v>306250000</v>
      </c>
      <c r="I532" s="62">
        <v>306250000</v>
      </c>
      <c r="J532" s="62">
        <f t="shared" si="88"/>
        <v>-0.89142857142857146</v>
      </c>
      <c r="K532" s="62">
        <f t="shared" si="89"/>
        <v>4.4865306122448976</v>
      </c>
      <c r="L532" s="63">
        <f t="shared" si="90"/>
        <v>6.0329670329670328</v>
      </c>
      <c r="M532" s="63">
        <f t="shared" si="91"/>
        <v>0</v>
      </c>
      <c r="N532" s="63">
        <f t="shared" si="92"/>
        <v>6.032967032967032</v>
      </c>
      <c r="O532" s="62">
        <f t="shared" si="93"/>
        <v>4.4865306122448976</v>
      </c>
      <c r="P532" s="62">
        <f t="shared" si="94"/>
        <v>5.377959183673469</v>
      </c>
      <c r="Q532" s="62">
        <f t="shared" si="95"/>
        <v>0</v>
      </c>
      <c r="R532" s="63">
        <f t="shared" si="96"/>
        <v>6.032967032967032</v>
      </c>
      <c r="S532" s="63">
        <f t="shared" si="97"/>
        <v>0</v>
      </c>
      <c r="T532" s="63">
        <f t="shared" si="98"/>
        <v>6.032967032967032</v>
      </c>
    </row>
    <row r="533" spans="1:20" x14ac:dyDescent="0.3">
      <c r="A533" s="18" t="s">
        <v>177</v>
      </c>
      <c r="B533" s="18" t="s">
        <v>178</v>
      </c>
      <c r="C533" s="18" t="s">
        <v>124</v>
      </c>
      <c r="D533" s="18" t="s">
        <v>121</v>
      </c>
      <c r="E533" s="61">
        <v>2017</v>
      </c>
      <c r="F533" s="62">
        <v>1374000000</v>
      </c>
      <c r="G533" s="62">
        <v>3332000000</v>
      </c>
      <c r="H533" s="62">
        <v>306250000</v>
      </c>
      <c r="I533" s="62">
        <v>306250000</v>
      </c>
      <c r="J533" s="62">
        <f t="shared" si="88"/>
        <v>4.4865306122448976</v>
      </c>
      <c r="K533" s="62">
        <f t="shared" si="89"/>
        <v>10.88</v>
      </c>
      <c r="L533" s="63">
        <f t="shared" si="90"/>
        <v>1.4250363901018923</v>
      </c>
      <c r="M533" s="63">
        <f t="shared" si="91"/>
        <v>0</v>
      </c>
      <c r="N533" s="63">
        <f t="shared" si="92"/>
        <v>1.4250363901018928</v>
      </c>
      <c r="O533" s="62">
        <f t="shared" si="93"/>
        <v>10.88</v>
      </c>
      <c r="P533" s="62">
        <f t="shared" si="94"/>
        <v>6.3934693877551032</v>
      </c>
      <c r="Q533" s="62">
        <f t="shared" si="95"/>
        <v>0</v>
      </c>
      <c r="R533" s="63">
        <f t="shared" si="96"/>
        <v>1.4250363901018928</v>
      </c>
      <c r="S533" s="63">
        <f t="shared" si="97"/>
        <v>0</v>
      </c>
      <c r="T533" s="63">
        <f t="shared" si="98"/>
        <v>1.4250363901018928</v>
      </c>
    </row>
    <row r="534" spans="1:20" x14ac:dyDescent="0.3">
      <c r="A534" s="18" t="s">
        <v>177</v>
      </c>
      <c r="B534" s="18" t="s">
        <v>178</v>
      </c>
      <c r="C534" s="18" t="s">
        <v>124</v>
      </c>
      <c r="D534" s="18" t="s">
        <v>121</v>
      </c>
      <c r="E534" s="61">
        <v>2018</v>
      </c>
      <c r="F534" s="62">
        <v>3332000000</v>
      </c>
      <c r="G534" s="62">
        <v>3473000000</v>
      </c>
      <c r="H534" s="62">
        <v>306250000</v>
      </c>
      <c r="I534" s="62">
        <v>306250000</v>
      </c>
      <c r="J534" s="62">
        <f t="shared" si="88"/>
        <v>10.88</v>
      </c>
      <c r="K534" s="62">
        <f t="shared" si="89"/>
        <v>11.340408163265305</v>
      </c>
      <c r="L534" s="63">
        <f t="shared" si="90"/>
        <v>4.2316926770708287E-2</v>
      </c>
      <c r="M534" s="63">
        <f t="shared" si="91"/>
        <v>0</v>
      </c>
      <c r="N534" s="63">
        <f t="shared" si="92"/>
        <v>4.2316926770708134E-2</v>
      </c>
      <c r="O534" s="62">
        <f t="shared" si="93"/>
        <v>11.340408163265305</v>
      </c>
      <c r="P534" s="62">
        <f t="shared" si="94"/>
        <v>0.46040816326530454</v>
      </c>
      <c r="Q534" s="62">
        <f t="shared" si="95"/>
        <v>0</v>
      </c>
      <c r="R534" s="63">
        <f t="shared" si="96"/>
        <v>4.2316926770708134E-2</v>
      </c>
      <c r="S534" s="63">
        <f t="shared" si="97"/>
        <v>0</v>
      </c>
      <c r="T534" s="63">
        <f t="shared" si="98"/>
        <v>4.2316926770708134E-2</v>
      </c>
    </row>
    <row r="535" spans="1:20" x14ac:dyDescent="0.3">
      <c r="A535" s="18" t="s">
        <v>177</v>
      </c>
      <c r="B535" s="18" t="s">
        <v>178</v>
      </c>
      <c r="C535" s="18" t="s">
        <v>124</v>
      </c>
      <c r="D535" s="18" t="s">
        <v>121</v>
      </c>
      <c r="E535" s="61">
        <v>2019</v>
      </c>
      <c r="F535" s="62">
        <v>3473000000</v>
      </c>
      <c r="G535" s="62">
        <v>4407000000</v>
      </c>
      <c r="H535" s="62">
        <v>306250000</v>
      </c>
      <c r="I535" s="62">
        <v>306250000</v>
      </c>
      <c r="J535" s="62">
        <f t="shared" si="88"/>
        <v>11.340408163265305</v>
      </c>
      <c r="K535" s="62">
        <f t="shared" si="89"/>
        <v>14.390204081632653</v>
      </c>
      <c r="L535" s="63">
        <f t="shared" si="90"/>
        <v>0.26893175928591995</v>
      </c>
      <c r="M535" s="63">
        <f t="shared" si="91"/>
        <v>0</v>
      </c>
      <c r="N535" s="63">
        <f t="shared" si="92"/>
        <v>0.26893175928592006</v>
      </c>
      <c r="O535" s="62">
        <f t="shared" si="93"/>
        <v>14.390204081632653</v>
      </c>
      <c r="P535" s="62">
        <f t="shared" si="94"/>
        <v>3.049795918367348</v>
      </c>
      <c r="Q535" s="62">
        <f t="shared" si="95"/>
        <v>0</v>
      </c>
      <c r="R535" s="63">
        <f t="shared" si="96"/>
        <v>0.26893175928592006</v>
      </c>
      <c r="S535" s="63">
        <f t="shared" si="97"/>
        <v>0</v>
      </c>
      <c r="T535" s="63">
        <f t="shared" si="98"/>
        <v>0.26893175928592006</v>
      </c>
    </row>
    <row r="536" spans="1:20" x14ac:dyDescent="0.3">
      <c r="A536" s="18" t="s">
        <v>177</v>
      </c>
      <c r="B536" s="18" t="s">
        <v>178</v>
      </c>
      <c r="C536" s="18" t="s">
        <v>124</v>
      </c>
      <c r="D536" s="18" t="s">
        <v>121</v>
      </c>
      <c r="E536" s="61">
        <v>2020</v>
      </c>
      <c r="F536" s="62">
        <v>4407000000</v>
      </c>
      <c r="G536" s="62">
        <v>2623000000</v>
      </c>
      <c r="H536" s="62">
        <v>306250000</v>
      </c>
      <c r="I536" s="62">
        <v>306250000</v>
      </c>
      <c r="J536" s="62">
        <f t="shared" si="88"/>
        <v>14.390204081632653</v>
      </c>
      <c r="K536" s="62">
        <f t="shared" si="89"/>
        <v>8.5648979591836731</v>
      </c>
      <c r="L536" s="63">
        <f t="shared" si="90"/>
        <v>-0.40481052870433404</v>
      </c>
      <c r="M536" s="63">
        <f t="shared" si="91"/>
        <v>0</v>
      </c>
      <c r="N536" s="63">
        <f t="shared" si="92"/>
        <v>-0.40481052870433404</v>
      </c>
      <c r="O536" s="62">
        <f t="shared" si="93"/>
        <v>8.5648979591836731</v>
      </c>
      <c r="P536" s="62">
        <f t="shared" si="94"/>
        <v>-5.8253061224489802</v>
      </c>
      <c r="Q536" s="62">
        <f t="shared" si="95"/>
        <v>0</v>
      </c>
      <c r="R536" s="63">
        <f t="shared" si="96"/>
        <v>-0.40481052870433404</v>
      </c>
      <c r="S536" s="63">
        <f t="shared" si="97"/>
        <v>0</v>
      </c>
      <c r="T536" s="63">
        <f t="shared" si="98"/>
        <v>-0.40481052870433404</v>
      </c>
    </row>
    <row r="537" spans="1:20" x14ac:dyDescent="0.3">
      <c r="A537" s="18" t="s">
        <v>177</v>
      </c>
      <c r="B537" s="18" t="s">
        <v>178</v>
      </c>
      <c r="C537" s="18" t="s">
        <v>124</v>
      </c>
      <c r="D537" s="18" t="s">
        <v>121</v>
      </c>
      <c r="E537" s="61">
        <v>2021</v>
      </c>
      <c r="F537" s="62">
        <v>2623000000</v>
      </c>
      <c r="G537" s="62">
        <v>4566000000</v>
      </c>
      <c r="H537" s="62">
        <v>306250000</v>
      </c>
      <c r="I537" s="62">
        <v>306250000</v>
      </c>
      <c r="J537" s="62">
        <f t="shared" si="88"/>
        <v>8.5648979591836731</v>
      </c>
      <c r="K537" s="62">
        <f t="shared" si="89"/>
        <v>14.90938775510204</v>
      </c>
      <c r="L537" s="63">
        <f t="shared" si="90"/>
        <v>0.74075486084635911</v>
      </c>
      <c r="M537" s="63">
        <f t="shared" si="91"/>
        <v>0</v>
      </c>
      <c r="N537" s="63">
        <f t="shared" si="92"/>
        <v>0.74075486084635911</v>
      </c>
      <c r="O537" s="62">
        <f t="shared" si="93"/>
        <v>14.90938775510204</v>
      </c>
      <c r="P537" s="62">
        <f t="shared" si="94"/>
        <v>6.344489795918367</v>
      </c>
      <c r="Q537" s="62">
        <f t="shared" si="95"/>
        <v>0</v>
      </c>
      <c r="R537" s="63">
        <f t="shared" si="96"/>
        <v>0.74075486084635911</v>
      </c>
      <c r="S537" s="63">
        <f t="shared" si="97"/>
        <v>0</v>
      </c>
      <c r="T537" s="63">
        <f t="shared" si="98"/>
        <v>0.74075486084635911</v>
      </c>
    </row>
    <row r="538" spans="1:20" x14ac:dyDescent="0.3">
      <c r="A538" s="18" t="s">
        <v>177</v>
      </c>
      <c r="B538" s="18" t="s">
        <v>178</v>
      </c>
      <c r="C538" s="18" t="s">
        <v>124</v>
      </c>
      <c r="D538" s="18" t="s">
        <v>121</v>
      </c>
      <c r="E538" s="61">
        <v>2022</v>
      </c>
      <c r="F538" s="62">
        <v>4566000000</v>
      </c>
      <c r="G538" s="62">
        <v>5492000000</v>
      </c>
      <c r="H538" s="62">
        <v>306250000</v>
      </c>
      <c r="I538" s="62">
        <v>306250000</v>
      </c>
      <c r="J538" s="62">
        <f t="shared" si="88"/>
        <v>14.90938775510204</v>
      </c>
      <c r="K538" s="62">
        <f t="shared" si="89"/>
        <v>17.933061224489794</v>
      </c>
      <c r="L538" s="63">
        <f t="shared" si="90"/>
        <v>0.20280332895313186</v>
      </c>
      <c r="M538" s="63">
        <f t="shared" si="91"/>
        <v>0</v>
      </c>
      <c r="N538" s="63">
        <f t="shared" si="92"/>
        <v>0.20280332895313177</v>
      </c>
      <c r="O538" s="62">
        <f t="shared" si="93"/>
        <v>17.933061224489794</v>
      </c>
      <c r="P538" s="62">
        <f t="shared" si="94"/>
        <v>3.0236734693877541</v>
      </c>
      <c r="Q538" s="62">
        <f t="shared" si="95"/>
        <v>0</v>
      </c>
      <c r="R538" s="63">
        <f t="shared" si="96"/>
        <v>0.20280332895313177</v>
      </c>
      <c r="S538" s="63">
        <f t="shared" si="97"/>
        <v>0</v>
      </c>
      <c r="T538" s="63">
        <f t="shared" si="98"/>
        <v>0.20280332895313177</v>
      </c>
    </row>
    <row r="539" spans="1:20" x14ac:dyDescent="0.3">
      <c r="A539" s="18" t="s">
        <v>177</v>
      </c>
      <c r="B539" s="18" t="s">
        <v>178</v>
      </c>
      <c r="C539" s="18" t="s">
        <v>124</v>
      </c>
      <c r="D539" s="18" t="s">
        <v>121</v>
      </c>
      <c r="E539" s="61">
        <v>2023</v>
      </c>
      <c r="F539" s="62">
        <v>5492000000</v>
      </c>
      <c r="G539" s="62">
        <v>5074000000</v>
      </c>
      <c r="H539" s="62">
        <v>306250000</v>
      </c>
      <c r="I539" s="62">
        <v>306250000</v>
      </c>
      <c r="J539" s="62">
        <f t="shared" si="88"/>
        <v>17.933061224489794</v>
      </c>
      <c r="K539" s="62">
        <f t="shared" si="89"/>
        <v>16.568163265306122</v>
      </c>
      <c r="L539" s="63">
        <f t="shared" si="90"/>
        <v>-7.6110706482155857E-2</v>
      </c>
      <c r="M539" s="63">
        <f t="shared" si="91"/>
        <v>0</v>
      </c>
      <c r="N539" s="63">
        <f t="shared" si="92"/>
        <v>-7.6110706482155788E-2</v>
      </c>
      <c r="O539" s="62">
        <f t="shared" si="93"/>
        <v>16.568163265306122</v>
      </c>
      <c r="P539" s="62">
        <f t="shared" si="94"/>
        <v>-1.3648979591836721</v>
      </c>
      <c r="Q539" s="62">
        <f t="shared" si="95"/>
        <v>0</v>
      </c>
      <c r="R539" s="63">
        <f t="shared" si="96"/>
        <v>-7.6110706482155788E-2</v>
      </c>
      <c r="S539" s="63">
        <f t="shared" si="97"/>
        <v>0</v>
      </c>
      <c r="T539" s="63">
        <f t="shared" si="98"/>
        <v>-7.6110706482155788E-2</v>
      </c>
    </row>
    <row r="540" spans="1:20" x14ac:dyDescent="0.3">
      <c r="A540" s="18" t="s">
        <v>177</v>
      </c>
      <c r="B540" s="18" t="s">
        <v>178</v>
      </c>
      <c r="C540" s="18" t="s">
        <v>124</v>
      </c>
      <c r="D540" s="18" t="s">
        <v>121</v>
      </c>
      <c r="E540" s="61">
        <v>2024</v>
      </c>
      <c r="F540" s="62">
        <v>5074000000</v>
      </c>
      <c r="G540" s="62">
        <v>-20017000000</v>
      </c>
      <c r="H540" s="62">
        <v>306250000</v>
      </c>
      <c r="I540" s="62">
        <v>306250000</v>
      </c>
      <c r="J540" s="62">
        <f t="shared" si="88"/>
        <v>16.568163265306122</v>
      </c>
      <c r="K540" s="62">
        <f t="shared" si="89"/>
        <v>-65.361632653061221</v>
      </c>
      <c r="L540" s="63">
        <f t="shared" si="90"/>
        <v>-4.9450137958218372</v>
      </c>
      <c r="M540" s="63">
        <f t="shared" si="91"/>
        <v>0</v>
      </c>
      <c r="N540" s="63">
        <f t="shared" si="92"/>
        <v>-4.9450137958218372</v>
      </c>
      <c r="O540" s="62">
        <f t="shared" si="93"/>
        <v>-65.361632653061221</v>
      </c>
      <c r="P540" s="62">
        <f t="shared" si="94"/>
        <v>-81.929795918367347</v>
      </c>
      <c r="Q540" s="62">
        <f t="shared" si="95"/>
        <v>0</v>
      </c>
      <c r="R540" s="63">
        <f t="shared" si="96"/>
        <v>-4.9450137958218372</v>
      </c>
      <c r="S540" s="63">
        <f t="shared" si="97"/>
        <v>0</v>
      </c>
      <c r="T540" s="63">
        <f t="shared" si="98"/>
        <v>-4.9450137958218372</v>
      </c>
    </row>
    <row r="541" spans="1:20" x14ac:dyDescent="0.3">
      <c r="A541" s="18" t="s">
        <v>179</v>
      </c>
      <c r="B541" s="18" t="s">
        <v>180</v>
      </c>
      <c r="C541" s="18" t="s">
        <v>124</v>
      </c>
      <c r="D541" s="18" t="s">
        <v>121</v>
      </c>
      <c r="E541" s="61">
        <v>2016</v>
      </c>
      <c r="F541" s="62">
        <v>127103000</v>
      </c>
      <c r="G541" s="62">
        <v>80404000</v>
      </c>
      <c r="H541" s="62">
        <v>212032295</v>
      </c>
      <c r="I541" s="62">
        <v>213228299</v>
      </c>
      <c r="J541" s="62">
        <f t="shared" si="88"/>
        <v>0.59945113549801454</v>
      </c>
      <c r="K541" s="62">
        <f t="shared" si="89"/>
        <v>0.37707940445559712</v>
      </c>
      <c r="L541" s="63">
        <f t="shared" si="90"/>
        <v>-0.36741068267468119</v>
      </c>
      <c r="M541" s="63">
        <f t="shared" si="91"/>
        <v>5.6406690311020784E-3</v>
      </c>
      <c r="N541" s="63">
        <f t="shared" si="92"/>
        <v>-0.37095889535295401</v>
      </c>
      <c r="O541" s="62">
        <f t="shared" si="93"/>
        <v>0.37920638457457623</v>
      </c>
      <c r="P541" s="62">
        <f t="shared" si="94"/>
        <v>-0.22024475092343831</v>
      </c>
      <c r="Q541" s="62">
        <f t="shared" si="95"/>
        <v>-2.1269801189791049E-3</v>
      </c>
      <c r="R541" s="63">
        <f t="shared" si="96"/>
        <v>-0.36741068267468113</v>
      </c>
      <c r="S541" s="63">
        <f t="shared" si="97"/>
        <v>-3.5482126782728392E-3</v>
      </c>
      <c r="T541" s="63">
        <f t="shared" si="98"/>
        <v>-0.37095889535295395</v>
      </c>
    </row>
    <row r="542" spans="1:20" x14ac:dyDescent="0.3">
      <c r="A542" s="18" t="s">
        <v>179</v>
      </c>
      <c r="B542" s="18" t="s">
        <v>180</v>
      </c>
      <c r="C542" s="18" t="s">
        <v>124</v>
      </c>
      <c r="D542" s="18" t="s">
        <v>121</v>
      </c>
      <c r="E542" s="61">
        <v>2017</v>
      </c>
      <c r="F542" s="62">
        <v>80404000</v>
      </c>
      <c r="G542" s="62">
        <v>40394000</v>
      </c>
      <c r="H542" s="62">
        <v>213228299</v>
      </c>
      <c r="I542" s="62">
        <v>215086501</v>
      </c>
      <c r="J542" s="62">
        <f t="shared" si="88"/>
        <v>0.37707940445559712</v>
      </c>
      <c r="K542" s="62">
        <f t="shared" si="89"/>
        <v>0.18780351073729168</v>
      </c>
      <c r="L542" s="63">
        <f t="shared" si="90"/>
        <v>-0.49761205910153722</v>
      </c>
      <c r="M542" s="63">
        <f t="shared" si="91"/>
        <v>8.7146125008482102E-3</v>
      </c>
      <c r="N542" s="63">
        <f t="shared" si="92"/>
        <v>-0.5019523513663382</v>
      </c>
      <c r="O542" s="62">
        <f t="shared" si="93"/>
        <v>0.18944014555966607</v>
      </c>
      <c r="P542" s="62">
        <f t="shared" si="94"/>
        <v>-0.18763925889593105</v>
      </c>
      <c r="Q542" s="62">
        <f t="shared" si="95"/>
        <v>-1.6366348223743887E-3</v>
      </c>
      <c r="R542" s="63">
        <f t="shared" si="96"/>
        <v>-0.49761205910153722</v>
      </c>
      <c r="S542" s="63">
        <f t="shared" si="97"/>
        <v>-4.3402922648009806E-3</v>
      </c>
      <c r="T542" s="63">
        <f t="shared" si="98"/>
        <v>-0.5019523513663382</v>
      </c>
    </row>
    <row r="543" spans="1:20" x14ac:dyDescent="0.3">
      <c r="A543" s="18" t="s">
        <v>179</v>
      </c>
      <c r="B543" s="18" t="s">
        <v>180</v>
      </c>
      <c r="C543" s="18" t="s">
        <v>124</v>
      </c>
      <c r="D543" s="18" t="s">
        <v>121</v>
      </c>
      <c r="E543" s="61">
        <v>2018</v>
      </c>
      <c r="F543" s="62">
        <v>40394000</v>
      </c>
      <c r="G543" s="62">
        <v>190380000</v>
      </c>
      <c r="H543" s="62">
        <v>215086501</v>
      </c>
      <c r="I543" s="62">
        <v>213734159</v>
      </c>
      <c r="J543" s="62">
        <f t="shared" si="88"/>
        <v>0.18780351073729168</v>
      </c>
      <c r="K543" s="62">
        <f t="shared" si="89"/>
        <v>0.8907326788134039</v>
      </c>
      <c r="L543" s="63">
        <f t="shared" si="90"/>
        <v>3.7130761994355597</v>
      </c>
      <c r="M543" s="63">
        <f t="shared" si="91"/>
        <v>-6.2874331662497035E-3</v>
      </c>
      <c r="N543" s="63">
        <f t="shared" si="92"/>
        <v>3.7428968463715377</v>
      </c>
      <c r="O543" s="62">
        <f t="shared" si="93"/>
        <v>0.88513225662637007</v>
      </c>
      <c r="P543" s="62">
        <f t="shared" si="94"/>
        <v>0.69732874588907845</v>
      </c>
      <c r="Q543" s="62">
        <f t="shared" si="95"/>
        <v>5.6004221870338267E-3</v>
      </c>
      <c r="R543" s="63">
        <f t="shared" si="96"/>
        <v>3.7130761994355606</v>
      </c>
      <c r="S543" s="63">
        <f t="shared" si="97"/>
        <v>2.9820646935977458E-2</v>
      </c>
      <c r="T543" s="63">
        <f t="shared" si="98"/>
        <v>3.7428968463715382</v>
      </c>
    </row>
    <row r="544" spans="1:20" x14ac:dyDescent="0.3">
      <c r="A544" s="18" t="s">
        <v>179</v>
      </c>
      <c r="B544" s="18" t="s">
        <v>180</v>
      </c>
      <c r="C544" s="18" t="s">
        <v>124</v>
      </c>
      <c r="D544" s="18" t="s">
        <v>121</v>
      </c>
      <c r="E544" s="61">
        <v>2019</v>
      </c>
      <c r="F544" s="62">
        <v>190380000</v>
      </c>
      <c r="G544" s="62">
        <v>-41455000</v>
      </c>
      <c r="H544" s="62">
        <v>213734159</v>
      </c>
      <c r="I544" s="62">
        <v>213863358</v>
      </c>
      <c r="J544" s="62">
        <f t="shared" si="88"/>
        <v>0.8907326788134039</v>
      </c>
      <c r="K544" s="62">
        <f t="shared" si="89"/>
        <v>-0.19383872201239821</v>
      </c>
      <c r="L544" s="63">
        <f t="shared" si="90"/>
        <v>-1.2177487131001155</v>
      </c>
      <c r="M544" s="63">
        <f t="shared" si="91"/>
        <v>6.0448456439758885E-4</v>
      </c>
      <c r="N544" s="63">
        <f t="shared" si="92"/>
        <v>-1.2176171668817874</v>
      </c>
      <c r="O544" s="62">
        <f t="shared" si="93"/>
        <v>-0.19395589452783726</v>
      </c>
      <c r="P544" s="62">
        <f t="shared" si="94"/>
        <v>-1.0846885733412412</v>
      </c>
      <c r="Q544" s="62">
        <f t="shared" si="95"/>
        <v>1.1717251543905127E-4</v>
      </c>
      <c r="R544" s="63">
        <f t="shared" si="96"/>
        <v>-1.2177487131001157</v>
      </c>
      <c r="S544" s="63">
        <f t="shared" si="97"/>
        <v>1.3154621832797635E-4</v>
      </c>
      <c r="T544" s="63">
        <f t="shared" si="98"/>
        <v>-1.2176171668817877</v>
      </c>
    </row>
    <row r="545" spans="1:20" x14ac:dyDescent="0.3">
      <c r="A545" s="18" t="s">
        <v>179</v>
      </c>
      <c r="B545" s="18" t="s">
        <v>180</v>
      </c>
      <c r="C545" s="18" t="s">
        <v>124</v>
      </c>
      <c r="D545" s="18" t="s">
        <v>121</v>
      </c>
      <c r="E545" s="61">
        <v>2020</v>
      </c>
      <c r="F545" s="62">
        <v>-41455000</v>
      </c>
      <c r="G545" s="62">
        <v>73640000</v>
      </c>
      <c r="H545" s="62">
        <v>213863358</v>
      </c>
      <c r="I545" s="62">
        <v>215419400</v>
      </c>
      <c r="J545" s="62">
        <f t="shared" si="88"/>
        <v>-0.19383872201239821</v>
      </c>
      <c r="K545" s="62">
        <f t="shared" si="89"/>
        <v>0.34184479206608132</v>
      </c>
      <c r="L545" s="63">
        <f t="shared" si="90"/>
        <v>2.7763840308768546</v>
      </c>
      <c r="M545" s="63">
        <f t="shared" si="91"/>
        <v>7.2758700440867484E-3</v>
      </c>
      <c r="N545" s="63">
        <f t="shared" si="92"/>
        <v>2.7635526509724735</v>
      </c>
      <c r="O545" s="62">
        <f t="shared" si="93"/>
        <v>0.344332010348402</v>
      </c>
      <c r="P545" s="62">
        <f t="shared" si="94"/>
        <v>0.53817073236080026</v>
      </c>
      <c r="Q545" s="62">
        <f t="shared" si="95"/>
        <v>-2.4872182823206801E-3</v>
      </c>
      <c r="R545" s="63">
        <f t="shared" si="96"/>
        <v>2.7763840308768546</v>
      </c>
      <c r="S545" s="63">
        <f t="shared" si="97"/>
        <v>-1.2831379904380477E-2</v>
      </c>
      <c r="T545" s="63">
        <f t="shared" si="98"/>
        <v>2.7635526509724739</v>
      </c>
    </row>
    <row r="546" spans="1:20" x14ac:dyDescent="0.3">
      <c r="A546" s="18" t="s">
        <v>179</v>
      </c>
      <c r="B546" s="18" t="s">
        <v>180</v>
      </c>
      <c r="C546" s="18" t="s">
        <v>124</v>
      </c>
      <c r="D546" s="18" t="s">
        <v>121</v>
      </c>
      <c r="E546" s="61">
        <v>2021</v>
      </c>
      <c r="F546" s="62">
        <v>73640000</v>
      </c>
      <c r="G546" s="62">
        <v>512599000</v>
      </c>
      <c r="H546" s="62">
        <v>215419400</v>
      </c>
      <c r="I546" s="62">
        <v>215000683</v>
      </c>
      <c r="J546" s="62">
        <f t="shared" si="88"/>
        <v>0.34184479206608132</v>
      </c>
      <c r="K546" s="62">
        <f t="shared" si="89"/>
        <v>2.3841738214385115</v>
      </c>
      <c r="L546" s="63">
        <f t="shared" si="90"/>
        <v>5.9608772406300927</v>
      </c>
      <c r="M546" s="63">
        <f t="shared" si="91"/>
        <v>-1.9437293020034406E-3</v>
      </c>
      <c r="N546" s="63">
        <f t="shared" si="92"/>
        <v>5.97443365168375</v>
      </c>
      <c r="O546" s="62">
        <f t="shared" si="93"/>
        <v>2.3795396329207117</v>
      </c>
      <c r="P546" s="62">
        <f t="shared" si="94"/>
        <v>2.0376948408546305</v>
      </c>
      <c r="Q546" s="62">
        <f t="shared" si="95"/>
        <v>4.6341885177998421E-3</v>
      </c>
      <c r="R546" s="63">
        <f t="shared" si="96"/>
        <v>5.9608772406300927</v>
      </c>
      <c r="S546" s="63">
        <f t="shared" si="97"/>
        <v>1.3556411053657406E-2</v>
      </c>
      <c r="T546" s="63">
        <f t="shared" si="98"/>
        <v>5.97443365168375</v>
      </c>
    </row>
    <row r="547" spans="1:20" x14ac:dyDescent="0.3">
      <c r="A547" s="18" t="s">
        <v>179</v>
      </c>
      <c r="B547" s="18" t="s">
        <v>180</v>
      </c>
      <c r="C547" s="18" t="s">
        <v>124</v>
      </c>
      <c r="D547" s="18" t="s">
        <v>121</v>
      </c>
      <c r="E547" s="61">
        <v>2022</v>
      </c>
      <c r="F547" s="62">
        <v>512599000</v>
      </c>
      <c r="G547" s="62">
        <v>423211000</v>
      </c>
      <c r="H547" s="62">
        <v>215000683</v>
      </c>
      <c r="I547" s="62">
        <v>214617802</v>
      </c>
      <c r="J547" s="62">
        <f t="shared" si="88"/>
        <v>2.3841738214385115</v>
      </c>
      <c r="K547" s="62">
        <f t="shared" si="89"/>
        <v>1.9719286846484432</v>
      </c>
      <c r="L547" s="63">
        <f t="shared" si="90"/>
        <v>-0.17438192427218938</v>
      </c>
      <c r="M547" s="63">
        <f t="shared" si="91"/>
        <v>-1.7808362032040615E-3</v>
      </c>
      <c r="N547" s="63">
        <f t="shared" si="92"/>
        <v>-0.17290901069509132</v>
      </c>
      <c r="O547" s="62">
        <f t="shared" si="93"/>
        <v>1.9684170026566845</v>
      </c>
      <c r="P547" s="62">
        <f t="shared" si="94"/>
        <v>-0.41575681878182702</v>
      </c>
      <c r="Q547" s="62">
        <f t="shared" si="95"/>
        <v>3.5116819917586639E-3</v>
      </c>
      <c r="R547" s="63">
        <f t="shared" si="96"/>
        <v>-0.17438192427218943</v>
      </c>
      <c r="S547" s="63">
        <f t="shared" si="97"/>
        <v>1.472913577098108E-3</v>
      </c>
      <c r="T547" s="63">
        <f t="shared" si="98"/>
        <v>-0.17290901069509132</v>
      </c>
    </row>
    <row r="548" spans="1:20" x14ac:dyDescent="0.3">
      <c r="A548" s="18" t="s">
        <v>179</v>
      </c>
      <c r="B548" s="18" t="s">
        <v>180</v>
      </c>
      <c r="C548" s="18" t="s">
        <v>124</v>
      </c>
      <c r="D548" s="18" t="s">
        <v>121</v>
      </c>
      <c r="E548" s="61">
        <v>2023</v>
      </c>
      <c r="F548" s="62">
        <v>423211000</v>
      </c>
      <c r="G548" s="62">
        <v>341303000</v>
      </c>
      <c r="H548" s="62">
        <v>214617802</v>
      </c>
      <c r="I548" s="62">
        <v>215154401</v>
      </c>
      <c r="J548" s="62">
        <f t="shared" si="88"/>
        <v>1.9719286846484432</v>
      </c>
      <c r="K548" s="62">
        <f t="shared" si="89"/>
        <v>1.5863166099028576</v>
      </c>
      <c r="L548" s="63">
        <f t="shared" si="90"/>
        <v>-0.19353939287967467</v>
      </c>
      <c r="M548" s="63">
        <f t="shared" si="91"/>
        <v>2.5002539164947742E-3</v>
      </c>
      <c r="N548" s="63">
        <f t="shared" si="92"/>
        <v>-0.19555072034176163</v>
      </c>
      <c r="O548" s="62">
        <f t="shared" si="93"/>
        <v>1.590282804219568</v>
      </c>
      <c r="P548" s="62">
        <f t="shared" si="94"/>
        <v>-0.38164588042887515</v>
      </c>
      <c r="Q548" s="62">
        <f t="shared" si="95"/>
        <v>-3.9661943167104141E-3</v>
      </c>
      <c r="R548" s="63">
        <f t="shared" si="96"/>
        <v>-0.19353939287967467</v>
      </c>
      <c r="S548" s="63">
        <f t="shared" si="97"/>
        <v>-2.0113274620869519E-3</v>
      </c>
      <c r="T548" s="63">
        <f t="shared" si="98"/>
        <v>-0.19555072034176163</v>
      </c>
    </row>
    <row r="549" spans="1:20" x14ac:dyDescent="0.3">
      <c r="A549" s="18" t="s">
        <v>179</v>
      </c>
      <c r="B549" s="18" t="s">
        <v>180</v>
      </c>
      <c r="C549" s="18" t="s">
        <v>124</v>
      </c>
      <c r="D549" s="18" t="s">
        <v>121</v>
      </c>
      <c r="E549" s="61">
        <v>2024</v>
      </c>
      <c r="F549" s="62">
        <v>341303000</v>
      </c>
      <c r="G549" s="62">
        <v>83591000</v>
      </c>
      <c r="H549" s="62">
        <v>215154401</v>
      </c>
      <c r="I549" s="62">
        <v>216435226</v>
      </c>
      <c r="J549" s="62">
        <f t="shared" si="88"/>
        <v>1.5863166099028576</v>
      </c>
      <c r="K549" s="62">
        <f t="shared" si="89"/>
        <v>0.38621716780982779</v>
      </c>
      <c r="L549" s="63">
        <f t="shared" si="90"/>
        <v>-0.75508272707828528</v>
      </c>
      <c r="M549" s="63">
        <f t="shared" si="91"/>
        <v>5.9530504328377644E-3</v>
      </c>
      <c r="N549" s="63">
        <f t="shared" si="92"/>
        <v>-0.75653210374347724</v>
      </c>
      <c r="O549" s="62">
        <f t="shared" si="93"/>
        <v>0.38851633808782743</v>
      </c>
      <c r="P549" s="62">
        <f t="shared" si="94"/>
        <v>-1.1978002718150302</v>
      </c>
      <c r="Q549" s="62">
        <f t="shared" si="95"/>
        <v>-2.2991702779996404E-3</v>
      </c>
      <c r="R549" s="63">
        <f t="shared" si="96"/>
        <v>-0.75508272707828528</v>
      </c>
      <c r="S549" s="63">
        <f t="shared" si="97"/>
        <v>-1.4493766651919734E-3</v>
      </c>
      <c r="T549" s="63">
        <f t="shared" si="98"/>
        <v>-0.75653210374347724</v>
      </c>
    </row>
    <row r="550" spans="1:20" x14ac:dyDescent="0.3">
      <c r="A550" s="18" t="s">
        <v>181</v>
      </c>
      <c r="B550" s="18" t="s">
        <v>182</v>
      </c>
      <c r="C550" s="18" t="s">
        <v>124</v>
      </c>
      <c r="D550" s="18" t="s">
        <v>121</v>
      </c>
      <c r="E550" s="61">
        <v>2016</v>
      </c>
      <c r="F550" s="62">
        <v>151000000</v>
      </c>
      <c r="G550" s="62">
        <v>200000000</v>
      </c>
      <c r="H550" s="62">
        <v>38980000</v>
      </c>
      <c r="I550" s="62">
        <v>42610000</v>
      </c>
      <c r="J550" s="62">
        <f t="shared" si="88"/>
        <v>3.8737814263724988</v>
      </c>
      <c r="K550" s="62">
        <f t="shared" si="89"/>
        <v>4.6937338652898379</v>
      </c>
      <c r="L550" s="63">
        <f t="shared" si="90"/>
        <v>0.32450331125827814</v>
      </c>
      <c r="M550" s="63">
        <f t="shared" si="91"/>
        <v>9.3124679322729609E-2</v>
      </c>
      <c r="N550" s="63">
        <f t="shared" si="92"/>
        <v>0.21166719250991972</v>
      </c>
      <c r="O550" s="62">
        <f t="shared" si="93"/>
        <v>5.13083632632119</v>
      </c>
      <c r="P550" s="62">
        <f t="shared" si="94"/>
        <v>1.2570548999486912</v>
      </c>
      <c r="Q550" s="62">
        <f t="shared" si="95"/>
        <v>-0.43710246103135209</v>
      </c>
      <c r="R550" s="63">
        <f t="shared" si="96"/>
        <v>0.32450331125827803</v>
      </c>
      <c r="S550" s="63">
        <f t="shared" si="97"/>
        <v>-0.11283611874835831</v>
      </c>
      <c r="T550" s="63">
        <f t="shared" si="98"/>
        <v>0.21166719250991972</v>
      </c>
    </row>
    <row r="551" spans="1:20" x14ac:dyDescent="0.3">
      <c r="A551" s="18" t="s">
        <v>181</v>
      </c>
      <c r="B551" s="18" t="s">
        <v>182</v>
      </c>
      <c r="C551" s="18" t="s">
        <v>124</v>
      </c>
      <c r="D551" s="18" t="s">
        <v>121</v>
      </c>
      <c r="E551" s="61">
        <v>2017</v>
      </c>
      <c r="F551" s="62">
        <v>200000000</v>
      </c>
      <c r="G551" s="62">
        <v>224000000</v>
      </c>
      <c r="H551" s="62">
        <v>42610000</v>
      </c>
      <c r="I551" s="62">
        <v>42800000</v>
      </c>
      <c r="J551" s="62">
        <f t="shared" si="88"/>
        <v>4.6937338652898379</v>
      </c>
      <c r="K551" s="62">
        <f t="shared" si="89"/>
        <v>5.2336448598130838</v>
      </c>
      <c r="L551" s="63">
        <f t="shared" si="90"/>
        <v>0.12</v>
      </c>
      <c r="M551" s="63">
        <f t="shared" si="91"/>
        <v>4.4590471720253461E-3</v>
      </c>
      <c r="N551" s="63">
        <f t="shared" si="92"/>
        <v>0.11502803738317753</v>
      </c>
      <c r="O551" s="62">
        <f t="shared" si="93"/>
        <v>5.2569819291246187</v>
      </c>
      <c r="P551" s="62">
        <f t="shared" si="94"/>
        <v>0.56324806383478077</v>
      </c>
      <c r="Q551" s="62">
        <f t="shared" si="95"/>
        <v>-2.3337069311534897E-2</v>
      </c>
      <c r="R551" s="63">
        <f t="shared" si="96"/>
        <v>0.12000000000000005</v>
      </c>
      <c r="S551" s="63">
        <f t="shared" si="97"/>
        <v>-4.9719626168225096E-3</v>
      </c>
      <c r="T551" s="63">
        <f t="shared" si="98"/>
        <v>0.11502803738317754</v>
      </c>
    </row>
    <row r="552" spans="1:20" x14ac:dyDescent="0.3">
      <c r="A552" s="18" t="s">
        <v>181</v>
      </c>
      <c r="B552" s="18" t="s">
        <v>182</v>
      </c>
      <c r="C552" s="18" t="s">
        <v>124</v>
      </c>
      <c r="D552" s="18" t="s">
        <v>121</v>
      </c>
      <c r="E552" s="61">
        <v>2018</v>
      </c>
      <c r="F552" s="62">
        <v>224000000</v>
      </c>
      <c r="G552" s="62">
        <v>305000000</v>
      </c>
      <c r="H552" s="62">
        <v>42800000</v>
      </c>
      <c r="I552" s="62">
        <v>42950000</v>
      </c>
      <c r="J552" s="62">
        <f t="shared" si="88"/>
        <v>5.2336448598130838</v>
      </c>
      <c r="K552" s="62">
        <f t="shared" si="89"/>
        <v>7.1012805587892895</v>
      </c>
      <c r="L552" s="63">
        <f t="shared" si="90"/>
        <v>0.36160714285714285</v>
      </c>
      <c r="M552" s="63">
        <f t="shared" si="91"/>
        <v>3.5046728971962616E-3</v>
      </c>
      <c r="N552" s="63">
        <f t="shared" si="92"/>
        <v>0.35685182105438218</v>
      </c>
      <c r="O552" s="62">
        <f t="shared" si="93"/>
        <v>7.1261682242990654</v>
      </c>
      <c r="P552" s="62">
        <f t="shared" si="94"/>
        <v>1.8925233644859816</v>
      </c>
      <c r="Q552" s="62">
        <f t="shared" si="95"/>
        <v>-2.4887665509775836E-2</v>
      </c>
      <c r="R552" s="63">
        <f t="shared" si="96"/>
        <v>0.3616071428571429</v>
      </c>
      <c r="S552" s="63">
        <f t="shared" si="97"/>
        <v>-4.7553218027607405E-3</v>
      </c>
      <c r="T552" s="63">
        <f t="shared" si="98"/>
        <v>0.35685182105438218</v>
      </c>
    </row>
    <row r="553" spans="1:20" x14ac:dyDescent="0.3">
      <c r="A553" s="18" t="s">
        <v>181</v>
      </c>
      <c r="B553" s="18" t="s">
        <v>182</v>
      </c>
      <c r="C553" s="18" t="s">
        <v>124</v>
      </c>
      <c r="D553" s="18" t="s">
        <v>121</v>
      </c>
      <c r="E553" s="61">
        <v>2019</v>
      </c>
      <c r="F553" s="62">
        <v>305000000</v>
      </c>
      <c r="G553" s="62">
        <v>335000000</v>
      </c>
      <c r="H553" s="62">
        <v>42950000</v>
      </c>
      <c r="I553" s="62">
        <v>43060000</v>
      </c>
      <c r="J553" s="62">
        <f t="shared" si="88"/>
        <v>7.1012805587892895</v>
      </c>
      <c r="K553" s="62">
        <f t="shared" si="89"/>
        <v>7.7798420808174642</v>
      </c>
      <c r="L553" s="63">
        <f t="shared" si="90"/>
        <v>9.8360655737704916E-2</v>
      </c>
      <c r="M553" s="63">
        <f t="shared" si="91"/>
        <v>2.5611175785797439E-3</v>
      </c>
      <c r="N553" s="63">
        <f t="shared" si="92"/>
        <v>9.5554811052820016E-2</v>
      </c>
      <c r="O553" s="62">
        <f t="shared" si="93"/>
        <v>7.7997671711292202</v>
      </c>
      <c r="P553" s="62">
        <f t="shared" si="94"/>
        <v>0.6984866123399307</v>
      </c>
      <c r="Q553" s="62">
        <f t="shared" si="95"/>
        <v>-1.9925090311756044E-2</v>
      </c>
      <c r="R553" s="63">
        <f t="shared" si="96"/>
        <v>9.8360655737704999E-2</v>
      </c>
      <c r="S553" s="63">
        <f t="shared" si="97"/>
        <v>-2.8058446848849908E-3</v>
      </c>
      <c r="T553" s="63">
        <f t="shared" si="98"/>
        <v>9.5554811052820016E-2</v>
      </c>
    </row>
    <row r="554" spans="1:20" x14ac:dyDescent="0.3">
      <c r="A554" s="18" t="s">
        <v>181</v>
      </c>
      <c r="B554" s="18" t="s">
        <v>182</v>
      </c>
      <c r="C554" s="18" t="s">
        <v>124</v>
      </c>
      <c r="D554" s="18" t="s">
        <v>121</v>
      </c>
      <c r="E554" s="61">
        <v>2020</v>
      </c>
      <c r="F554" s="62">
        <v>335000000</v>
      </c>
      <c r="G554" s="62">
        <v>1000000</v>
      </c>
      <c r="H554" s="62">
        <v>43060000</v>
      </c>
      <c r="I554" s="62">
        <v>43170000</v>
      </c>
      <c r="J554" s="62">
        <f t="shared" si="88"/>
        <v>7.7798420808174642</v>
      </c>
      <c r="K554" s="62">
        <f t="shared" si="89"/>
        <v>2.316423442205235E-2</v>
      </c>
      <c r="L554" s="63">
        <f t="shared" si="90"/>
        <v>-0.9970149253731343</v>
      </c>
      <c r="M554" s="63">
        <f t="shared" si="91"/>
        <v>2.5545750116117046E-3</v>
      </c>
      <c r="N554" s="63">
        <f t="shared" si="92"/>
        <v>-0.99702253153966103</v>
      </c>
      <c r="O554" s="62">
        <f t="shared" si="93"/>
        <v>2.3223409196470042E-2</v>
      </c>
      <c r="P554" s="62">
        <f t="shared" si="94"/>
        <v>-7.7566186716209939</v>
      </c>
      <c r="Q554" s="62">
        <f t="shared" si="95"/>
        <v>-5.9174774417691811E-5</v>
      </c>
      <c r="R554" s="63">
        <f t="shared" si="96"/>
        <v>-0.9970149253731343</v>
      </c>
      <c r="S554" s="63">
        <f t="shared" si="97"/>
        <v>-7.6061665266442067E-6</v>
      </c>
      <c r="T554" s="63">
        <f t="shared" si="98"/>
        <v>-0.99702253153966092</v>
      </c>
    </row>
    <row r="555" spans="1:20" x14ac:dyDescent="0.3">
      <c r="A555" s="18" t="s">
        <v>181</v>
      </c>
      <c r="B555" s="18" t="s">
        <v>182</v>
      </c>
      <c r="C555" s="18" t="s">
        <v>124</v>
      </c>
      <c r="D555" s="18" t="s">
        <v>121</v>
      </c>
      <c r="E555" s="61">
        <v>2021</v>
      </c>
      <c r="F555" s="62">
        <v>1000000</v>
      </c>
      <c r="G555" s="62">
        <v>432000000</v>
      </c>
      <c r="H555" s="62">
        <v>43170000</v>
      </c>
      <c r="I555" s="62">
        <v>43280000</v>
      </c>
      <c r="J555" s="62">
        <f t="shared" si="88"/>
        <v>2.316423442205235E-2</v>
      </c>
      <c r="K555" s="62">
        <f t="shared" si="89"/>
        <v>9.9815157116451019</v>
      </c>
      <c r="L555" s="63">
        <f t="shared" si="90"/>
        <v>431</v>
      </c>
      <c r="M555" s="63">
        <f t="shared" si="91"/>
        <v>2.5480657864257587E-3</v>
      </c>
      <c r="N555" s="63">
        <f t="shared" si="92"/>
        <v>429.90203327171906</v>
      </c>
      <c r="O555" s="62">
        <f t="shared" si="93"/>
        <v>10.006949270326615</v>
      </c>
      <c r="P555" s="62">
        <f t="shared" si="94"/>
        <v>9.9837850359045621</v>
      </c>
      <c r="Q555" s="62">
        <f t="shared" si="95"/>
        <v>-2.5433558681513091E-2</v>
      </c>
      <c r="R555" s="63">
        <f t="shared" si="96"/>
        <v>430.99999999999994</v>
      </c>
      <c r="S555" s="63">
        <f t="shared" si="97"/>
        <v>-1.0979667282809202</v>
      </c>
      <c r="T555" s="63">
        <f t="shared" si="98"/>
        <v>429.90203327171901</v>
      </c>
    </row>
    <row r="556" spans="1:20" x14ac:dyDescent="0.3">
      <c r="A556" s="18" t="s">
        <v>181</v>
      </c>
      <c r="B556" s="18" t="s">
        <v>182</v>
      </c>
      <c r="C556" s="18" t="s">
        <v>124</v>
      </c>
      <c r="D556" s="18" t="s">
        <v>121</v>
      </c>
      <c r="E556" s="61">
        <v>2022</v>
      </c>
      <c r="F556" s="62">
        <v>432000000</v>
      </c>
      <c r="G556" s="62">
        <v>474000000</v>
      </c>
      <c r="H556" s="62">
        <v>43280000</v>
      </c>
      <c r="I556" s="62">
        <v>43360000</v>
      </c>
      <c r="J556" s="62">
        <f t="shared" si="88"/>
        <v>9.9815157116451019</v>
      </c>
      <c r="K556" s="62">
        <f t="shared" si="89"/>
        <v>10.931734317343173</v>
      </c>
      <c r="L556" s="63">
        <f t="shared" si="90"/>
        <v>9.7222222222222224E-2</v>
      </c>
      <c r="M556" s="63">
        <f t="shared" si="91"/>
        <v>1.8484288354898336E-3</v>
      </c>
      <c r="N556" s="63">
        <f t="shared" si="92"/>
        <v>9.5197826978269687E-2</v>
      </c>
      <c r="O556" s="62">
        <f t="shared" si="93"/>
        <v>10.951940850277264</v>
      </c>
      <c r="P556" s="62">
        <f t="shared" si="94"/>
        <v>0.97042513863216229</v>
      </c>
      <c r="Q556" s="62">
        <f t="shared" si="95"/>
        <v>-2.020653293409147E-2</v>
      </c>
      <c r="R556" s="63">
        <f t="shared" si="96"/>
        <v>9.7222222222222182E-2</v>
      </c>
      <c r="S556" s="63">
        <f t="shared" si="97"/>
        <v>-2.0243952439524971E-3</v>
      </c>
      <c r="T556" s="63">
        <f t="shared" si="98"/>
        <v>9.5197826978269687E-2</v>
      </c>
    </row>
    <row r="557" spans="1:20" x14ac:dyDescent="0.3">
      <c r="A557" s="18" t="s">
        <v>181</v>
      </c>
      <c r="B557" s="18" t="s">
        <v>182</v>
      </c>
      <c r="C557" s="18" t="s">
        <v>124</v>
      </c>
      <c r="D557" s="18" t="s">
        <v>121</v>
      </c>
      <c r="E557" s="61">
        <v>2023</v>
      </c>
      <c r="F557" s="62">
        <v>474000000</v>
      </c>
      <c r="G557" s="62">
        <v>535000000</v>
      </c>
      <c r="H557" s="62">
        <v>43360000</v>
      </c>
      <c r="I557" s="62">
        <v>43410000</v>
      </c>
      <c r="J557" s="62">
        <f t="shared" si="88"/>
        <v>10.931734317343173</v>
      </c>
      <c r="K557" s="62">
        <f t="shared" si="89"/>
        <v>12.324349228288412</v>
      </c>
      <c r="L557" s="63">
        <f t="shared" si="90"/>
        <v>0.12869198312236288</v>
      </c>
      <c r="M557" s="63">
        <f t="shared" si="91"/>
        <v>1.1531365313653136E-3</v>
      </c>
      <c r="N557" s="63">
        <f t="shared" si="92"/>
        <v>0.12739194628393583</v>
      </c>
      <c r="O557" s="62">
        <f t="shared" si="93"/>
        <v>12.338560885608857</v>
      </c>
      <c r="P557" s="62">
        <f t="shared" si="94"/>
        <v>1.406826568265684</v>
      </c>
      <c r="Q557" s="62">
        <f t="shared" si="95"/>
        <v>-1.4211657320444715E-2</v>
      </c>
      <c r="R557" s="63">
        <f t="shared" si="96"/>
        <v>0.12869198312236299</v>
      </c>
      <c r="S557" s="63">
        <f t="shared" si="97"/>
        <v>-1.3000368384271791E-3</v>
      </c>
      <c r="T557" s="63">
        <f t="shared" si="98"/>
        <v>0.12739194628393583</v>
      </c>
    </row>
    <row r="558" spans="1:20" x14ac:dyDescent="0.3">
      <c r="A558" s="18" t="s">
        <v>181</v>
      </c>
      <c r="B558" s="18" t="s">
        <v>182</v>
      </c>
      <c r="C558" s="18" t="s">
        <v>124</v>
      </c>
      <c r="D558" s="18" t="s">
        <v>121</v>
      </c>
      <c r="E558" s="61">
        <v>2024</v>
      </c>
      <c r="F558" s="62">
        <v>535000000</v>
      </c>
      <c r="G558" s="62">
        <v>717000000</v>
      </c>
      <c r="H558" s="62">
        <v>43410000</v>
      </c>
      <c r="I558" s="62">
        <v>40210602</v>
      </c>
      <c r="J558" s="62">
        <f t="shared" si="88"/>
        <v>12.324349228288412</v>
      </c>
      <c r="K558" s="62">
        <f t="shared" si="89"/>
        <v>17.831118270748593</v>
      </c>
      <c r="L558" s="63">
        <f t="shared" si="90"/>
        <v>0.34018691588785049</v>
      </c>
      <c r="M558" s="63">
        <f t="shared" si="91"/>
        <v>-7.3701865929509336E-2</v>
      </c>
      <c r="N558" s="63">
        <f t="shared" si="92"/>
        <v>0.44682026940784392</v>
      </c>
      <c r="O558" s="62">
        <f t="shared" si="93"/>
        <v>16.516931582584657</v>
      </c>
      <c r="P558" s="62">
        <f t="shared" si="94"/>
        <v>4.1925823542962455</v>
      </c>
      <c r="Q558" s="62">
        <f t="shared" si="95"/>
        <v>1.3141866881639359</v>
      </c>
      <c r="R558" s="63">
        <f t="shared" si="96"/>
        <v>0.34018691588785055</v>
      </c>
      <c r="S558" s="63">
        <f t="shared" si="97"/>
        <v>0.10663335351999338</v>
      </c>
      <c r="T558" s="63">
        <f t="shared" si="98"/>
        <v>0.44682026940784392</v>
      </c>
    </row>
    <row r="559" spans="1:20" x14ac:dyDescent="0.3">
      <c r="A559" s="18" t="s">
        <v>183</v>
      </c>
      <c r="B559" s="18" t="s">
        <v>184</v>
      </c>
      <c r="C559" s="18" t="s">
        <v>124</v>
      </c>
      <c r="D559" s="18" t="s">
        <v>121</v>
      </c>
      <c r="E559" s="61">
        <v>2016</v>
      </c>
      <c r="F559" s="62">
        <v>-72000000</v>
      </c>
      <c r="G559" s="62">
        <v>-5651000000</v>
      </c>
      <c r="H559" s="62">
        <v>614745000</v>
      </c>
      <c r="I559" s="62">
        <v>614745000</v>
      </c>
      <c r="J559" s="62">
        <f t="shared" si="88"/>
        <v>-0.11712173340165434</v>
      </c>
      <c r="K559" s="62">
        <f t="shared" si="89"/>
        <v>-9.1924293812881768</v>
      </c>
      <c r="L559" s="63">
        <f t="shared" si="90"/>
        <v>-77.486111111111114</v>
      </c>
      <c r="M559" s="63">
        <f t="shared" si="91"/>
        <v>0</v>
      </c>
      <c r="N559" s="63">
        <f t="shared" si="92"/>
        <v>-77.486111111111114</v>
      </c>
      <c r="O559" s="62">
        <f t="shared" si="93"/>
        <v>-9.1924293812881768</v>
      </c>
      <c r="P559" s="62">
        <f t="shared" si="94"/>
        <v>-9.0753076478865218</v>
      </c>
      <c r="Q559" s="62">
        <f t="shared" si="95"/>
        <v>0</v>
      </c>
      <c r="R559" s="63">
        <f t="shared" si="96"/>
        <v>-77.486111111111114</v>
      </c>
      <c r="S559" s="63">
        <f t="shared" si="97"/>
        <v>0</v>
      </c>
      <c r="T559" s="63">
        <f t="shared" si="98"/>
        <v>-77.486111111111114</v>
      </c>
    </row>
    <row r="560" spans="1:20" x14ac:dyDescent="0.3">
      <c r="A560" s="18" t="s">
        <v>183</v>
      </c>
      <c r="B560" s="18" t="s">
        <v>184</v>
      </c>
      <c r="C560" s="18" t="s">
        <v>124</v>
      </c>
      <c r="D560" s="18" t="s">
        <v>121</v>
      </c>
      <c r="E560" s="61">
        <v>2017</v>
      </c>
      <c r="F560" s="62">
        <v>-5651000000</v>
      </c>
      <c r="G560" s="62">
        <v>1942000000</v>
      </c>
      <c r="H560" s="62">
        <v>614745000</v>
      </c>
      <c r="I560" s="62">
        <v>614745000</v>
      </c>
      <c r="J560" s="62">
        <f t="shared" si="88"/>
        <v>-9.1924293812881768</v>
      </c>
      <c r="K560" s="62">
        <f t="shared" si="89"/>
        <v>3.159033420361288</v>
      </c>
      <c r="L560" s="63">
        <f t="shared" si="90"/>
        <v>1.3436559900902496</v>
      </c>
      <c r="M560" s="63">
        <f t="shared" si="91"/>
        <v>0</v>
      </c>
      <c r="N560" s="63">
        <f t="shared" si="92"/>
        <v>1.3436559900902494</v>
      </c>
      <c r="O560" s="62">
        <f t="shared" si="93"/>
        <v>3.159033420361288</v>
      </c>
      <c r="P560" s="62">
        <f t="shared" si="94"/>
        <v>12.351462801649465</v>
      </c>
      <c r="Q560" s="62">
        <f t="shared" si="95"/>
        <v>0</v>
      </c>
      <c r="R560" s="63">
        <f t="shared" si="96"/>
        <v>1.3436559900902494</v>
      </c>
      <c r="S560" s="63">
        <f t="shared" si="97"/>
        <v>0</v>
      </c>
      <c r="T560" s="63">
        <f t="shared" si="98"/>
        <v>1.3436559900902494</v>
      </c>
    </row>
    <row r="561" spans="1:20" x14ac:dyDescent="0.3">
      <c r="A561" s="18" t="s">
        <v>183</v>
      </c>
      <c r="B561" s="18" t="s">
        <v>184</v>
      </c>
      <c r="C561" s="18" t="s">
        <v>124</v>
      </c>
      <c r="D561" s="18" t="s">
        <v>121</v>
      </c>
      <c r="E561" s="61">
        <v>2018</v>
      </c>
      <c r="F561" s="62">
        <v>1942000000</v>
      </c>
      <c r="G561" s="62">
        <v>394000000</v>
      </c>
      <c r="H561" s="62">
        <v>614745000</v>
      </c>
      <c r="I561" s="62">
        <v>614745000</v>
      </c>
      <c r="J561" s="62">
        <f t="shared" si="88"/>
        <v>3.159033420361288</v>
      </c>
      <c r="K561" s="62">
        <f t="shared" si="89"/>
        <v>0.64091615222571963</v>
      </c>
      <c r="L561" s="63">
        <f t="shared" si="90"/>
        <v>-0.79711637487126674</v>
      </c>
      <c r="M561" s="63">
        <f t="shared" si="91"/>
        <v>0</v>
      </c>
      <c r="N561" s="63">
        <f t="shared" si="92"/>
        <v>-0.79711637487126663</v>
      </c>
      <c r="O561" s="62">
        <f t="shared" si="93"/>
        <v>0.64091615222571963</v>
      </c>
      <c r="P561" s="62">
        <f t="shared" si="94"/>
        <v>-2.5181172681355681</v>
      </c>
      <c r="Q561" s="62">
        <f t="shared" si="95"/>
        <v>0</v>
      </c>
      <c r="R561" s="63">
        <f t="shared" si="96"/>
        <v>-0.79711637487126663</v>
      </c>
      <c r="S561" s="63">
        <f t="shared" si="97"/>
        <v>0</v>
      </c>
      <c r="T561" s="63">
        <f t="shared" si="98"/>
        <v>-0.79711637487126663</v>
      </c>
    </row>
    <row r="562" spans="1:20" x14ac:dyDescent="0.3">
      <c r="A562" s="18" t="s">
        <v>183</v>
      </c>
      <c r="B562" s="18" t="s">
        <v>184</v>
      </c>
      <c r="C562" s="18" t="s">
        <v>124</v>
      </c>
      <c r="D562" s="18" t="s">
        <v>121</v>
      </c>
      <c r="E562" s="61">
        <v>2019</v>
      </c>
      <c r="F562" s="62">
        <v>394000000</v>
      </c>
      <c r="G562" s="62">
        <v>-660000000</v>
      </c>
      <c r="H562" s="62">
        <v>614745000</v>
      </c>
      <c r="I562" s="62">
        <v>614745000</v>
      </c>
      <c r="J562" s="62">
        <f t="shared" si="88"/>
        <v>0.64091615222571963</v>
      </c>
      <c r="K562" s="62">
        <f t="shared" si="89"/>
        <v>-1.0736158895151648</v>
      </c>
      <c r="L562" s="63">
        <f t="shared" si="90"/>
        <v>-2.6751269035532994</v>
      </c>
      <c r="M562" s="63">
        <f t="shared" si="91"/>
        <v>0</v>
      </c>
      <c r="N562" s="63">
        <f t="shared" si="92"/>
        <v>-2.6751269035532994</v>
      </c>
      <c r="O562" s="62">
        <f t="shared" si="93"/>
        <v>-1.0736158895151648</v>
      </c>
      <c r="P562" s="62">
        <f t="shared" si="94"/>
        <v>-1.7145320417408845</v>
      </c>
      <c r="Q562" s="62">
        <f t="shared" si="95"/>
        <v>0</v>
      </c>
      <c r="R562" s="63">
        <f t="shared" si="96"/>
        <v>-2.6751269035532994</v>
      </c>
      <c r="S562" s="63">
        <f t="shared" si="97"/>
        <v>0</v>
      </c>
      <c r="T562" s="63">
        <f t="shared" si="98"/>
        <v>-2.6751269035532994</v>
      </c>
    </row>
    <row r="563" spans="1:20" x14ac:dyDescent="0.3">
      <c r="A563" s="18" t="s">
        <v>183</v>
      </c>
      <c r="B563" s="18" t="s">
        <v>184</v>
      </c>
      <c r="C563" s="18" t="s">
        <v>124</v>
      </c>
      <c r="D563" s="18" t="s">
        <v>121</v>
      </c>
      <c r="E563" s="61">
        <v>2020</v>
      </c>
      <c r="F563" s="62">
        <v>-660000000</v>
      </c>
      <c r="G563" s="62">
        <v>1051000000</v>
      </c>
      <c r="H563" s="62">
        <v>614745000</v>
      </c>
      <c r="I563" s="62">
        <v>637286000</v>
      </c>
      <c r="J563" s="62">
        <f t="shared" si="88"/>
        <v>-1.0736158895151648</v>
      </c>
      <c r="K563" s="62">
        <f t="shared" si="89"/>
        <v>1.6491810584258872</v>
      </c>
      <c r="L563" s="63">
        <f t="shared" si="90"/>
        <v>2.5924242424242423</v>
      </c>
      <c r="M563" s="63">
        <f t="shared" si="91"/>
        <v>3.6667236008426259E-2</v>
      </c>
      <c r="N563" s="63">
        <f t="shared" si="92"/>
        <v>2.5360997117606394</v>
      </c>
      <c r="O563" s="62">
        <f t="shared" si="93"/>
        <v>1.7096519695158154</v>
      </c>
      <c r="P563" s="62">
        <f t="shared" si="94"/>
        <v>2.7832678590309801</v>
      </c>
      <c r="Q563" s="62">
        <f t="shared" si="95"/>
        <v>-6.0470911089928192E-2</v>
      </c>
      <c r="R563" s="63">
        <f t="shared" si="96"/>
        <v>2.5924242424242423</v>
      </c>
      <c r="S563" s="63">
        <f t="shared" si="97"/>
        <v>-5.6324530663602886E-2</v>
      </c>
      <c r="T563" s="63">
        <f t="shared" si="98"/>
        <v>2.5360997117606394</v>
      </c>
    </row>
    <row r="564" spans="1:20" x14ac:dyDescent="0.3">
      <c r="A564" s="18" t="s">
        <v>183</v>
      </c>
      <c r="B564" s="18" t="s">
        <v>184</v>
      </c>
      <c r="C564" s="18" t="s">
        <v>124</v>
      </c>
      <c r="D564" s="18" t="s">
        <v>121</v>
      </c>
      <c r="E564" s="61">
        <v>2021</v>
      </c>
      <c r="F564" s="62">
        <v>1051000000</v>
      </c>
      <c r="G564" s="62">
        <v>721000000</v>
      </c>
      <c r="H564" s="62">
        <v>637286000</v>
      </c>
      <c r="I564" s="62">
        <v>676220000</v>
      </c>
      <c r="J564" s="62">
        <f t="shared" si="88"/>
        <v>1.6491810584258872</v>
      </c>
      <c r="K564" s="62">
        <f t="shared" si="89"/>
        <v>1.0662210523202509</v>
      </c>
      <c r="L564" s="63">
        <f t="shared" si="90"/>
        <v>-0.31398667935299712</v>
      </c>
      <c r="M564" s="63">
        <f t="shared" si="91"/>
        <v>6.1093449408899617E-2</v>
      </c>
      <c r="N564" s="63">
        <f t="shared" si="92"/>
        <v>-0.35348453896387877</v>
      </c>
      <c r="O564" s="62">
        <f t="shared" si="93"/>
        <v>1.1313601742388817</v>
      </c>
      <c r="P564" s="62">
        <f t="shared" si="94"/>
        <v>-0.51782088418700556</v>
      </c>
      <c r="Q564" s="62">
        <f t="shared" si="95"/>
        <v>-6.5139121918630805E-2</v>
      </c>
      <c r="R564" s="63">
        <f t="shared" si="96"/>
        <v>-0.31398667935299718</v>
      </c>
      <c r="S564" s="63">
        <f t="shared" si="97"/>
        <v>-3.9497859610881592E-2</v>
      </c>
      <c r="T564" s="63">
        <f t="shared" si="98"/>
        <v>-0.35348453896387877</v>
      </c>
    </row>
    <row r="565" spans="1:20" x14ac:dyDescent="0.3">
      <c r="A565" s="18" t="s">
        <v>183</v>
      </c>
      <c r="B565" s="18" t="s">
        <v>184</v>
      </c>
      <c r="C565" s="18" t="s">
        <v>124</v>
      </c>
      <c r="D565" s="18" t="s">
        <v>121</v>
      </c>
      <c r="E565" s="61">
        <v>2022</v>
      </c>
      <c r="F565" s="62">
        <v>721000000</v>
      </c>
      <c r="G565" s="62">
        <v>2717000000</v>
      </c>
      <c r="H565" s="62">
        <v>676220000</v>
      </c>
      <c r="I565" s="62">
        <v>691247000</v>
      </c>
      <c r="J565" s="62">
        <f t="shared" si="88"/>
        <v>1.0662210523202509</v>
      </c>
      <c r="K565" s="62">
        <f t="shared" si="89"/>
        <v>3.9305776372266354</v>
      </c>
      <c r="L565" s="63">
        <f t="shared" si="90"/>
        <v>2.7683772538141471</v>
      </c>
      <c r="M565" s="63">
        <f t="shared" si="91"/>
        <v>2.2222057910147586E-2</v>
      </c>
      <c r="N565" s="63">
        <f t="shared" si="92"/>
        <v>2.6864566017273166</v>
      </c>
      <c r="O565" s="62">
        <f t="shared" si="93"/>
        <v>4.0179231611014163</v>
      </c>
      <c r="P565" s="62">
        <f t="shared" si="94"/>
        <v>2.9517021087811655</v>
      </c>
      <c r="Q565" s="62">
        <f t="shared" si="95"/>
        <v>-8.7345523874780895E-2</v>
      </c>
      <c r="R565" s="63">
        <f t="shared" si="96"/>
        <v>2.7683772538141462</v>
      </c>
      <c r="S565" s="63">
        <f t="shared" si="97"/>
        <v>-8.1920652086829859E-2</v>
      </c>
      <c r="T565" s="63">
        <f t="shared" si="98"/>
        <v>2.6864566017273166</v>
      </c>
    </row>
    <row r="566" spans="1:20" x14ac:dyDescent="0.3">
      <c r="A566" s="18" t="s">
        <v>183</v>
      </c>
      <c r="B566" s="18" t="s">
        <v>184</v>
      </c>
      <c r="C566" s="18" t="s">
        <v>124</v>
      </c>
      <c r="D566" s="18" t="s">
        <v>121</v>
      </c>
      <c r="E566" s="61">
        <v>2023</v>
      </c>
      <c r="F566" s="62">
        <v>2717000000</v>
      </c>
      <c r="G566" s="62">
        <v>1450000000</v>
      </c>
      <c r="H566" s="62">
        <v>691247000</v>
      </c>
      <c r="I566" s="62">
        <v>743841000</v>
      </c>
      <c r="J566" s="62">
        <f t="shared" si="88"/>
        <v>3.9305776372266354</v>
      </c>
      <c r="K566" s="62">
        <f t="shared" si="89"/>
        <v>1.9493413242883897</v>
      </c>
      <c r="L566" s="63">
        <f t="shared" si="90"/>
        <v>-0.46632315053367684</v>
      </c>
      <c r="M566" s="63">
        <f t="shared" si="91"/>
        <v>7.6085682831173229E-2</v>
      </c>
      <c r="N566" s="63">
        <f t="shared" si="92"/>
        <v>-0.50405729025013746</v>
      </c>
      <c r="O566" s="62">
        <f t="shared" si="93"/>
        <v>2.0976582900178951</v>
      </c>
      <c r="P566" s="62">
        <f t="shared" si="94"/>
        <v>-1.8329193472087404</v>
      </c>
      <c r="Q566" s="62">
        <f t="shared" si="95"/>
        <v>-0.14831696572950537</v>
      </c>
      <c r="R566" s="63">
        <f t="shared" si="96"/>
        <v>-0.4663231505336769</v>
      </c>
      <c r="S566" s="63">
        <f t="shared" si="97"/>
        <v>-3.7734139716460578E-2</v>
      </c>
      <c r="T566" s="63">
        <f t="shared" si="98"/>
        <v>-0.50405729025013746</v>
      </c>
    </row>
    <row r="567" spans="1:20" x14ac:dyDescent="0.3">
      <c r="A567" s="18" t="s">
        <v>183</v>
      </c>
      <c r="B567" s="18" t="s">
        <v>184</v>
      </c>
      <c r="C567" s="18" t="s">
        <v>124</v>
      </c>
      <c r="D567" s="18" t="s">
        <v>121</v>
      </c>
      <c r="E567" s="61">
        <v>2024</v>
      </c>
      <c r="F567" s="62">
        <v>1450000000</v>
      </c>
      <c r="G567" s="62">
        <v>5135000000</v>
      </c>
      <c r="H567" s="62">
        <v>743841000</v>
      </c>
      <c r="I567" s="62">
        <v>743554000</v>
      </c>
      <c r="J567" s="62">
        <f t="shared" si="88"/>
        <v>1.9493413242883897</v>
      </c>
      <c r="K567" s="62">
        <f t="shared" si="89"/>
        <v>6.9060216204875502</v>
      </c>
      <c r="L567" s="63">
        <f t="shared" si="90"/>
        <v>2.5413793103448277</v>
      </c>
      <c r="M567" s="63">
        <f t="shared" si="91"/>
        <v>-3.858351448763916E-4</v>
      </c>
      <c r="N567" s="63">
        <f t="shared" si="92"/>
        <v>2.5427462263483309</v>
      </c>
      <c r="O567" s="62">
        <f t="shared" si="93"/>
        <v>6.9033570346350901</v>
      </c>
      <c r="P567" s="62">
        <f t="shared" si="94"/>
        <v>4.9540157103467006</v>
      </c>
      <c r="Q567" s="62">
        <f t="shared" si="95"/>
        <v>2.6645858524600996E-3</v>
      </c>
      <c r="R567" s="63">
        <f t="shared" si="96"/>
        <v>2.5413793103448277</v>
      </c>
      <c r="S567" s="63">
        <f t="shared" si="97"/>
        <v>1.3669160035032915E-3</v>
      </c>
      <c r="T567" s="63">
        <f t="shared" si="98"/>
        <v>2.5427462263483309</v>
      </c>
    </row>
    <row r="568" spans="1:20" x14ac:dyDescent="0.3">
      <c r="A568" s="18" t="s">
        <v>185</v>
      </c>
      <c r="B568" s="18" t="s">
        <v>186</v>
      </c>
      <c r="C568" s="18" t="s">
        <v>124</v>
      </c>
      <c r="D568" s="18" t="s">
        <v>121</v>
      </c>
      <c r="E568" s="61">
        <v>2016</v>
      </c>
      <c r="F568" s="62">
        <v>3064000000</v>
      </c>
      <c r="G568" s="62">
        <v>3631000000</v>
      </c>
      <c r="H568" s="62">
        <v>1197000000</v>
      </c>
      <c r="I568" s="62">
        <v>1198000000</v>
      </c>
      <c r="J568" s="62">
        <f t="shared" si="88"/>
        <v>2.5597326649958227</v>
      </c>
      <c r="K568" s="62">
        <f t="shared" si="89"/>
        <v>3.0308848080133557</v>
      </c>
      <c r="L568" s="63">
        <f t="shared" si="90"/>
        <v>0.18505221932114882</v>
      </c>
      <c r="M568" s="63">
        <f t="shared" si="91"/>
        <v>8.3542188805346695E-4</v>
      </c>
      <c r="N568" s="63">
        <f t="shared" si="92"/>
        <v>0.18406302715143177</v>
      </c>
      <c r="O568" s="62">
        <f t="shared" si="93"/>
        <v>3.0334168755221387</v>
      </c>
      <c r="P568" s="62">
        <f t="shared" si="94"/>
        <v>0.47368421052631593</v>
      </c>
      <c r="Q568" s="62">
        <f t="shared" si="95"/>
        <v>-2.5320675087829869E-3</v>
      </c>
      <c r="R568" s="63">
        <f t="shared" si="96"/>
        <v>0.1850522193211489</v>
      </c>
      <c r="S568" s="63">
        <f t="shared" si="97"/>
        <v>-9.8919216971711348E-4</v>
      </c>
      <c r="T568" s="63">
        <f t="shared" si="98"/>
        <v>0.1840630271514318</v>
      </c>
    </row>
    <row r="569" spans="1:20" x14ac:dyDescent="0.3">
      <c r="A569" s="18" t="s">
        <v>185</v>
      </c>
      <c r="B569" s="18" t="s">
        <v>186</v>
      </c>
      <c r="C569" s="18" t="s">
        <v>124</v>
      </c>
      <c r="D569" s="18" t="s">
        <v>121</v>
      </c>
      <c r="E569" s="61">
        <v>2017</v>
      </c>
      <c r="F569" s="62">
        <v>3631000000</v>
      </c>
      <c r="G569" s="62">
        <v>4018000000</v>
      </c>
      <c r="H569" s="62">
        <v>1198000000</v>
      </c>
      <c r="I569" s="62">
        <v>1197000000</v>
      </c>
      <c r="J569" s="62">
        <f t="shared" si="88"/>
        <v>3.0308848080133557</v>
      </c>
      <c r="K569" s="62">
        <f t="shared" si="89"/>
        <v>3.3567251461988303</v>
      </c>
      <c r="L569" s="63">
        <f t="shared" si="90"/>
        <v>0.10658220875791793</v>
      </c>
      <c r="M569" s="63">
        <f t="shared" si="91"/>
        <v>-8.3472454090150253E-4</v>
      </c>
      <c r="N569" s="63">
        <f t="shared" si="92"/>
        <v>0.10750667175604478</v>
      </c>
      <c r="O569" s="62">
        <f t="shared" si="93"/>
        <v>3.353923205342237</v>
      </c>
      <c r="P569" s="62">
        <f t="shared" si="94"/>
        <v>0.32303839732888129</v>
      </c>
      <c r="Q569" s="62">
        <f t="shared" si="95"/>
        <v>2.8019408565933546E-3</v>
      </c>
      <c r="R569" s="63">
        <f t="shared" si="96"/>
        <v>0.10658220875791787</v>
      </c>
      <c r="S569" s="63">
        <f t="shared" si="97"/>
        <v>9.2446299812691784E-4</v>
      </c>
      <c r="T569" s="63">
        <f t="shared" si="98"/>
        <v>0.10750667175604478</v>
      </c>
    </row>
    <row r="570" spans="1:20" x14ac:dyDescent="0.3">
      <c r="A570" s="18" t="s">
        <v>185</v>
      </c>
      <c r="B570" s="18" t="s">
        <v>186</v>
      </c>
      <c r="C570" s="18" t="s">
        <v>124</v>
      </c>
      <c r="D570" s="18" t="s">
        <v>121</v>
      </c>
      <c r="E570" s="61">
        <v>2018</v>
      </c>
      <c r="F570" s="62">
        <v>4018000000</v>
      </c>
      <c r="G570" s="62">
        <v>4083000000</v>
      </c>
      <c r="H570" s="62">
        <v>1197000000</v>
      </c>
      <c r="I570" s="62">
        <v>1194000000</v>
      </c>
      <c r="J570" s="62">
        <f t="shared" si="88"/>
        <v>3.3567251461988303</v>
      </c>
      <c r="K570" s="62">
        <f t="shared" si="89"/>
        <v>3.4195979899497488</v>
      </c>
      <c r="L570" s="63">
        <f t="shared" si="90"/>
        <v>1.6177202588352414E-2</v>
      </c>
      <c r="M570" s="63">
        <f t="shared" si="91"/>
        <v>-2.5062656641604009E-3</v>
      </c>
      <c r="N570" s="63">
        <f t="shared" si="92"/>
        <v>1.8730411640081993E-2</v>
      </c>
      <c r="O570" s="62">
        <f t="shared" si="93"/>
        <v>3.411027568922306</v>
      </c>
      <c r="P570" s="62">
        <f t="shared" si="94"/>
        <v>5.430242272347563E-2</v>
      </c>
      <c r="Q570" s="62">
        <f t="shared" si="95"/>
        <v>8.570421027442876E-3</v>
      </c>
      <c r="R570" s="63">
        <f t="shared" si="96"/>
        <v>1.6177202588352497E-2</v>
      </c>
      <c r="S570" s="63">
        <f t="shared" si="97"/>
        <v>2.5532090517294981E-3</v>
      </c>
      <c r="T570" s="63">
        <f t="shared" si="98"/>
        <v>1.8730411640081997E-2</v>
      </c>
    </row>
    <row r="571" spans="1:20" x14ac:dyDescent="0.3">
      <c r="A571" s="18" t="s">
        <v>185</v>
      </c>
      <c r="B571" s="18" t="s">
        <v>186</v>
      </c>
      <c r="C571" s="18" t="s">
        <v>124</v>
      </c>
      <c r="D571" s="18" t="s">
        <v>121</v>
      </c>
      <c r="E571" s="61">
        <v>2019</v>
      </c>
      <c r="F571" s="62">
        <v>4083000000</v>
      </c>
      <c r="G571" s="62">
        <v>3337000000</v>
      </c>
      <c r="H571" s="62">
        <v>1194000000</v>
      </c>
      <c r="I571" s="62">
        <v>1194000000</v>
      </c>
      <c r="J571" s="62">
        <f t="shared" si="88"/>
        <v>3.4195979899497488</v>
      </c>
      <c r="K571" s="62">
        <f t="shared" si="89"/>
        <v>2.7948073701842544</v>
      </c>
      <c r="L571" s="63">
        <f t="shared" si="90"/>
        <v>-0.18270879255449424</v>
      </c>
      <c r="M571" s="63">
        <f t="shared" si="91"/>
        <v>0</v>
      </c>
      <c r="N571" s="63">
        <f t="shared" si="92"/>
        <v>-0.18270879255449432</v>
      </c>
      <c r="O571" s="62">
        <f t="shared" si="93"/>
        <v>2.7948073701842544</v>
      </c>
      <c r="P571" s="62">
        <f t="shared" si="94"/>
        <v>-0.62479061976549444</v>
      </c>
      <c r="Q571" s="62">
        <f t="shared" si="95"/>
        <v>0</v>
      </c>
      <c r="R571" s="63">
        <f t="shared" si="96"/>
        <v>-0.18270879255449432</v>
      </c>
      <c r="S571" s="63">
        <f t="shared" si="97"/>
        <v>0</v>
      </c>
      <c r="T571" s="63">
        <f t="shared" si="98"/>
        <v>-0.18270879255449432</v>
      </c>
    </row>
    <row r="572" spans="1:20" x14ac:dyDescent="0.3">
      <c r="A572" s="18" t="s">
        <v>185</v>
      </c>
      <c r="B572" s="18" t="s">
        <v>186</v>
      </c>
      <c r="C572" s="18" t="s">
        <v>124</v>
      </c>
      <c r="D572" s="18" t="s">
        <v>121</v>
      </c>
      <c r="E572" s="61">
        <v>2020</v>
      </c>
      <c r="F572" s="62">
        <v>3337000000</v>
      </c>
      <c r="G572" s="62">
        <v>5145000000</v>
      </c>
      <c r="H572" s="62">
        <v>1194000000</v>
      </c>
      <c r="I572" s="62">
        <v>1182000000</v>
      </c>
      <c r="J572" s="62">
        <f t="shared" si="88"/>
        <v>2.7948073701842544</v>
      </c>
      <c r="K572" s="62">
        <f t="shared" si="89"/>
        <v>4.3527918781725887</v>
      </c>
      <c r="L572" s="63">
        <f t="shared" si="90"/>
        <v>0.54180401558285884</v>
      </c>
      <c r="M572" s="63">
        <f t="shared" si="91"/>
        <v>-1.0050251256281407E-2</v>
      </c>
      <c r="N572" s="63">
        <f t="shared" si="92"/>
        <v>0.55745684822837016</v>
      </c>
      <c r="O572" s="62">
        <f t="shared" si="93"/>
        <v>4.3090452261306531</v>
      </c>
      <c r="P572" s="62">
        <f t="shared" si="94"/>
        <v>1.5142378559463987</v>
      </c>
      <c r="Q572" s="62">
        <f t="shared" si="95"/>
        <v>4.3746652041935619E-2</v>
      </c>
      <c r="R572" s="63">
        <f t="shared" si="96"/>
        <v>0.54180401558285896</v>
      </c>
      <c r="S572" s="63">
        <f t="shared" si="97"/>
        <v>1.5652832645511278E-2</v>
      </c>
      <c r="T572" s="63">
        <f t="shared" si="98"/>
        <v>0.55745684822837027</v>
      </c>
    </row>
    <row r="573" spans="1:20" x14ac:dyDescent="0.3">
      <c r="A573" s="18" t="s">
        <v>185</v>
      </c>
      <c r="B573" s="18" t="s">
        <v>186</v>
      </c>
      <c r="C573" s="18" t="s">
        <v>124</v>
      </c>
      <c r="D573" s="18" t="s">
        <v>121</v>
      </c>
      <c r="E573" s="61">
        <v>2021</v>
      </c>
      <c r="F573" s="62">
        <v>5145000000</v>
      </c>
      <c r="G573" s="62">
        <v>5256000000</v>
      </c>
      <c r="H573" s="62">
        <v>1182000000</v>
      </c>
      <c r="I573" s="62">
        <v>1179579340</v>
      </c>
      <c r="J573" s="62">
        <f t="shared" si="88"/>
        <v>4.3527918781725887</v>
      </c>
      <c r="K573" s="62">
        <f t="shared" si="89"/>
        <v>4.4558257522550369</v>
      </c>
      <c r="L573" s="63">
        <f t="shared" si="90"/>
        <v>2.1574344023323616E-2</v>
      </c>
      <c r="M573" s="63">
        <f t="shared" si="91"/>
        <v>-2.0479357021996616E-3</v>
      </c>
      <c r="N573" s="63">
        <f t="shared" si="92"/>
        <v>2.3670755911652807E-2</v>
      </c>
      <c r="O573" s="62">
        <f t="shared" si="93"/>
        <v>4.4467005076142128</v>
      </c>
      <c r="P573" s="62">
        <f t="shared" si="94"/>
        <v>9.3908629441624036E-2</v>
      </c>
      <c r="Q573" s="62">
        <f t="shared" si="95"/>
        <v>9.1252446408240928E-3</v>
      </c>
      <c r="R573" s="63">
        <f t="shared" si="96"/>
        <v>2.157434402332354E-2</v>
      </c>
      <c r="S573" s="63">
        <f t="shared" si="97"/>
        <v>2.0964118883292668E-3</v>
      </c>
      <c r="T573" s="63">
        <f t="shared" si="98"/>
        <v>2.3670755911652807E-2</v>
      </c>
    </row>
    <row r="574" spans="1:20" x14ac:dyDescent="0.3">
      <c r="A574" s="18" t="s">
        <v>185</v>
      </c>
      <c r="B574" s="18" t="s">
        <v>186</v>
      </c>
      <c r="C574" s="18" t="s">
        <v>124</v>
      </c>
      <c r="D574" s="18" t="s">
        <v>121</v>
      </c>
      <c r="E574" s="61">
        <v>2022</v>
      </c>
      <c r="F574" s="62">
        <v>5256000000</v>
      </c>
      <c r="G574" s="62">
        <v>2284000000</v>
      </c>
      <c r="H574" s="62">
        <v>1179579340</v>
      </c>
      <c r="I574" s="62">
        <v>1170000000</v>
      </c>
      <c r="J574" s="62">
        <f t="shared" si="88"/>
        <v>4.4558257522550369</v>
      </c>
      <c r="K574" s="62">
        <f t="shared" si="89"/>
        <v>1.9521367521367521</v>
      </c>
      <c r="L574" s="63">
        <f t="shared" si="90"/>
        <v>-0.56544901065449016</v>
      </c>
      <c r="M574" s="63">
        <f t="shared" si="91"/>
        <v>-8.1209798062417751E-3</v>
      </c>
      <c r="N574" s="63">
        <f t="shared" si="92"/>
        <v>-0.5618911374286123</v>
      </c>
      <c r="O574" s="62">
        <f t="shared" si="93"/>
        <v>1.9362834889936271</v>
      </c>
      <c r="P574" s="62">
        <f t="shared" si="94"/>
        <v>-2.5195422632614095</v>
      </c>
      <c r="Q574" s="62">
        <f t="shared" si="95"/>
        <v>1.5853263143124963E-2</v>
      </c>
      <c r="R574" s="63">
        <f t="shared" si="96"/>
        <v>-0.56544901065449005</v>
      </c>
      <c r="S574" s="63">
        <f t="shared" si="97"/>
        <v>3.5578732258777909E-3</v>
      </c>
      <c r="T574" s="63">
        <f t="shared" si="98"/>
        <v>-0.5618911374286123</v>
      </c>
    </row>
    <row r="575" spans="1:20" x14ac:dyDescent="0.3">
      <c r="A575" s="18" t="s">
        <v>185</v>
      </c>
      <c r="B575" s="18" t="s">
        <v>186</v>
      </c>
      <c r="C575" s="18" t="s">
        <v>124</v>
      </c>
      <c r="D575" s="18" t="s">
        <v>121</v>
      </c>
      <c r="E575" s="61">
        <v>2023</v>
      </c>
      <c r="F575" s="62">
        <v>2284000000</v>
      </c>
      <c r="G575" s="62">
        <v>6139000000</v>
      </c>
      <c r="H575" s="62">
        <v>1170000000</v>
      </c>
      <c r="I575" s="62">
        <v>1167000000</v>
      </c>
      <c r="J575" s="62">
        <f t="shared" si="88"/>
        <v>1.9521367521367521</v>
      </c>
      <c r="K575" s="62">
        <f t="shared" si="89"/>
        <v>5.2604970008568976</v>
      </c>
      <c r="L575" s="63">
        <f t="shared" si="90"/>
        <v>1.6878283712784588</v>
      </c>
      <c r="M575" s="63">
        <f t="shared" si="91"/>
        <v>-2.5641025641025641E-3</v>
      </c>
      <c r="N575" s="63">
        <f t="shared" si="92"/>
        <v>1.6947379557804598</v>
      </c>
      <c r="O575" s="62">
        <f t="shared" si="93"/>
        <v>5.247008547008547</v>
      </c>
      <c r="P575" s="62">
        <f t="shared" si="94"/>
        <v>3.2948717948717947</v>
      </c>
      <c r="Q575" s="62">
        <f t="shared" si="95"/>
        <v>1.3488453848350623E-2</v>
      </c>
      <c r="R575" s="63">
        <f t="shared" si="96"/>
        <v>1.6878283712784588</v>
      </c>
      <c r="S575" s="63">
        <f t="shared" si="97"/>
        <v>6.9095845020009762E-3</v>
      </c>
      <c r="T575" s="63">
        <f t="shared" si="98"/>
        <v>1.6947379557804598</v>
      </c>
    </row>
    <row r="576" spans="1:20" x14ac:dyDescent="0.3">
      <c r="A576" s="18" t="s">
        <v>185</v>
      </c>
      <c r="B576" s="18" t="s">
        <v>186</v>
      </c>
      <c r="C576" s="18" t="s">
        <v>124</v>
      </c>
      <c r="D576" s="18" t="s">
        <v>121</v>
      </c>
      <c r="E576" s="61">
        <v>2024</v>
      </c>
      <c r="F576" s="62">
        <v>6139000000</v>
      </c>
      <c r="G576" s="62">
        <v>3124000000</v>
      </c>
      <c r="H576" s="62">
        <v>1167000000</v>
      </c>
      <c r="I576" s="62">
        <v>1166000000</v>
      </c>
      <c r="J576" s="62">
        <f t="shared" si="88"/>
        <v>5.2604970008568976</v>
      </c>
      <c r="K576" s="62">
        <f t="shared" si="89"/>
        <v>2.6792452830188678</v>
      </c>
      <c r="L576" s="63">
        <f t="shared" si="90"/>
        <v>-0.49112233262746374</v>
      </c>
      <c r="M576" s="63">
        <f t="shared" si="91"/>
        <v>-8.5689802913453304E-4</v>
      </c>
      <c r="N576" s="63">
        <f t="shared" si="92"/>
        <v>-0.49068590238100357</v>
      </c>
      <c r="O576" s="62">
        <f t="shared" si="93"/>
        <v>2.676949443016281</v>
      </c>
      <c r="P576" s="62">
        <f t="shared" si="94"/>
        <v>-2.5835475578406166</v>
      </c>
      <c r="Q576" s="62">
        <f t="shared" si="95"/>
        <v>2.2958400025867576E-3</v>
      </c>
      <c r="R576" s="63">
        <f t="shared" si="96"/>
        <v>-0.49112233262746374</v>
      </c>
      <c r="S576" s="63">
        <f t="shared" si="97"/>
        <v>4.3643024646013135E-4</v>
      </c>
      <c r="T576" s="63">
        <f t="shared" si="98"/>
        <v>-0.49068590238100362</v>
      </c>
    </row>
    <row r="577" spans="1:20" x14ac:dyDescent="0.3">
      <c r="A577" s="18" t="s">
        <v>187</v>
      </c>
      <c r="B577" s="18" t="s">
        <v>188</v>
      </c>
      <c r="C577" s="18" t="s">
        <v>124</v>
      </c>
      <c r="D577" s="18" t="s">
        <v>121</v>
      </c>
      <c r="E577" s="61">
        <v>2016</v>
      </c>
      <c r="F577" s="62">
        <v>126303000</v>
      </c>
      <c r="G577" s="62">
        <v>102932000</v>
      </c>
      <c r="H577" s="62">
        <v>68194868</v>
      </c>
      <c r="I577" s="62">
        <v>68388292</v>
      </c>
      <c r="J577" s="62">
        <f t="shared" si="88"/>
        <v>1.8520895150057333</v>
      </c>
      <c r="K577" s="62">
        <f t="shared" si="89"/>
        <v>1.5051114304770179</v>
      </c>
      <c r="L577" s="63">
        <f t="shared" si="90"/>
        <v>-0.18503915188079459</v>
      </c>
      <c r="M577" s="63">
        <f t="shared" si="91"/>
        <v>2.8363424649491221E-3</v>
      </c>
      <c r="N577" s="63">
        <f t="shared" si="92"/>
        <v>-0.18734412225622976</v>
      </c>
      <c r="O577" s="62">
        <f t="shared" si="93"/>
        <v>1.5093804419417602</v>
      </c>
      <c r="P577" s="62">
        <f t="shared" si="94"/>
        <v>-0.34270907306397302</v>
      </c>
      <c r="Q577" s="62">
        <f t="shared" si="95"/>
        <v>-4.2690114647423449E-3</v>
      </c>
      <c r="R577" s="63">
        <f t="shared" si="96"/>
        <v>-0.18503915188079456</v>
      </c>
      <c r="S577" s="63">
        <f t="shared" si="97"/>
        <v>-2.3049703754351907E-3</v>
      </c>
      <c r="T577" s="63">
        <f t="shared" si="98"/>
        <v>-0.18734412225622976</v>
      </c>
    </row>
    <row r="578" spans="1:20" x14ac:dyDescent="0.3">
      <c r="A578" s="18" t="s">
        <v>187</v>
      </c>
      <c r="B578" s="18" t="s">
        <v>188</v>
      </c>
      <c r="C578" s="18" t="s">
        <v>124</v>
      </c>
      <c r="D578" s="18" t="s">
        <v>121</v>
      </c>
      <c r="E578" s="61">
        <v>2017</v>
      </c>
      <c r="F578" s="62">
        <v>102932000</v>
      </c>
      <c r="G578" s="62">
        <v>114730000</v>
      </c>
      <c r="H578" s="62">
        <v>68388292</v>
      </c>
      <c r="I578" s="62">
        <v>68388292</v>
      </c>
      <c r="J578" s="62">
        <f t="shared" si="88"/>
        <v>1.5051114304770179</v>
      </c>
      <c r="K578" s="62">
        <f t="shared" si="89"/>
        <v>1.6776263399004028</v>
      </c>
      <c r="L578" s="63">
        <f t="shared" si="90"/>
        <v>0.11461936035440874</v>
      </c>
      <c r="M578" s="63">
        <f t="shared" si="91"/>
        <v>0</v>
      </c>
      <c r="N578" s="63">
        <f t="shared" si="92"/>
        <v>0.1146193603544087</v>
      </c>
      <c r="O578" s="62">
        <f t="shared" si="93"/>
        <v>1.6776263399004028</v>
      </c>
      <c r="P578" s="62">
        <f t="shared" si="94"/>
        <v>0.17251490942338488</v>
      </c>
      <c r="Q578" s="62">
        <f t="shared" si="95"/>
        <v>0</v>
      </c>
      <c r="R578" s="63">
        <f t="shared" si="96"/>
        <v>0.1146193603544087</v>
      </c>
      <c r="S578" s="63">
        <f t="shared" si="97"/>
        <v>0</v>
      </c>
      <c r="T578" s="63">
        <f t="shared" si="98"/>
        <v>0.1146193603544087</v>
      </c>
    </row>
    <row r="579" spans="1:20" x14ac:dyDescent="0.3">
      <c r="A579" s="18" t="s">
        <v>187</v>
      </c>
      <c r="B579" s="18" t="s">
        <v>188</v>
      </c>
      <c r="C579" s="18" t="s">
        <v>124</v>
      </c>
      <c r="D579" s="18" t="s">
        <v>121</v>
      </c>
      <c r="E579" s="61">
        <v>2018</v>
      </c>
      <c r="F579" s="62">
        <v>114730000</v>
      </c>
      <c r="G579" s="62">
        <v>141342000</v>
      </c>
      <c r="H579" s="62">
        <v>68388292</v>
      </c>
      <c r="I579" s="62">
        <v>68388292</v>
      </c>
      <c r="J579" s="62">
        <f t="shared" si="88"/>
        <v>1.6776263399004028</v>
      </c>
      <c r="K579" s="62">
        <f t="shared" si="89"/>
        <v>2.0667572747686109</v>
      </c>
      <c r="L579" s="63">
        <f t="shared" si="90"/>
        <v>0.23195328161771114</v>
      </c>
      <c r="M579" s="63">
        <f t="shared" si="91"/>
        <v>0</v>
      </c>
      <c r="N579" s="63">
        <f t="shared" si="92"/>
        <v>0.23195328161771117</v>
      </c>
      <c r="O579" s="62">
        <f t="shared" si="93"/>
        <v>2.0667572747686109</v>
      </c>
      <c r="P579" s="62">
        <f t="shared" si="94"/>
        <v>0.38913093486820816</v>
      </c>
      <c r="Q579" s="62">
        <f t="shared" si="95"/>
        <v>0</v>
      </c>
      <c r="R579" s="63">
        <f t="shared" si="96"/>
        <v>0.23195328161771117</v>
      </c>
      <c r="S579" s="63">
        <f t="shared" si="97"/>
        <v>0</v>
      </c>
      <c r="T579" s="63">
        <f t="shared" si="98"/>
        <v>0.23195328161771117</v>
      </c>
    </row>
    <row r="580" spans="1:20" x14ac:dyDescent="0.3">
      <c r="A580" s="18" t="s">
        <v>187</v>
      </c>
      <c r="B580" s="18" t="s">
        <v>188</v>
      </c>
      <c r="C580" s="18" t="s">
        <v>124</v>
      </c>
      <c r="D580" s="18" t="s">
        <v>121</v>
      </c>
      <c r="E580" s="61">
        <v>2019</v>
      </c>
      <c r="F580" s="62">
        <v>141342000</v>
      </c>
      <c r="G580" s="62">
        <v>218743000</v>
      </c>
      <c r="H580" s="62">
        <v>68388292</v>
      </c>
      <c r="I580" s="62">
        <v>68388292</v>
      </c>
      <c r="J580" s="62">
        <f t="shared" si="88"/>
        <v>2.0667572747686109</v>
      </c>
      <c r="K580" s="62">
        <f t="shared" si="89"/>
        <v>3.1985445695880226</v>
      </c>
      <c r="L580" s="63">
        <f t="shared" si="90"/>
        <v>0.54761500474027536</v>
      </c>
      <c r="M580" s="63">
        <f t="shared" si="91"/>
        <v>0</v>
      </c>
      <c r="N580" s="63">
        <f t="shared" si="92"/>
        <v>0.54761500474027547</v>
      </c>
      <c r="O580" s="62">
        <f t="shared" si="93"/>
        <v>3.1985445695880226</v>
      </c>
      <c r="P580" s="62">
        <f t="shared" si="94"/>
        <v>1.1317872948194116</v>
      </c>
      <c r="Q580" s="62">
        <f t="shared" si="95"/>
        <v>0</v>
      </c>
      <c r="R580" s="63">
        <f t="shared" si="96"/>
        <v>0.54761500474027547</v>
      </c>
      <c r="S580" s="63">
        <f t="shared" si="97"/>
        <v>0</v>
      </c>
      <c r="T580" s="63">
        <f t="shared" si="98"/>
        <v>0.54761500474027547</v>
      </c>
    </row>
    <row r="581" spans="1:20" x14ac:dyDescent="0.3">
      <c r="A581" s="18" t="s">
        <v>187</v>
      </c>
      <c r="B581" s="18" t="s">
        <v>188</v>
      </c>
      <c r="C581" s="18" t="s">
        <v>124</v>
      </c>
      <c r="D581" s="18" t="s">
        <v>121</v>
      </c>
      <c r="E581" s="61">
        <v>2020</v>
      </c>
      <c r="F581" s="62">
        <v>218743000</v>
      </c>
      <c r="G581" s="62">
        <v>321472000</v>
      </c>
      <c r="H581" s="62">
        <v>68388292</v>
      </c>
      <c r="I581" s="62">
        <v>68415862</v>
      </c>
      <c r="J581" s="62">
        <f t="shared" ref="J581:J644" si="99">F581/H581</f>
        <v>3.1985445695880226</v>
      </c>
      <c r="K581" s="62">
        <f t="shared" ref="K581:K644" si="100">G581/I581</f>
        <v>4.698793388001163</v>
      </c>
      <c r="L581" s="63">
        <f t="shared" ref="L581:L644" si="101">IF(F581=0,"",((G581-F581)/ABS(F581)))</f>
        <v>0.46963331398033309</v>
      </c>
      <c r="M581" s="63">
        <f t="shared" ref="M581:M644" si="102">(I581-H581)/H581</f>
        <v>4.0313918060711325E-4</v>
      </c>
      <c r="N581" s="63">
        <f t="shared" ref="N581:N644" si="103">IF(J581=0,"",((K581-J581)/ABS(J581)))</f>
        <v>0.46904108596066074</v>
      </c>
      <c r="O581" s="62">
        <f t="shared" ref="O581:O644" si="104">G581/H581</f>
        <v>4.7006876557174433</v>
      </c>
      <c r="P581" s="62">
        <f t="shared" ref="P581:P644" si="105">O581-J581</f>
        <v>1.5021430861294207</v>
      </c>
      <c r="Q581" s="62">
        <f t="shared" ref="Q581:Q644" si="106">K581-O581</f>
        <v>-1.8942677162803179E-3</v>
      </c>
      <c r="R581" s="63">
        <f t="shared" ref="R581:R644" si="107">IF(J581=0,"",P581/ABS(J581))</f>
        <v>0.46963331398033292</v>
      </c>
      <c r="S581" s="63">
        <f t="shared" ref="S581:S644" si="108">IF(J581=0,"",Q581/ABS(J581))</f>
        <v>-5.9222801967217934E-4</v>
      </c>
      <c r="T581" s="63">
        <f t="shared" ref="T581:T644" si="109">R581+S581</f>
        <v>0.46904108596066074</v>
      </c>
    </row>
    <row r="582" spans="1:20" x14ac:dyDescent="0.3">
      <c r="A582" s="18" t="s">
        <v>187</v>
      </c>
      <c r="B582" s="18" t="s">
        <v>188</v>
      </c>
      <c r="C582" s="18" t="s">
        <v>124</v>
      </c>
      <c r="D582" s="18" t="s">
        <v>121</v>
      </c>
      <c r="E582" s="61">
        <v>2021</v>
      </c>
      <c r="F582" s="62">
        <v>321472000</v>
      </c>
      <c r="G582" s="62">
        <v>426978000</v>
      </c>
      <c r="H582" s="62">
        <v>68415862</v>
      </c>
      <c r="I582" s="62">
        <v>68415862</v>
      </c>
      <c r="J582" s="62">
        <f t="shared" si="99"/>
        <v>4.698793388001163</v>
      </c>
      <c r="K582" s="62">
        <f t="shared" si="100"/>
        <v>6.2409211477887983</v>
      </c>
      <c r="L582" s="63">
        <f t="shared" si="101"/>
        <v>0.32819654588891101</v>
      </c>
      <c r="M582" s="63">
        <f t="shared" si="102"/>
        <v>0</v>
      </c>
      <c r="N582" s="63">
        <f t="shared" si="103"/>
        <v>0.32819654588891101</v>
      </c>
      <c r="O582" s="62">
        <f t="shared" si="104"/>
        <v>6.2409211477887983</v>
      </c>
      <c r="P582" s="62">
        <f t="shared" si="105"/>
        <v>1.5421277597876353</v>
      </c>
      <c r="Q582" s="62">
        <f t="shared" si="106"/>
        <v>0</v>
      </c>
      <c r="R582" s="63">
        <f t="shared" si="107"/>
        <v>0.32819654588891101</v>
      </c>
      <c r="S582" s="63">
        <f t="shared" si="108"/>
        <v>0</v>
      </c>
      <c r="T582" s="63">
        <f t="shared" si="109"/>
        <v>0.32819654588891101</v>
      </c>
    </row>
    <row r="583" spans="1:20" x14ac:dyDescent="0.3">
      <c r="A583" s="18" t="s">
        <v>187</v>
      </c>
      <c r="B583" s="18" t="s">
        <v>188</v>
      </c>
      <c r="C583" s="18" t="s">
        <v>124</v>
      </c>
      <c r="D583" s="18" t="s">
        <v>121</v>
      </c>
      <c r="E583" s="61">
        <v>2022</v>
      </c>
      <c r="F583" s="62">
        <v>426978000</v>
      </c>
      <c r="G583" s="62">
        <v>913100000</v>
      </c>
      <c r="H583" s="62">
        <v>68415862</v>
      </c>
      <c r="I583" s="62">
        <v>68415862</v>
      </c>
      <c r="J583" s="62">
        <f t="shared" si="99"/>
        <v>6.2409211477887983</v>
      </c>
      <c r="K583" s="62">
        <f t="shared" si="100"/>
        <v>13.346320185222543</v>
      </c>
      <c r="L583" s="63">
        <f t="shared" si="101"/>
        <v>1.1385176753837434</v>
      </c>
      <c r="M583" s="63">
        <f t="shared" si="102"/>
        <v>0</v>
      </c>
      <c r="N583" s="63">
        <f t="shared" si="103"/>
        <v>1.1385176753837432</v>
      </c>
      <c r="O583" s="62">
        <f t="shared" si="104"/>
        <v>13.346320185222543</v>
      </c>
      <c r="P583" s="62">
        <f t="shared" si="105"/>
        <v>7.1053990374337452</v>
      </c>
      <c r="Q583" s="62">
        <f t="shared" si="106"/>
        <v>0</v>
      </c>
      <c r="R583" s="63">
        <f t="shared" si="107"/>
        <v>1.1385176753837432</v>
      </c>
      <c r="S583" s="63">
        <f t="shared" si="108"/>
        <v>0</v>
      </c>
      <c r="T583" s="63">
        <f t="shared" si="109"/>
        <v>1.1385176753837432</v>
      </c>
    </row>
    <row r="584" spans="1:20" x14ac:dyDescent="0.3">
      <c r="A584" s="18" t="s">
        <v>187</v>
      </c>
      <c r="B584" s="18" t="s">
        <v>188</v>
      </c>
      <c r="C584" s="18" t="s">
        <v>124</v>
      </c>
      <c r="D584" s="18" t="s">
        <v>121</v>
      </c>
      <c r="E584" s="61">
        <v>2023</v>
      </c>
      <c r="F584" s="62">
        <v>913100000</v>
      </c>
      <c r="G584" s="62">
        <v>205200000</v>
      </c>
      <c r="H584" s="62">
        <v>68415862</v>
      </c>
      <c r="I584" s="62">
        <v>68415862</v>
      </c>
      <c r="J584" s="62">
        <f t="shared" si="99"/>
        <v>13.346320185222543</v>
      </c>
      <c r="K584" s="62">
        <f t="shared" si="100"/>
        <v>2.999304459541853</v>
      </c>
      <c r="L584" s="63">
        <f t="shared" si="101"/>
        <v>-0.77527105464899793</v>
      </c>
      <c r="M584" s="63">
        <f t="shared" si="102"/>
        <v>0</v>
      </c>
      <c r="N584" s="63">
        <f t="shared" si="103"/>
        <v>-0.77527105464899804</v>
      </c>
      <c r="O584" s="62">
        <f t="shared" si="104"/>
        <v>2.999304459541853</v>
      </c>
      <c r="P584" s="62">
        <f t="shared" si="105"/>
        <v>-10.347015725680691</v>
      </c>
      <c r="Q584" s="62">
        <f t="shared" si="106"/>
        <v>0</v>
      </c>
      <c r="R584" s="63">
        <f t="shared" si="107"/>
        <v>-0.77527105464899804</v>
      </c>
      <c r="S584" s="63">
        <f t="shared" si="108"/>
        <v>0</v>
      </c>
      <c r="T584" s="63">
        <f t="shared" si="109"/>
        <v>-0.77527105464899804</v>
      </c>
    </row>
    <row r="585" spans="1:20" x14ac:dyDescent="0.3">
      <c r="A585" s="18" t="s">
        <v>187</v>
      </c>
      <c r="B585" s="18" t="s">
        <v>188</v>
      </c>
      <c r="C585" s="18" t="s">
        <v>124</v>
      </c>
      <c r="D585" s="18" t="s">
        <v>121</v>
      </c>
      <c r="E585" s="61">
        <v>2024</v>
      </c>
      <c r="F585" s="62">
        <v>205200000</v>
      </c>
      <c r="G585" s="62">
        <v>84000000</v>
      </c>
      <c r="H585" s="62">
        <v>68415862</v>
      </c>
      <c r="I585" s="62">
        <v>68975331</v>
      </c>
      <c r="J585" s="62">
        <f t="shared" si="99"/>
        <v>2.999304459541853</v>
      </c>
      <c r="K585" s="62">
        <f t="shared" si="100"/>
        <v>1.2178267038689528</v>
      </c>
      <c r="L585" s="63">
        <f t="shared" si="101"/>
        <v>-0.59064327485380119</v>
      </c>
      <c r="M585" s="63">
        <f t="shared" si="102"/>
        <v>8.1774749837983472E-3</v>
      </c>
      <c r="N585" s="63">
        <f t="shared" si="103"/>
        <v>-0.59396362713541351</v>
      </c>
      <c r="O585" s="62">
        <f t="shared" si="104"/>
        <v>1.2277854512744428</v>
      </c>
      <c r="P585" s="62">
        <f t="shared" si="105"/>
        <v>-1.7715190082674102</v>
      </c>
      <c r="Q585" s="62">
        <f t="shared" si="106"/>
        <v>-9.958747405490076E-3</v>
      </c>
      <c r="R585" s="63">
        <f t="shared" si="107"/>
        <v>-0.59064327485380119</v>
      </c>
      <c r="S585" s="63">
        <f t="shared" si="108"/>
        <v>-3.3203522816124126E-3</v>
      </c>
      <c r="T585" s="63">
        <f t="shared" si="109"/>
        <v>-0.59396362713541362</v>
      </c>
    </row>
    <row r="586" spans="1:20" x14ac:dyDescent="0.3">
      <c r="A586" s="18" t="s">
        <v>189</v>
      </c>
      <c r="B586" s="18" t="s">
        <v>190</v>
      </c>
      <c r="C586" s="18" t="s">
        <v>124</v>
      </c>
      <c r="D586" s="18" t="s">
        <v>121</v>
      </c>
      <c r="E586" s="61">
        <v>2016</v>
      </c>
      <c r="F586" s="62">
        <v>5382000000</v>
      </c>
      <c r="G586" s="62">
        <v>5348000000</v>
      </c>
      <c r="H586" s="62">
        <v>823408000</v>
      </c>
      <c r="I586" s="62">
        <v>808686000</v>
      </c>
      <c r="J586" s="62">
        <f t="shared" si="99"/>
        <v>6.536249344189029</v>
      </c>
      <c r="K586" s="62">
        <f t="shared" si="100"/>
        <v>6.6131972112785435</v>
      </c>
      <c r="L586" s="63">
        <f t="shared" si="101"/>
        <v>-6.3173541434411E-3</v>
      </c>
      <c r="M586" s="63">
        <f t="shared" si="102"/>
        <v>-1.7879350212774228E-2</v>
      </c>
      <c r="N586" s="63">
        <f t="shared" si="103"/>
        <v>1.1772480368718499E-2</v>
      </c>
      <c r="O586" s="62">
        <f t="shared" si="104"/>
        <v>6.4949575423119521</v>
      </c>
      <c r="P586" s="62">
        <f t="shared" si="105"/>
        <v>-4.1291801877076928E-2</v>
      </c>
      <c r="Q586" s="62">
        <f t="shared" si="106"/>
        <v>0.11823966896659144</v>
      </c>
      <c r="R586" s="63">
        <f t="shared" si="107"/>
        <v>-6.3173541434411295E-3</v>
      </c>
      <c r="S586" s="63">
        <f t="shared" si="108"/>
        <v>1.808983451215963E-2</v>
      </c>
      <c r="T586" s="63">
        <f t="shared" si="109"/>
        <v>1.17724803687185E-2</v>
      </c>
    </row>
    <row r="587" spans="1:20" x14ac:dyDescent="0.3">
      <c r="A587" s="18" t="s">
        <v>189</v>
      </c>
      <c r="B587" s="18" t="s">
        <v>190</v>
      </c>
      <c r="C587" s="18" t="s">
        <v>124</v>
      </c>
      <c r="D587" s="18" t="s">
        <v>121</v>
      </c>
      <c r="E587" s="61">
        <v>2017</v>
      </c>
      <c r="F587" s="62">
        <v>5348000000</v>
      </c>
      <c r="G587" s="62">
        <v>5961000000</v>
      </c>
      <c r="H587" s="62">
        <v>808686000</v>
      </c>
      <c r="I587" s="62">
        <v>812180000</v>
      </c>
      <c r="J587" s="62">
        <f t="shared" si="99"/>
        <v>6.6131972112785435</v>
      </c>
      <c r="K587" s="62">
        <f t="shared" si="100"/>
        <v>7.33950602083282</v>
      </c>
      <c r="L587" s="63">
        <f t="shared" si="101"/>
        <v>0.11462228870605834</v>
      </c>
      <c r="M587" s="63">
        <f t="shared" si="102"/>
        <v>4.3205892027313444E-3</v>
      </c>
      <c r="N587" s="63">
        <f t="shared" si="103"/>
        <v>0.10982718136933613</v>
      </c>
      <c r="O587" s="62">
        <f t="shared" si="104"/>
        <v>7.3712170112998123</v>
      </c>
      <c r="P587" s="62">
        <f t="shared" si="105"/>
        <v>0.75801980002126879</v>
      </c>
      <c r="Q587" s="62">
        <f t="shared" si="106"/>
        <v>-3.1710990466992328E-2</v>
      </c>
      <c r="R587" s="63">
        <f t="shared" si="107"/>
        <v>0.11462228870605828</v>
      </c>
      <c r="S587" s="63">
        <f t="shared" si="108"/>
        <v>-4.7951073367221682E-3</v>
      </c>
      <c r="T587" s="63">
        <f t="shared" si="109"/>
        <v>0.10982718136933611</v>
      </c>
    </row>
    <row r="588" spans="1:20" x14ac:dyDescent="0.3">
      <c r="A588" s="18" t="s">
        <v>189</v>
      </c>
      <c r="B588" s="18" t="s">
        <v>190</v>
      </c>
      <c r="C588" s="18" t="s">
        <v>124</v>
      </c>
      <c r="D588" s="18" t="s">
        <v>121</v>
      </c>
      <c r="E588" s="61">
        <v>2018</v>
      </c>
      <c r="F588" s="62">
        <v>5961000000</v>
      </c>
      <c r="G588" s="62">
        <v>5807000000</v>
      </c>
      <c r="H588" s="62">
        <v>812180000</v>
      </c>
      <c r="I588" s="62">
        <v>815063000</v>
      </c>
      <c r="J588" s="62">
        <f t="shared" si="99"/>
        <v>7.33950602083282</v>
      </c>
      <c r="K588" s="62">
        <f t="shared" si="100"/>
        <v>7.1246026380782839</v>
      </c>
      <c r="L588" s="63">
        <f t="shared" si="101"/>
        <v>-2.583459151149136E-2</v>
      </c>
      <c r="M588" s="63">
        <f t="shared" si="102"/>
        <v>3.5497057302568396E-3</v>
      </c>
      <c r="N588" s="63">
        <f t="shared" si="103"/>
        <v>-2.9280360578020324E-2</v>
      </c>
      <c r="O588" s="62">
        <f t="shared" si="104"/>
        <v>7.1498928808884727</v>
      </c>
      <c r="P588" s="62">
        <f t="shared" si="105"/>
        <v>-0.18961313994434725</v>
      </c>
      <c r="Q588" s="62">
        <f t="shared" si="106"/>
        <v>-2.5290242810188879E-2</v>
      </c>
      <c r="R588" s="63">
        <f t="shared" si="107"/>
        <v>-2.5834591511491353E-2</v>
      </c>
      <c r="S588" s="63">
        <f t="shared" si="108"/>
        <v>-3.4457690665289724E-3</v>
      </c>
      <c r="T588" s="63">
        <f t="shared" si="109"/>
        <v>-2.9280360578020324E-2</v>
      </c>
    </row>
    <row r="589" spans="1:20" x14ac:dyDescent="0.3">
      <c r="A589" s="18" t="s">
        <v>189</v>
      </c>
      <c r="B589" s="18" t="s">
        <v>190</v>
      </c>
      <c r="C589" s="18" t="s">
        <v>124</v>
      </c>
      <c r="D589" s="18" t="s">
        <v>121</v>
      </c>
      <c r="E589" s="61">
        <v>2019</v>
      </c>
      <c r="F589" s="62">
        <v>5807000000</v>
      </c>
      <c r="G589" s="62">
        <v>5183000000</v>
      </c>
      <c r="H589" s="62">
        <v>815063000</v>
      </c>
      <c r="I589" s="62">
        <v>807273000</v>
      </c>
      <c r="J589" s="62">
        <f t="shared" si="99"/>
        <v>7.1246026380782839</v>
      </c>
      <c r="K589" s="62">
        <f t="shared" si="100"/>
        <v>6.4203807138353444</v>
      </c>
      <c r="L589" s="63">
        <f t="shared" si="101"/>
        <v>-0.10745651799552265</v>
      </c>
      <c r="M589" s="63">
        <f t="shared" si="102"/>
        <v>-9.5575434046202556E-3</v>
      </c>
      <c r="N589" s="63">
        <f t="shared" si="103"/>
        <v>-9.884367732722972E-2</v>
      </c>
      <c r="O589" s="62">
        <f t="shared" si="104"/>
        <v>6.3590176464886765</v>
      </c>
      <c r="P589" s="62">
        <f t="shared" si="105"/>
        <v>-0.76558499158960736</v>
      </c>
      <c r="Q589" s="62">
        <f t="shared" si="106"/>
        <v>6.1363067346667854E-2</v>
      </c>
      <c r="R589" s="63">
        <f t="shared" si="107"/>
        <v>-0.10745651799552267</v>
      </c>
      <c r="S589" s="63">
        <f t="shared" si="108"/>
        <v>8.6128406682929471E-3</v>
      </c>
      <c r="T589" s="63">
        <f t="shared" si="109"/>
        <v>-9.884367732722972E-2</v>
      </c>
    </row>
    <row r="590" spans="1:20" x14ac:dyDescent="0.3">
      <c r="A590" s="18" t="s">
        <v>189</v>
      </c>
      <c r="B590" s="18" t="s">
        <v>190</v>
      </c>
      <c r="C590" s="18" t="s">
        <v>124</v>
      </c>
      <c r="D590" s="18" t="s">
        <v>121</v>
      </c>
      <c r="E590" s="61">
        <v>2020</v>
      </c>
      <c r="F590" s="62">
        <v>5183000000</v>
      </c>
      <c r="G590" s="62">
        <v>4035000000</v>
      </c>
      <c r="H590" s="62">
        <v>807273000</v>
      </c>
      <c r="I590" s="62">
        <v>806335000</v>
      </c>
      <c r="J590" s="62">
        <f t="shared" si="99"/>
        <v>6.4203807138353444</v>
      </c>
      <c r="K590" s="62">
        <f t="shared" si="100"/>
        <v>5.004123596272021</v>
      </c>
      <c r="L590" s="63">
        <f t="shared" si="101"/>
        <v>-0.22149334362338413</v>
      </c>
      <c r="M590" s="63">
        <f t="shared" si="102"/>
        <v>-1.1619365443908071E-3</v>
      </c>
      <c r="N590" s="63">
        <f t="shared" si="103"/>
        <v>-0.2205877160074661</v>
      </c>
      <c r="O590" s="62">
        <f t="shared" si="104"/>
        <v>4.9983091221928637</v>
      </c>
      <c r="P590" s="62">
        <f t="shared" si="105"/>
        <v>-1.4220715916424806</v>
      </c>
      <c r="Q590" s="62">
        <f t="shared" si="106"/>
        <v>5.8144740791572502E-3</v>
      </c>
      <c r="R590" s="63">
        <f t="shared" si="107"/>
        <v>-0.22149334362338419</v>
      </c>
      <c r="S590" s="63">
        <f t="shared" si="108"/>
        <v>9.0562761591809972E-4</v>
      </c>
      <c r="T590" s="63">
        <f t="shared" si="109"/>
        <v>-0.2205877160074661</v>
      </c>
    </row>
    <row r="591" spans="1:20" x14ac:dyDescent="0.3">
      <c r="A591" s="18" t="s">
        <v>189</v>
      </c>
      <c r="B591" s="18" t="s">
        <v>190</v>
      </c>
      <c r="C591" s="18" t="s">
        <v>124</v>
      </c>
      <c r="D591" s="18" t="s">
        <v>121</v>
      </c>
      <c r="E591" s="61">
        <v>2021</v>
      </c>
      <c r="F591" s="62">
        <v>4035000000</v>
      </c>
      <c r="G591" s="62">
        <v>5261000000</v>
      </c>
      <c r="H591" s="62">
        <v>806335000</v>
      </c>
      <c r="I591" s="62">
        <v>801829000</v>
      </c>
      <c r="J591" s="62">
        <f t="shared" si="99"/>
        <v>5.004123596272021</v>
      </c>
      <c r="K591" s="62">
        <f t="shared" si="100"/>
        <v>6.5612493436879937</v>
      </c>
      <c r="L591" s="63">
        <f t="shared" si="101"/>
        <v>0.30384138785625775</v>
      </c>
      <c r="M591" s="63">
        <f t="shared" si="102"/>
        <v>-5.5882480606695732E-3</v>
      </c>
      <c r="N591" s="63">
        <f t="shared" si="103"/>
        <v>0.31116852281106777</v>
      </c>
      <c r="O591" s="62">
        <f t="shared" si="104"/>
        <v>6.5245834547675594</v>
      </c>
      <c r="P591" s="62">
        <f t="shared" si="105"/>
        <v>1.5204598584955384</v>
      </c>
      <c r="Q591" s="62">
        <f t="shared" si="106"/>
        <v>3.666588892043432E-2</v>
      </c>
      <c r="R591" s="63">
        <f t="shared" si="107"/>
        <v>0.30384138785625775</v>
      </c>
      <c r="S591" s="63">
        <f t="shared" si="108"/>
        <v>7.3271349548100139E-3</v>
      </c>
      <c r="T591" s="63">
        <f t="shared" si="109"/>
        <v>0.31116852281106777</v>
      </c>
    </row>
    <row r="592" spans="1:20" x14ac:dyDescent="0.3">
      <c r="A592" s="18" t="s">
        <v>189</v>
      </c>
      <c r="B592" s="18" t="s">
        <v>190</v>
      </c>
      <c r="C592" s="18" t="s">
        <v>124</v>
      </c>
      <c r="D592" s="18" t="s">
        <v>121</v>
      </c>
      <c r="E592" s="61">
        <v>2022</v>
      </c>
      <c r="F592" s="62">
        <v>5261000000</v>
      </c>
      <c r="G592" s="62">
        <v>3723000000</v>
      </c>
      <c r="H592" s="62">
        <v>801829000</v>
      </c>
      <c r="I592" s="62">
        <v>801338000</v>
      </c>
      <c r="J592" s="62">
        <f t="shared" si="99"/>
        <v>6.5612493436879937</v>
      </c>
      <c r="K592" s="62">
        <f t="shared" si="100"/>
        <v>4.6459795991204711</v>
      </c>
      <c r="L592" s="63">
        <f t="shared" si="101"/>
        <v>-0.29233985934233037</v>
      </c>
      <c r="M592" s="63">
        <f t="shared" si="102"/>
        <v>-6.1235001477871222E-4</v>
      </c>
      <c r="N592" s="63">
        <f t="shared" si="103"/>
        <v>-0.29190625812903098</v>
      </c>
      <c r="O592" s="62">
        <f t="shared" si="104"/>
        <v>4.643134633444288</v>
      </c>
      <c r="P592" s="62">
        <f t="shared" si="105"/>
        <v>-1.9181147102437057</v>
      </c>
      <c r="Q592" s="62">
        <f t="shared" si="106"/>
        <v>2.8449656761830866E-3</v>
      </c>
      <c r="R592" s="63">
        <f t="shared" si="107"/>
        <v>-0.29233985934233042</v>
      </c>
      <c r="S592" s="63">
        <f t="shared" si="108"/>
        <v>4.336012132994123E-4</v>
      </c>
      <c r="T592" s="63">
        <f t="shared" si="109"/>
        <v>-0.29190625812903098</v>
      </c>
    </row>
    <row r="593" spans="1:20" x14ac:dyDescent="0.3">
      <c r="A593" s="18" t="s">
        <v>189</v>
      </c>
      <c r="B593" s="18" t="s">
        <v>190</v>
      </c>
      <c r="C593" s="18" t="s">
        <v>124</v>
      </c>
      <c r="D593" s="18" t="s">
        <v>121</v>
      </c>
      <c r="E593" s="61">
        <v>2023</v>
      </c>
      <c r="F593" s="62">
        <v>3723000000</v>
      </c>
      <c r="G593" s="62">
        <v>7949000000</v>
      </c>
      <c r="H593" s="62">
        <v>801338000</v>
      </c>
      <c r="I593" s="62">
        <v>791538000</v>
      </c>
      <c r="J593" s="62">
        <f t="shared" si="99"/>
        <v>4.6459795991204711</v>
      </c>
      <c r="K593" s="62">
        <f t="shared" si="100"/>
        <v>10.042474271607933</v>
      </c>
      <c r="L593" s="63">
        <f t="shared" si="101"/>
        <v>1.1351060972334139</v>
      </c>
      <c r="M593" s="63">
        <f t="shared" si="102"/>
        <v>-1.2229546084174219E-2</v>
      </c>
      <c r="N593" s="63">
        <f t="shared" si="103"/>
        <v>1.1615407595653391</v>
      </c>
      <c r="O593" s="62">
        <f t="shared" si="104"/>
        <v>9.9196593697041706</v>
      </c>
      <c r="P593" s="62">
        <f t="shared" si="105"/>
        <v>5.2736797705836995</v>
      </c>
      <c r="Q593" s="62">
        <f t="shared" si="106"/>
        <v>0.12281490190376232</v>
      </c>
      <c r="R593" s="63">
        <f t="shared" si="107"/>
        <v>1.1351060972334142</v>
      </c>
      <c r="S593" s="63">
        <f t="shared" si="108"/>
        <v>2.6434662331925082E-2</v>
      </c>
      <c r="T593" s="63">
        <f t="shared" si="109"/>
        <v>1.1615407595653393</v>
      </c>
    </row>
    <row r="594" spans="1:20" x14ac:dyDescent="0.3">
      <c r="A594" s="18" t="s">
        <v>189</v>
      </c>
      <c r="B594" s="18" t="s">
        <v>190</v>
      </c>
      <c r="C594" s="18" t="s">
        <v>124</v>
      </c>
      <c r="D594" s="18" t="s">
        <v>121</v>
      </c>
      <c r="E594" s="61">
        <v>2024</v>
      </c>
      <c r="F594" s="62">
        <v>7949000000</v>
      </c>
      <c r="G594" s="62">
        <v>8301000000</v>
      </c>
      <c r="H594" s="62">
        <v>791538000</v>
      </c>
      <c r="I594" s="62">
        <v>787847000</v>
      </c>
      <c r="J594" s="62">
        <f t="shared" si="99"/>
        <v>10.042474271607933</v>
      </c>
      <c r="K594" s="62">
        <f t="shared" si="100"/>
        <v>10.536309714957346</v>
      </c>
      <c r="L594" s="63">
        <f t="shared" si="101"/>
        <v>4.4282299660334631E-2</v>
      </c>
      <c r="M594" s="63">
        <f t="shared" si="102"/>
        <v>-4.6630736616561684E-3</v>
      </c>
      <c r="N594" s="63">
        <f t="shared" si="103"/>
        <v>4.9174678469984606E-2</v>
      </c>
      <c r="O594" s="62">
        <f t="shared" si="104"/>
        <v>10.487178126634475</v>
      </c>
      <c r="P594" s="62">
        <f t="shared" si="105"/>
        <v>0.44470385502654253</v>
      </c>
      <c r="Q594" s="62">
        <f t="shared" si="106"/>
        <v>4.9131588322870456E-2</v>
      </c>
      <c r="R594" s="63">
        <f t="shared" si="107"/>
        <v>4.4282299660334562E-2</v>
      </c>
      <c r="S594" s="63">
        <f t="shared" si="108"/>
        <v>4.8923788096500486E-3</v>
      </c>
      <c r="T594" s="63">
        <f t="shared" si="109"/>
        <v>4.9174678469984613E-2</v>
      </c>
    </row>
    <row r="595" spans="1:20" x14ac:dyDescent="0.3">
      <c r="A595" s="18" t="s">
        <v>191</v>
      </c>
      <c r="B595" s="18" t="s">
        <v>192</v>
      </c>
      <c r="C595" s="18" t="s">
        <v>124</v>
      </c>
      <c r="D595" s="18" t="s">
        <v>121</v>
      </c>
      <c r="E595" s="61">
        <v>2022</v>
      </c>
      <c r="F595" s="62">
        <v>-453000000</v>
      </c>
      <c r="G595" s="62">
        <v>-467000000</v>
      </c>
      <c r="H595" s="62">
        <v>714747000</v>
      </c>
      <c r="I595" s="62">
        <v>720827000</v>
      </c>
      <c r="J595" s="62">
        <f t="shared" si="99"/>
        <v>-0.63379069796725274</v>
      </c>
      <c r="K595" s="62">
        <f t="shared" si="100"/>
        <v>-0.64786696391783327</v>
      </c>
      <c r="L595" s="63">
        <f t="shared" si="101"/>
        <v>-3.0905077262693158E-2</v>
      </c>
      <c r="M595" s="63">
        <f t="shared" si="102"/>
        <v>8.5065064981035242E-3</v>
      </c>
      <c r="N595" s="63">
        <f t="shared" si="103"/>
        <v>-2.220964428119114E-2</v>
      </c>
      <c r="O595" s="62">
        <f t="shared" si="104"/>
        <v>-0.65337804845630687</v>
      </c>
      <c r="P595" s="62">
        <f t="shared" si="105"/>
        <v>-1.9587350489054134E-2</v>
      </c>
      <c r="Q595" s="62">
        <f t="shared" si="106"/>
        <v>5.5110845384735985E-3</v>
      </c>
      <c r="R595" s="63">
        <f t="shared" si="107"/>
        <v>-3.0905077262693103E-2</v>
      </c>
      <c r="S595" s="63">
        <f t="shared" si="108"/>
        <v>8.6954329815019625E-3</v>
      </c>
      <c r="T595" s="63">
        <f t="shared" si="109"/>
        <v>-2.220964428119114E-2</v>
      </c>
    </row>
    <row r="596" spans="1:20" x14ac:dyDescent="0.3">
      <c r="A596" s="18" t="s">
        <v>191</v>
      </c>
      <c r="B596" s="18" t="s">
        <v>192</v>
      </c>
      <c r="C596" s="18" t="s">
        <v>124</v>
      </c>
      <c r="D596" s="18" t="s">
        <v>121</v>
      </c>
      <c r="E596" s="61">
        <v>2023</v>
      </c>
      <c r="F596" s="62">
        <v>-467000000</v>
      </c>
      <c r="G596" s="62">
        <v>-4531000000</v>
      </c>
      <c r="H596" s="62">
        <v>720827000</v>
      </c>
      <c r="I596" s="62">
        <v>828902000</v>
      </c>
      <c r="J596" s="62">
        <f t="shared" si="99"/>
        <v>-0.64786696391783327</v>
      </c>
      <c r="K596" s="62">
        <f t="shared" si="100"/>
        <v>-5.4662674236520123</v>
      </c>
      <c r="L596" s="63">
        <f t="shared" si="101"/>
        <v>-8.7023554603854389</v>
      </c>
      <c r="M596" s="63">
        <f t="shared" si="102"/>
        <v>0.14993195315935723</v>
      </c>
      <c r="N596" s="63">
        <f t="shared" si="103"/>
        <v>-7.4373300817747516</v>
      </c>
      <c r="O596" s="62">
        <f t="shared" si="104"/>
        <v>-6.285835574971526</v>
      </c>
      <c r="P596" s="62">
        <f t="shared" si="105"/>
        <v>-5.6379686110536928</v>
      </c>
      <c r="Q596" s="62">
        <f t="shared" si="106"/>
        <v>0.81956815131951366</v>
      </c>
      <c r="R596" s="63">
        <f t="shared" si="107"/>
        <v>-8.7023554603854389</v>
      </c>
      <c r="S596" s="63">
        <f t="shared" si="108"/>
        <v>1.2650253786106875</v>
      </c>
      <c r="T596" s="63">
        <f t="shared" si="109"/>
        <v>-7.4373300817747516</v>
      </c>
    </row>
    <row r="597" spans="1:20" x14ac:dyDescent="0.3">
      <c r="A597" s="18" t="s">
        <v>191</v>
      </c>
      <c r="B597" s="18" t="s">
        <v>192</v>
      </c>
      <c r="C597" s="18" t="s">
        <v>124</v>
      </c>
      <c r="D597" s="18" t="s">
        <v>121</v>
      </c>
      <c r="E597" s="61">
        <v>2024</v>
      </c>
      <c r="F597" s="62">
        <v>-4531000000</v>
      </c>
      <c r="G597" s="62">
        <v>1185000000</v>
      </c>
      <c r="H597" s="62">
        <v>828902000</v>
      </c>
      <c r="I597" s="62">
        <v>862804000</v>
      </c>
      <c r="J597" s="62">
        <f t="shared" si="99"/>
        <v>-5.4662674236520123</v>
      </c>
      <c r="K597" s="62">
        <f t="shared" si="100"/>
        <v>1.3734289595319447</v>
      </c>
      <c r="L597" s="63">
        <f t="shared" si="101"/>
        <v>1.261531670712867</v>
      </c>
      <c r="M597" s="63">
        <f t="shared" si="102"/>
        <v>4.0899889251081553E-2</v>
      </c>
      <c r="N597" s="63">
        <f t="shared" si="103"/>
        <v>1.251255354538501</v>
      </c>
      <c r="O597" s="62">
        <f t="shared" si="104"/>
        <v>1.4296020518710293</v>
      </c>
      <c r="P597" s="62">
        <f t="shared" si="105"/>
        <v>6.8958694755230416</v>
      </c>
      <c r="Q597" s="62">
        <f t="shared" si="106"/>
        <v>-5.6173092339084629E-2</v>
      </c>
      <c r="R597" s="63">
        <f t="shared" si="107"/>
        <v>1.261531670712867</v>
      </c>
      <c r="S597" s="63">
        <f t="shared" si="108"/>
        <v>-1.0276316174365906E-2</v>
      </c>
      <c r="T597" s="63">
        <f t="shared" si="109"/>
        <v>1.251255354538501</v>
      </c>
    </row>
    <row r="598" spans="1:20" x14ac:dyDescent="0.3">
      <c r="A598" s="18" t="s">
        <v>193</v>
      </c>
      <c r="B598" s="18" t="s">
        <v>194</v>
      </c>
      <c r="C598" s="18" t="s">
        <v>124</v>
      </c>
      <c r="D598" s="18" t="s">
        <v>121</v>
      </c>
      <c r="E598" s="61">
        <v>2020</v>
      </c>
      <c r="F598" s="62">
        <v>1567000000</v>
      </c>
      <c r="G598" s="62">
        <v>1411000000</v>
      </c>
      <c r="H598" s="62">
        <v>999245000</v>
      </c>
      <c r="I598" s="62">
        <v>1001859000</v>
      </c>
      <c r="J598" s="62">
        <f t="shared" si="99"/>
        <v>1.5681839789040726</v>
      </c>
      <c r="K598" s="62">
        <f t="shared" si="100"/>
        <v>1.4083818181999663</v>
      </c>
      <c r="L598" s="63">
        <f t="shared" si="101"/>
        <v>-9.9553286534779836E-2</v>
      </c>
      <c r="M598" s="63">
        <f t="shared" si="102"/>
        <v>2.6159750611711844E-3</v>
      </c>
      <c r="N598" s="63">
        <f t="shared" si="103"/>
        <v>-0.10190268670885427</v>
      </c>
      <c r="O598" s="62">
        <f t="shared" si="104"/>
        <v>1.4120661099129843</v>
      </c>
      <c r="P598" s="62">
        <f t="shared" si="105"/>
        <v>-0.15611786899108826</v>
      </c>
      <c r="Q598" s="62">
        <f t="shared" si="106"/>
        <v>-3.6842917130179842E-3</v>
      </c>
      <c r="R598" s="63">
        <f t="shared" si="107"/>
        <v>-9.9553286534779822E-2</v>
      </c>
      <c r="S598" s="63">
        <f t="shared" si="108"/>
        <v>-2.3494001740744451E-3</v>
      </c>
      <c r="T598" s="63">
        <f t="shared" si="109"/>
        <v>-0.10190268670885427</v>
      </c>
    </row>
    <row r="599" spans="1:20" x14ac:dyDescent="0.3">
      <c r="A599" s="18" t="s">
        <v>193</v>
      </c>
      <c r="B599" s="18" t="s">
        <v>194</v>
      </c>
      <c r="C599" s="18" t="s">
        <v>124</v>
      </c>
      <c r="D599" s="18" t="s">
        <v>121</v>
      </c>
      <c r="E599" s="61">
        <v>2021</v>
      </c>
      <c r="F599" s="62">
        <v>1411000000</v>
      </c>
      <c r="G599" s="62">
        <v>1727000000</v>
      </c>
      <c r="H599" s="62">
        <v>1001859000</v>
      </c>
      <c r="I599" s="62">
        <v>1099690000</v>
      </c>
      <c r="J599" s="62">
        <f t="shared" si="99"/>
        <v>1.4083818181999663</v>
      </c>
      <c r="K599" s="62">
        <f t="shared" si="100"/>
        <v>1.5704425792723404</v>
      </c>
      <c r="L599" s="63">
        <f t="shared" si="101"/>
        <v>0.22395464209780297</v>
      </c>
      <c r="M599" s="63">
        <f t="shared" si="102"/>
        <v>9.764946963594677E-2</v>
      </c>
      <c r="N599" s="63">
        <f t="shared" si="103"/>
        <v>0.11506876826875098</v>
      </c>
      <c r="O599" s="62">
        <f t="shared" si="104"/>
        <v>1.7237954642319928</v>
      </c>
      <c r="P599" s="62">
        <f t="shared" si="105"/>
        <v>0.31541364603202648</v>
      </c>
      <c r="Q599" s="62">
        <f t="shared" si="106"/>
        <v>-0.15335288495965238</v>
      </c>
      <c r="R599" s="63">
        <f t="shared" si="107"/>
        <v>0.22395464209780297</v>
      </c>
      <c r="S599" s="63">
        <f t="shared" si="108"/>
        <v>-0.108885873829052</v>
      </c>
      <c r="T599" s="63">
        <f t="shared" si="109"/>
        <v>0.11506876826875097</v>
      </c>
    </row>
    <row r="600" spans="1:20" x14ac:dyDescent="0.3">
      <c r="A600" s="18" t="s">
        <v>193</v>
      </c>
      <c r="B600" s="18" t="s">
        <v>194</v>
      </c>
      <c r="C600" s="18" t="s">
        <v>124</v>
      </c>
      <c r="D600" s="18" t="s">
        <v>121</v>
      </c>
      <c r="E600" s="61">
        <v>2022</v>
      </c>
      <c r="F600" s="62">
        <v>1727000000</v>
      </c>
      <c r="G600" s="62">
        <v>2038000000</v>
      </c>
      <c r="H600" s="62">
        <v>1099690000</v>
      </c>
      <c r="I600" s="62">
        <v>1122794000</v>
      </c>
      <c r="J600" s="62">
        <f t="shared" si="99"/>
        <v>1.5704425792723404</v>
      </c>
      <c r="K600" s="62">
        <f t="shared" si="100"/>
        <v>1.8151147939871428</v>
      </c>
      <c r="L600" s="63">
        <f t="shared" si="101"/>
        <v>0.18008106543138391</v>
      </c>
      <c r="M600" s="63">
        <f t="shared" si="102"/>
        <v>2.1009557238858223E-2</v>
      </c>
      <c r="N600" s="63">
        <f t="shared" si="103"/>
        <v>0.15579825581917836</v>
      </c>
      <c r="O600" s="62">
        <f t="shared" si="104"/>
        <v>1.853249552146514</v>
      </c>
      <c r="P600" s="62">
        <f t="shared" si="105"/>
        <v>0.28280697287417356</v>
      </c>
      <c r="Q600" s="62">
        <f t="shared" si="106"/>
        <v>-3.8134758159371174E-2</v>
      </c>
      <c r="R600" s="63">
        <f t="shared" si="107"/>
        <v>0.18008106543138386</v>
      </c>
      <c r="S600" s="63">
        <f t="shared" si="108"/>
        <v>-2.4282809612205494E-2</v>
      </c>
      <c r="T600" s="63">
        <f t="shared" si="109"/>
        <v>0.15579825581917836</v>
      </c>
    </row>
    <row r="601" spans="1:20" x14ac:dyDescent="0.3">
      <c r="A601" s="18" t="s">
        <v>193</v>
      </c>
      <c r="B601" s="18" t="s">
        <v>194</v>
      </c>
      <c r="C601" s="18" t="s">
        <v>124</v>
      </c>
      <c r="D601" s="18" t="s">
        <v>121</v>
      </c>
      <c r="E601" s="61">
        <v>2023</v>
      </c>
      <c r="F601" s="62">
        <v>2038000000</v>
      </c>
      <c r="G601" s="62">
        <v>1509000000</v>
      </c>
      <c r="H601" s="62">
        <v>1122794000</v>
      </c>
      <c r="I601" s="62">
        <v>1119472000</v>
      </c>
      <c r="J601" s="62">
        <f t="shared" si="99"/>
        <v>1.8151147939871428</v>
      </c>
      <c r="K601" s="62">
        <f t="shared" si="100"/>
        <v>1.3479568939642974</v>
      </c>
      <c r="L601" s="63">
        <f t="shared" si="101"/>
        <v>-0.25956820412168791</v>
      </c>
      <c r="M601" s="63">
        <f t="shared" si="102"/>
        <v>-2.958690552318591E-3</v>
      </c>
      <c r="N601" s="63">
        <f t="shared" si="103"/>
        <v>-0.2573709946998286</v>
      </c>
      <c r="O601" s="62">
        <f t="shared" si="104"/>
        <v>1.3439687066371926</v>
      </c>
      <c r="P601" s="62">
        <f t="shared" si="105"/>
        <v>-0.47114608734995023</v>
      </c>
      <c r="Q601" s="62">
        <f t="shared" si="106"/>
        <v>3.9881873271048196E-3</v>
      </c>
      <c r="R601" s="63">
        <f t="shared" si="107"/>
        <v>-0.25956820412168791</v>
      </c>
      <c r="S601" s="63">
        <f t="shared" si="108"/>
        <v>2.1972094218593368E-3</v>
      </c>
      <c r="T601" s="63">
        <f t="shared" si="109"/>
        <v>-0.25737099469982855</v>
      </c>
    </row>
    <row r="602" spans="1:20" x14ac:dyDescent="0.3">
      <c r="A602" s="18" t="s">
        <v>193</v>
      </c>
      <c r="B602" s="18" t="s">
        <v>194</v>
      </c>
      <c r="C602" s="18" t="s">
        <v>124</v>
      </c>
      <c r="D602" s="18" t="s">
        <v>121</v>
      </c>
      <c r="E602" s="61">
        <v>2024</v>
      </c>
      <c r="F602" s="62">
        <v>1509000000</v>
      </c>
      <c r="G602" s="62">
        <v>1942000000</v>
      </c>
      <c r="H602" s="62">
        <v>1119472000</v>
      </c>
      <c r="I602" s="62">
        <v>1116091954</v>
      </c>
      <c r="J602" s="62">
        <f t="shared" si="99"/>
        <v>1.3479568939642974</v>
      </c>
      <c r="K602" s="62">
        <f t="shared" si="100"/>
        <v>1.7400000000358393</v>
      </c>
      <c r="L602" s="63">
        <f t="shared" si="101"/>
        <v>0.28694499668654738</v>
      </c>
      <c r="M602" s="63">
        <f t="shared" si="102"/>
        <v>-3.0193216087584145E-3</v>
      </c>
      <c r="N602" s="63">
        <f t="shared" si="103"/>
        <v>0.29084246523533547</v>
      </c>
      <c r="O602" s="62">
        <f t="shared" si="104"/>
        <v>1.7347463804364915</v>
      </c>
      <c r="P602" s="62">
        <f t="shared" si="105"/>
        <v>0.38678948647219413</v>
      </c>
      <c r="Q602" s="62">
        <f t="shared" si="106"/>
        <v>5.2536195993477808E-3</v>
      </c>
      <c r="R602" s="63">
        <f t="shared" si="107"/>
        <v>0.28694499668654744</v>
      </c>
      <c r="S602" s="63">
        <f t="shared" si="108"/>
        <v>3.897468548787978E-3</v>
      </c>
      <c r="T602" s="63">
        <f t="shared" si="109"/>
        <v>0.29084246523533541</v>
      </c>
    </row>
    <row r="603" spans="1:20" x14ac:dyDescent="0.3">
      <c r="A603" s="18" t="s">
        <v>195</v>
      </c>
      <c r="B603" s="18" t="s">
        <v>196</v>
      </c>
      <c r="C603" s="18" t="s">
        <v>124</v>
      </c>
      <c r="D603" s="18" t="s">
        <v>121</v>
      </c>
      <c r="E603" s="61">
        <v>2016</v>
      </c>
      <c r="F603" s="62">
        <v>246778000</v>
      </c>
      <c r="G603" s="62">
        <v>252710000</v>
      </c>
      <c r="H603" s="62">
        <v>129812574</v>
      </c>
      <c r="I603" s="62">
        <v>129812574</v>
      </c>
      <c r="J603" s="62">
        <f t="shared" si="99"/>
        <v>1.9010331002295664</v>
      </c>
      <c r="K603" s="62">
        <f t="shared" si="100"/>
        <v>1.9467297520808731</v>
      </c>
      <c r="L603" s="63">
        <f t="shared" si="101"/>
        <v>2.4037799155516293E-2</v>
      </c>
      <c r="M603" s="63">
        <f t="shared" si="102"/>
        <v>0</v>
      </c>
      <c r="N603" s="63">
        <f t="shared" si="103"/>
        <v>2.4037799155516227E-2</v>
      </c>
      <c r="O603" s="62">
        <f t="shared" si="104"/>
        <v>1.9467297520808731</v>
      </c>
      <c r="P603" s="62">
        <f t="shared" si="105"/>
        <v>4.5696651851306669E-2</v>
      </c>
      <c r="Q603" s="62">
        <f t="shared" si="106"/>
        <v>0</v>
      </c>
      <c r="R603" s="63">
        <f t="shared" si="107"/>
        <v>2.4037799155516227E-2</v>
      </c>
      <c r="S603" s="63">
        <f t="shared" si="108"/>
        <v>0</v>
      </c>
      <c r="T603" s="63">
        <f t="shared" si="109"/>
        <v>2.4037799155516227E-2</v>
      </c>
    </row>
    <row r="604" spans="1:20" x14ac:dyDescent="0.3">
      <c r="A604" s="18" t="s">
        <v>195</v>
      </c>
      <c r="B604" s="18" t="s">
        <v>196</v>
      </c>
      <c r="C604" s="18" t="s">
        <v>124</v>
      </c>
      <c r="D604" s="18" t="s">
        <v>121</v>
      </c>
      <c r="E604" s="61">
        <v>2017</v>
      </c>
      <c r="F604" s="62">
        <v>252710000</v>
      </c>
      <c r="G604" s="62">
        <v>270270000</v>
      </c>
      <c r="H604" s="62">
        <v>129812574</v>
      </c>
      <c r="I604" s="62">
        <v>129812574</v>
      </c>
      <c r="J604" s="62">
        <f t="shared" si="99"/>
        <v>1.9467297520808731</v>
      </c>
      <c r="K604" s="62">
        <f t="shared" si="100"/>
        <v>2.082001701930662</v>
      </c>
      <c r="L604" s="63">
        <f t="shared" si="101"/>
        <v>6.9486763483835229E-2</v>
      </c>
      <c r="M604" s="63">
        <f t="shared" si="102"/>
        <v>0</v>
      </c>
      <c r="N604" s="63">
        <f t="shared" si="103"/>
        <v>6.9486763483835298E-2</v>
      </c>
      <c r="O604" s="62">
        <f t="shared" si="104"/>
        <v>2.082001701930662</v>
      </c>
      <c r="P604" s="62">
        <f t="shared" si="105"/>
        <v>0.13527194984978896</v>
      </c>
      <c r="Q604" s="62">
        <f t="shared" si="106"/>
        <v>0</v>
      </c>
      <c r="R604" s="63">
        <f t="shared" si="107"/>
        <v>6.9486763483835298E-2</v>
      </c>
      <c r="S604" s="63">
        <f t="shared" si="108"/>
        <v>0</v>
      </c>
      <c r="T604" s="63">
        <f t="shared" si="109"/>
        <v>6.9486763483835298E-2</v>
      </c>
    </row>
    <row r="605" spans="1:20" x14ac:dyDescent="0.3">
      <c r="A605" s="18" t="s">
        <v>195</v>
      </c>
      <c r="B605" s="18" t="s">
        <v>196</v>
      </c>
      <c r="C605" s="18" t="s">
        <v>124</v>
      </c>
      <c r="D605" s="18" t="s">
        <v>121</v>
      </c>
      <c r="E605" s="61">
        <v>2018</v>
      </c>
      <c r="F605" s="62">
        <v>270270000</v>
      </c>
      <c r="G605" s="62">
        <v>275330000</v>
      </c>
      <c r="H605" s="62">
        <v>129812574</v>
      </c>
      <c r="I605" s="62">
        <v>129812574</v>
      </c>
      <c r="J605" s="62">
        <f t="shared" si="99"/>
        <v>2.082001701930662</v>
      </c>
      <c r="K605" s="62">
        <f t="shared" si="100"/>
        <v>2.1209809767734829</v>
      </c>
      <c r="L605" s="63">
        <f t="shared" si="101"/>
        <v>1.8722018722018723E-2</v>
      </c>
      <c r="M605" s="63">
        <f t="shared" si="102"/>
        <v>0</v>
      </c>
      <c r="N605" s="63">
        <f t="shared" si="103"/>
        <v>1.8722018722018782E-2</v>
      </c>
      <c r="O605" s="62">
        <f t="shared" si="104"/>
        <v>2.1209809767734829</v>
      </c>
      <c r="P605" s="62">
        <f t="shared" si="105"/>
        <v>3.8979274842820821E-2</v>
      </c>
      <c r="Q605" s="62">
        <f t="shared" si="106"/>
        <v>0</v>
      </c>
      <c r="R605" s="63">
        <f t="shared" si="107"/>
        <v>1.8722018722018782E-2</v>
      </c>
      <c r="S605" s="63">
        <f t="shared" si="108"/>
        <v>0</v>
      </c>
      <c r="T605" s="63">
        <f t="shared" si="109"/>
        <v>1.8722018722018782E-2</v>
      </c>
    </row>
    <row r="606" spans="1:20" x14ac:dyDescent="0.3">
      <c r="A606" s="18" t="s">
        <v>195</v>
      </c>
      <c r="B606" s="18" t="s">
        <v>196</v>
      </c>
      <c r="C606" s="18" t="s">
        <v>124</v>
      </c>
      <c r="D606" s="18" t="s">
        <v>121</v>
      </c>
      <c r="E606" s="61">
        <v>2019</v>
      </c>
      <c r="F606" s="62">
        <v>275330000</v>
      </c>
      <c r="G606" s="62">
        <v>298308000</v>
      </c>
      <c r="H606" s="62">
        <v>129812574</v>
      </c>
      <c r="I606" s="62">
        <v>134802828</v>
      </c>
      <c r="J606" s="62">
        <f t="shared" si="99"/>
        <v>2.1209809767734829</v>
      </c>
      <c r="K606" s="62">
        <f t="shared" si="100"/>
        <v>2.2129209336765547</v>
      </c>
      <c r="L606" s="63">
        <f t="shared" si="101"/>
        <v>8.3456216176951301E-2</v>
      </c>
      <c r="M606" s="63">
        <f t="shared" si="102"/>
        <v>3.8441992529937817E-2</v>
      </c>
      <c r="N606" s="63">
        <f t="shared" si="103"/>
        <v>4.3347846072120104E-2</v>
      </c>
      <c r="O606" s="62">
        <f t="shared" si="104"/>
        <v>2.2979900236782917</v>
      </c>
      <c r="P606" s="62">
        <f t="shared" si="105"/>
        <v>0.1770090469048089</v>
      </c>
      <c r="Q606" s="62">
        <f t="shared" si="106"/>
        <v>-8.5069090001737013E-2</v>
      </c>
      <c r="R606" s="63">
        <f t="shared" si="107"/>
        <v>8.3456216176951203E-2</v>
      </c>
      <c r="S606" s="63">
        <f t="shared" si="108"/>
        <v>-4.0108370104831093E-2</v>
      </c>
      <c r="T606" s="63">
        <f t="shared" si="109"/>
        <v>4.3347846072120111E-2</v>
      </c>
    </row>
    <row r="607" spans="1:20" x14ac:dyDescent="0.3">
      <c r="A607" s="18" t="s">
        <v>195</v>
      </c>
      <c r="B607" s="18" t="s">
        <v>196</v>
      </c>
      <c r="C607" s="18" t="s">
        <v>124</v>
      </c>
      <c r="D607" s="18" t="s">
        <v>121</v>
      </c>
      <c r="E607" s="61">
        <v>2020</v>
      </c>
      <c r="F607" s="62">
        <v>298308000</v>
      </c>
      <c r="G607" s="62">
        <v>306873000</v>
      </c>
      <c r="H607" s="62">
        <v>134802828</v>
      </c>
      <c r="I607" s="62">
        <v>135426610</v>
      </c>
      <c r="J607" s="62">
        <f t="shared" si="99"/>
        <v>2.2129209336765547</v>
      </c>
      <c r="K607" s="62">
        <f t="shared" si="100"/>
        <v>2.2659726917774874</v>
      </c>
      <c r="L607" s="63">
        <f t="shared" si="101"/>
        <v>2.87119353151776E-2</v>
      </c>
      <c r="M607" s="63">
        <f t="shared" si="102"/>
        <v>4.6273658294468424E-3</v>
      </c>
      <c r="N607" s="63">
        <f t="shared" si="103"/>
        <v>2.3973634707676734E-2</v>
      </c>
      <c r="O607" s="62">
        <f t="shared" si="104"/>
        <v>2.2764581763818783</v>
      </c>
      <c r="P607" s="62">
        <f t="shared" si="105"/>
        <v>6.3537242705323571E-2</v>
      </c>
      <c r="Q607" s="62">
        <f t="shared" si="106"/>
        <v>-1.0485484604390916E-2</v>
      </c>
      <c r="R607" s="63">
        <f t="shared" si="107"/>
        <v>2.8711935315177559E-2</v>
      </c>
      <c r="S607" s="63">
        <f t="shared" si="108"/>
        <v>-4.7383006075008265E-3</v>
      </c>
      <c r="T607" s="63">
        <f t="shared" si="109"/>
        <v>2.397363470767673E-2</v>
      </c>
    </row>
    <row r="608" spans="1:20" x14ac:dyDescent="0.3">
      <c r="A608" s="18" t="s">
        <v>195</v>
      </c>
      <c r="B608" s="18" t="s">
        <v>196</v>
      </c>
      <c r="C608" s="18" t="s">
        <v>124</v>
      </c>
      <c r="D608" s="18" t="s">
        <v>121</v>
      </c>
      <c r="E608" s="61">
        <v>2021</v>
      </c>
      <c r="F608" s="62">
        <v>306873000</v>
      </c>
      <c r="G608" s="62">
        <v>374924000</v>
      </c>
      <c r="H608" s="62">
        <v>135426610</v>
      </c>
      <c r="I608" s="62">
        <v>136633677</v>
      </c>
      <c r="J608" s="62">
        <f t="shared" si="99"/>
        <v>2.2659726917774874</v>
      </c>
      <c r="K608" s="62">
        <f t="shared" si="100"/>
        <v>2.7440087117028988</v>
      </c>
      <c r="L608" s="63">
        <f t="shared" si="101"/>
        <v>0.22175623140517411</v>
      </c>
      <c r="M608" s="63">
        <f t="shared" si="102"/>
        <v>8.9130710722213312E-3</v>
      </c>
      <c r="N608" s="63">
        <f t="shared" si="103"/>
        <v>0.21096283360344809</v>
      </c>
      <c r="O608" s="62">
        <f t="shared" si="104"/>
        <v>2.7684662563731011</v>
      </c>
      <c r="P608" s="62">
        <f t="shared" si="105"/>
        <v>0.50249356459561367</v>
      </c>
      <c r="Q608" s="62">
        <f t="shared" si="106"/>
        <v>-2.4457544670202225E-2</v>
      </c>
      <c r="R608" s="63">
        <f t="shared" si="107"/>
        <v>0.22175623140517406</v>
      </c>
      <c r="S608" s="63">
        <f t="shared" si="108"/>
        <v>-1.0793397801725975E-2</v>
      </c>
      <c r="T608" s="63">
        <f t="shared" si="109"/>
        <v>0.21096283360344809</v>
      </c>
    </row>
    <row r="609" spans="1:20" x14ac:dyDescent="0.3">
      <c r="A609" s="18" t="s">
        <v>195</v>
      </c>
      <c r="B609" s="18" t="s">
        <v>196</v>
      </c>
      <c r="C609" s="18" t="s">
        <v>124</v>
      </c>
      <c r="D609" s="18" t="s">
        <v>121</v>
      </c>
      <c r="E609" s="61">
        <v>2022</v>
      </c>
      <c r="F609" s="62">
        <v>374924000</v>
      </c>
      <c r="G609" s="62">
        <v>280007000</v>
      </c>
      <c r="H609" s="62">
        <v>136633677</v>
      </c>
      <c r="I609" s="62">
        <v>139772054</v>
      </c>
      <c r="J609" s="62">
        <f t="shared" si="99"/>
        <v>2.7440087117028988</v>
      </c>
      <c r="K609" s="62">
        <f t="shared" si="100"/>
        <v>2.0033117635947453</v>
      </c>
      <c r="L609" s="63">
        <f t="shared" si="101"/>
        <v>-0.25316330776370677</v>
      </c>
      <c r="M609" s="63">
        <f t="shared" si="102"/>
        <v>2.2969278650094443E-2</v>
      </c>
      <c r="N609" s="63">
        <f t="shared" si="103"/>
        <v>-0.26993243314030368</v>
      </c>
      <c r="O609" s="62">
        <f t="shared" si="104"/>
        <v>2.0493263897157652</v>
      </c>
      <c r="P609" s="62">
        <f t="shared" si="105"/>
        <v>-0.69468232198713364</v>
      </c>
      <c r="Q609" s="62">
        <f t="shared" si="106"/>
        <v>-4.6014626121019919E-2</v>
      </c>
      <c r="R609" s="63">
        <f t="shared" si="107"/>
        <v>-0.25316330776370682</v>
      </c>
      <c r="S609" s="63">
        <f t="shared" si="108"/>
        <v>-1.6769125376596854E-2</v>
      </c>
      <c r="T609" s="63">
        <f t="shared" si="109"/>
        <v>-0.26993243314030368</v>
      </c>
    </row>
    <row r="610" spans="1:20" x14ac:dyDescent="0.3">
      <c r="A610" s="18" t="s">
        <v>195</v>
      </c>
      <c r="B610" s="18" t="s">
        <v>196</v>
      </c>
      <c r="C610" s="18" t="s">
        <v>124</v>
      </c>
      <c r="D610" s="18" t="s">
        <v>121</v>
      </c>
      <c r="E610" s="61">
        <v>2023</v>
      </c>
      <c r="F610" s="62">
        <v>280007000</v>
      </c>
      <c r="G610" s="62">
        <v>340473000</v>
      </c>
      <c r="H610" s="62">
        <v>139772054</v>
      </c>
      <c r="I610" s="62">
        <v>139772054</v>
      </c>
      <c r="J610" s="62">
        <f t="shared" si="99"/>
        <v>2.0033117635947453</v>
      </c>
      <c r="K610" s="62">
        <f t="shared" si="100"/>
        <v>2.435916123834025</v>
      </c>
      <c r="L610" s="63">
        <f t="shared" si="101"/>
        <v>0.21594460138496538</v>
      </c>
      <c r="M610" s="63">
        <f t="shared" si="102"/>
        <v>0</v>
      </c>
      <c r="N610" s="63">
        <f t="shared" si="103"/>
        <v>0.2159446013849656</v>
      </c>
      <c r="O610" s="62">
        <f t="shared" si="104"/>
        <v>2.435916123834025</v>
      </c>
      <c r="P610" s="62">
        <f t="shared" si="105"/>
        <v>0.43260436023927973</v>
      </c>
      <c r="Q610" s="62">
        <f t="shared" si="106"/>
        <v>0</v>
      </c>
      <c r="R610" s="63">
        <f t="shared" si="107"/>
        <v>0.2159446013849656</v>
      </c>
      <c r="S610" s="63">
        <f t="shared" si="108"/>
        <v>0</v>
      </c>
      <c r="T610" s="63">
        <f t="shared" si="109"/>
        <v>0.2159446013849656</v>
      </c>
    </row>
    <row r="611" spans="1:20" x14ac:dyDescent="0.3">
      <c r="A611" s="18" t="s">
        <v>195</v>
      </c>
      <c r="B611" s="18" t="s">
        <v>196</v>
      </c>
      <c r="C611" s="18" t="s">
        <v>124</v>
      </c>
      <c r="D611" s="18" t="s">
        <v>121</v>
      </c>
      <c r="E611" s="61">
        <v>2024</v>
      </c>
      <c r="F611" s="62">
        <v>340473000</v>
      </c>
      <c r="G611" s="62">
        <v>478200000</v>
      </c>
      <c r="H611" s="62">
        <v>139772054</v>
      </c>
      <c r="I611" s="62">
        <v>139824561</v>
      </c>
      <c r="J611" s="62">
        <f t="shared" si="99"/>
        <v>2.435916123834025</v>
      </c>
      <c r="K611" s="62">
        <f t="shared" si="100"/>
        <v>3.4200000098695109</v>
      </c>
      <c r="L611" s="63">
        <f t="shared" si="101"/>
        <v>0.40451665770854078</v>
      </c>
      <c r="M611" s="63">
        <f t="shared" si="102"/>
        <v>3.7566164692693147E-4</v>
      </c>
      <c r="N611" s="63">
        <f t="shared" si="103"/>
        <v>0.40398923280107901</v>
      </c>
      <c r="O611" s="62">
        <f t="shared" si="104"/>
        <v>3.4212847727057083</v>
      </c>
      <c r="P611" s="62">
        <f t="shared" si="105"/>
        <v>0.98536864887168329</v>
      </c>
      <c r="Q611" s="62">
        <f t="shared" si="106"/>
        <v>-1.284762836197384E-3</v>
      </c>
      <c r="R611" s="63">
        <f t="shared" si="107"/>
        <v>0.40451665770854062</v>
      </c>
      <c r="S611" s="63">
        <f t="shared" si="108"/>
        <v>-5.274249074616016E-4</v>
      </c>
      <c r="T611" s="63">
        <f t="shared" si="109"/>
        <v>0.40398923280107901</v>
      </c>
    </row>
    <row r="612" spans="1:20" x14ac:dyDescent="0.3">
      <c r="A612" s="18" t="s">
        <v>197</v>
      </c>
      <c r="B612" s="18" t="s">
        <v>198</v>
      </c>
      <c r="C612" s="18" t="s">
        <v>124</v>
      </c>
      <c r="D612" s="18" t="s">
        <v>121</v>
      </c>
      <c r="E612" s="61">
        <v>2016</v>
      </c>
      <c r="F612" s="62">
        <v>-1371000000</v>
      </c>
      <c r="G612" s="62">
        <v>5369000000</v>
      </c>
      <c r="H612" s="62">
        <v>501295263</v>
      </c>
      <c r="I612" s="62">
        <v>501295263</v>
      </c>
      <c r="J612" s="62">
        <f t="shared" si="99"/>
        <v>-2.7349151312447173</v>
      </c>
      <c r="K612" s="62">
        <f t="shared" si="100"/>
        <v>10.710254806457247</v>
      </c>
      <c r="L612" s="63">
        <f t="shared" si="101"/>
        <v>4.9161196207148068</v>
      </c>
      <c r="M612" s="63">
        <f t="shared" si="102"/>
        <v>0</v>
      </c>
      <c r="N612" s="63">
        <f t="shared" si="103"/>
        <v>4.9161196207148059</v>
      </c>
      <c r="O612" s="62">
        <f t="shared" si="104"/>
        <v>10.710254806457247</v>
      </c>
      <c r="P612" s="62">
        <f t="shared" si="105"/>
        <v>13.445169937701964</v>
      </c>
      <c r="Q612" s="62">
        <f t="shared" si="106"/>
        <v>0</v>
      </c>
      <c r="R612" s="63">
        <f t="shared" si="107"/>
        <v>4.9161196207148059</v>
      </c>
      <c r="S612" s="63">
        <f t="shared" si="108"/>
        <v>0</v>
      </c>
      <c r="T612" s="63">
        <f t="shared" si="109"/>
        <v>4.9161196207148059</v>
      </c>
    </row>
    <row r="613" spans="1:20" x14ac:dyDescent="0.3">
      <c r="A613" s="18" t="s">
        <v>197</v>
      </c>
      <c r="B613" s="18" t="s">
        <v>198</v>
      </c>
      <c r="C613" s="18" t="s">
        <v>124</v>
      </c>
      <c r="D613" s="18" t="s">
        <v>121</v>
      </c>
      <c r="E613" s="61">
        <v>2017</v>
      </c>
      <c r="F613" s="62">
        <v>5369000000</v>
      </c>
      <c r="G613" s="62">
        <v>11628000000</v>
      </c>
      <c r="H613" s="62">
        <v>501295263</v>
      </c>
      <c r="I613" s="62">
        <v>501295263</v>
      </c>
      <c r="J613" s="62">
        <f t="shared" si="99"/>
        <v>10.710254806457247</v>
      </c>
      <c r="K613" s="62">
        <f t="shared" si="100"/>
        <v>23.195910391038346</v>
      </c>
      <c r="L613" s="63">
        <f t="shared" si="101"/>
        <v>1.1657664369528777</v>
      </c>
      <c r="M613" s="63">
        <f t="shared" si="102"/>
        <v>0</v>
      </c>
      <c r="N613" s="63">
        <f t="shared" si="103"/>
        <v>1.165766436952878</v>
      </c>
      <c r="O613" s="62">
        <f t="shared" si="104"/>
        <v>23.195910391038346</v>
      </c>
      <c r="P613" s="62">
        <f t="shared" si="105"/>
        <v>12.485655584581099</v>
      </c>
      <c r="Q613" s="62">
        <f t="shared" si="106"/>
        <v>0</v>
      </c>
      <c r="R613" s="63">
        <f t="shared" si="107"/>
        <v>1.165766436952878</v>
      </c>
      <c r="S613" s="63">
        <f t="shared" si="108"/>
        <v>0</v>
      </c>
      <c r="T613" s="63">
        <f t="shared" si="109"/>
        <v>1.165766436952878</v>
      </c>
    </row>
    <row r="614" spans="1:20" x14ac:dyDescent="0.3">
      <c r="A614" s="18" t="s">
        <v>197</v>
      </c>
      <c r="B614" s="18" t="s">
        <v>198</v>
      </c>
      <c r="C614" s="18" t="s">
        <v>124</v>
      </c>
      <c r="D614" s="18" t="s">
        <v>121</v>
      </c>
      <c r="E614" s="61">
        <v>2018</v>
      </c>
      <c r="F614" s="62">
        <v>11628000000</v>
      </c>
      <c r="G614" s="62">
        <v>12136000000</v>
      </c>
      <c r="H614" s="62">
        <v>501295263</v>
      </c>
      <c r="I614" s="62">
        <v>501295263</v>
      </c>
      <c r="J614" s="62">
        <f t="shared" si="99"/>
        <v>23.195910391038346</v>
      </c>
      <c r="K614" s="62">
        <f t="shared" si="100"/>
        <v>24.209285217203419</v>
      </c>
      <c r="L614" s="63">
        <f t="shared" si="101"/>
        <v>4.3687650498796013E-2</v>
      </c>
      <c r="M614" s="63">
        <f t="shared" si="102"/>
        <v>0</v>
      </c>
      <c r="N614" s="63">
        <f t="shared" si="103"/>
        <v>4.3687650498795971E-2</v>
      </c>
      <c r="O614" s="62">
        <f t="shared" si="104"/>
        <v>24.209285217203419</v>
      </c>
      <c r="P614" s="62">
        <f t="shared" si="105"/>
        <v>1.013374826165073</v>
      </c>
      <c r="Q614" s="62">
        <f t="shared" si="106"/>
        <v>0</v>
      </c>
      <c r="R614" s="63">
        <f t="shared" si="107"/>
        <v>4.3687650498795971E-2</v>
      </c>
      <c r="S614" s="63">
        <f t="shared" si="108"/>
        <v>0</v>
      </c>
      <c r="T614" s="63">
        <f t="shared" si="109"/>
        <v>4.3687650498795971E-2</v>
      </c>
    </row>
    <row r="615" spans="1:20" x14ac:dyDescent="0.3">
      <c r="A615" s="18" t="s">
        <v>197</v>
      </c>
      <c r="B615" s="18" t="s">
        <v>198</v>
      </c>
      <c r="C615" s="18" t="s">
        <v>124</v>
      </c>
      <c r="D615" s="18" t="s">
        <v>121</v>
      </c>
      <c r="E615" s="61">
        <v>2019</v>
      </c>
      <c r="F615" s="62">
        <v>12136000000</v>
      </c>
      <c r="G615" s="62">
        <v>13886000000</v>
      </c>
      <c r="H615" s="62">
        <v>501295263</v>
      </c>
      <c r="I615" s="62">
        <v>501295263</v>
      </c>
      <c r="J615" s="62">
        <f t="shared" si="99"/>
        <v>24.209285217203419</v>
      </c>
      <c r="K615" s="62">
        <f t="shared" si="100"/>
        <v>27.700241803402001</v>
      </c>
      <c r="L615" s="63">
        <f t="shared" si="101"/>
        <v>0.14419907712590641</v>
      </c>
      <c r="M615" s="63">
        <f t="shared" si="102"/>
        <v>0</v>
      </c>
      <c r="N615" s="63">
        <f t="shared" si="103"/>
        <v>0.14419907712590641</v>
      </c>
      <c r="O615" s="62">
        <f t="shared" si="104"/>
        <v>27.700241803402001</v>
      </c>
      <c r="P615" s="62">
        <f t="shared" si="105"/>
        <v>3.4909565861985818</v>
      </c>
      <c r="Q615" s="62">
        <f t="shared" si="106"/>
        <v>0</v>
      </c>
      <c r="R615" s="63">
        <f t="shared" si="107"/>
        <v>0.14419907712590641</v>
      </c>
      <c r="S615" s="63">
        <f t="shared" si="108"/>
        <v>0</v>
      </c>
      <c r="T615" s="63">
        <f t="shared" si="109"/>
        <v>0.14419907712590641</v>
      </c>
    </row>
    <row r="616" spans="1:20" x14ac:dyDescent="0.3">
      <c r="A616" s="18" t="s">
        <v>197</v>
      </c>
      <c r="B616" s="18" t="s">
        <v>198</v>
      </c>
      <c r="C616" s="18" t="s">
        <v>124</v>
      </c>
      <c r="D616" s="18" t="s">
        <v>121</v>
      </c>
      <c r="E616" s="61">
        <v>2020</v>
      </c>
      <c r="F616" s="62">
        <v>13886000000</v>
      </c>
      <c r="G616" s="62">
        <v>8867000000</v>
      </c>
      <c r="H616" s="62">
        <v>501295263</v>
      </c>
      <c r="I616" s="62">
        <v>501295263</v>
      </c>
      <c r="J616" s="62">
        <f t="shared" si="99"/>
        <v>27.700241803402001</v>
      </c>
      <c r="K616" s="62">
        <f t="shared" si="100"/>
        <v>17.688178314184469</v>
      </c>
      <c r="L616" s="63">
        <f t="shared" si="101"/>
        <v>-0.36144318018147775</v>
      </c>
      <c r="M616" s="63">
        <f t="shared" si="102"/>
        <v>0</v>
      </c>
      <c r="N616" s="63">
        <f t="shared" si="103"/>
        <v>-0.36144318018147775</v>
      </c>
      <c r="O616" s="62">
        <f t="shared" si="104"/>
        <v>17.688178314184469</v>
      </c>
      <c r="P616" s="62">
        <f t="shared" si="105"/>
        <v>-10.012063489217532</v>
      </c>
      <c r="Q616" s="62">
        <f t="shared" si="106"/>
        <v>0</v>
      </c>
      <c r="R616" s="63">
        <f t="shared" si="107"/>
        <v>-0.36144318018147775</v>
      </c>
      <c r="S616" s="63">
        <f t="shared" si="108"/>
        <v>0</v>
      </c>
      <c r="T616" s="63">
        <f t="shared" si="109"/>
        <v>-0.36144318018147775</v>
      </c>
    </row>
    <row r="617" spans="1:20" x14ac:dyDescent="0.3">
      <c r="A617" s="18" t="s">
        <v>197</v>
      </c>
      <c r="B617" s="18" t="s">
        <v>198</v>
      </c>
      <c r="C617" s="18" t="s">
        <v>124</v>
      </c>
      <c r="D617" s="18" t="s">
        <v>121</v>
      </c>
      <c r="E617" s="61">
        <v>2021</v>
      </c>
      <c r="F617" s="62">
        <v>8867000000</v>
      </c>
      <c r="G617" s="62">
        <v>15382000000</v>
      </c>
      <c r="H617" s="62">
        <v>501295263</v>
      </c>
      <c r="I617" s="62">
        <v>501295263</v>
      </c>
      <c r="J617" s="62">
        <f t="shared" si="99"/>
        <v>17.688178314184469</v>
      </c>
      <c r="K617" s="62">
        <f t="shared" si="100"/>
        <v>30.684510976518045</v>
      </c>
      <c r="L617" s="63">
        <f t="shared" si="101"/>
        <v>0.73474681402954778</v>
      </c>
      <c r="M617" s="63">
        <f t="shared" si="102"/>
        <v>0</v>
      </c>
      <c r="N617" s="63">
        <f t="shared" si="103"/>
        <v>0.73474681402954778</v>
      </c>
      <c r="O617" s="62">
        <f t="shared" si="104"/>
        <v>30.684510976518045</v>
      </c>
      <c r="P617" s="62">
        <f t="shared" si="105"/>
        <v>12.996332662333575</v>
      </c>
      <c r="Q617" s="62">
        <f t="shared" si="106"/>
        <v>0</v>
      </c>
      <c r="R617" s="63">
        <f t="shared" si="107"/>
        <v>0.73474681402954778</v>
      </c>
      <c r="S617" s="63">
        <f t="shared" si="108"/>
        <v>0</v>
      </c>
      <c r="T617" s="63">
        <f t="shared" si="109"/>
        <v>0.73474681402954778</v>
      </c>
    </row>
    <row r="618" spans="1:20" x14ac:dyDescent="0.3">
      <c r="A618" s="18" t="s">
        <v>197</v>
      </c>
      <c r="B618" s="18" t="s">
        <v>198</v>
      </c>
      <c r="C618" s="18" t="s">
        <v>124</v>
      </c>
      <c r="D618" s="18" t="s">
        <v>121</v>
      </c>
      <c r="E618" s="61">
        <v>2022</v>
      </c>
      <c r="F618" s="62">
        <v>15382000000</v>
      </c>
      <c r="G618" s="62">
        <v>15457000000</v>
      </c>
      <c r="H618" s="62">
        <v>501295263</v>
      </c>
      <c r="I618" s="62">
        <v>501295263</v>
      </c>
      <c r="J618" s="62">
        <f t="shared" si="99"/>
        <v>30.684510976518045</v>
      </c>
      <c r="K618" s="62">
        <f t="shared" si="100"/>
        <v>30.834123401640841</v>
      </c>
      <c r="L618" s="63">
        <f t="shared" si="101"/>
        <v>4.8758288909114553E-3</v>
      </c>
      <c r="M618" s="63">
        <f t="shared" si="102"/>
        <v>0</v>
      </c>
      <c r="N618" s="63">
        <f t="shared" si="103"/>
        <v>4.8758288909114709E-3</v>
      </c>
      <c r="O618" s="62">
        <f t="shared" si="104"/>
        <v>30.834123401640841</v>
      </c>
      <c r="P618" s="62">
        <f t="shared" si="105"/>
        <v>0.14961242512279682</v>
      </c>
      <c r="Q618" s="62">
        <f t="shared" si="106"/>
        <v>0</v>
      </c>
      <c r="R618" s="63">
        <f t="shared" si="107"/>
        <v>4.8758288909114709E-3</v>
      </c>
      <c r="S618" s="63">
        <f t="shared" si="108"/>
        <v>0</v>
      </c>
      <c r="T618" s="63">
        <f t="shared" si="109"/>
        <v>4.8758288909114709E-3</v>
      </c>
    </row>
    <row r="619" spans="1:20" x14ac:dyDescent="0.3">
      <c r="A619" s="18" t="s">
        <v>197</v>
      </c>
      <c r="B619" s="18" t="s">
        <v>198</v>
      </c>
      <c r="C619" s="18" t="s">
        <v>124</v>
      </c>
      <c r="D619" s="18" t="s">
        <v>121</v>
      </c>
      <c r="E619" s="61">
        <v>2023</v>
      </c>
      <c r="F619" s="62">
        <v>15457000000</v>
      </c>
      <c r="G619" s="62">
        <v>16532000000</v>
      </c>
      <c r="H619" s="62">
        <v>501295263</v>
      </c>
      <c r="I619" s="62">
        <v>501295263</v>
      </c>
      <c r="J619" s="62">
        <f t="shared" si="99"/>
        <v>30.834123401640841</v>
      </c>
      <c r="K619" s="62">
        <f t="shared" si="100"/>
        <v>32.978568161734252</v>
      </c>
      <c r="L619" s="63">
        <f t="shared" si="101"/>
        <v>6.9547777705893765E-2</v>
      </c>
      <c r="M619" s="63">
        <f t="shared" si="102"/>
        <v>0</v>
      </c>
      <c r="N619" s="63">
        <f t="shared" si="103"/>
        <v>6.954777770589364E-2</v>
      </c>
      <c r="O619" s="62">
        <f t="shared" si="104"/>
        <v>32.978568161734252</v>
      </c>
      <c r="P619" s="62">
        <f t="shared" si="105"/>
        <v>2.1444447600934105</v>
      </c>
      <c r="Q619" s="62">
        <f t="shared" si="106"/>
        <v>0</v>
      </c>
      <c r="R619" s="63">
        <f t="shared" si="107"/>
        <v>6.954777770589364E-2</v>
      </c>
      <c r="S619" s="63">
        <f t="shared" si="108"/>
        <v>0</v>
      </c>
      <c r="T619" s="63">
        <f t="shared" si="109"/>
        <v>6.954777770589364E-2</v>
      </c>
    </row>
    <row r="620" spans="1:20" x14ac:dyDescent="0.3">
      <c r="A620" s="18" t="s">
        <v>197</v>
      </c>
      <c r="B620" s="18" t="s">
        <v>198</v>
      </c>
      <c r="C620" s="18" t="s">
        <v>124</v>
      </c>
      <c r="D620" s="18" t="s">
        <v>121</v>
      </c>
      <c r="E620" s="61">
        <v>2024</v>
      </c>
      <c r="F620" s="62">
        <v>16532000000</v>
      </c>
      <c r="G620" s="62">
        <v>11351000000</v>
      </c>
      <c r="H620" s="62">
        <v>501295263</v>
      </c>
      <c r="I620" s="62">
        <v>501295000</v>
      </c>
      <c r="J620" s="62">
        <f t="shared" si="99"/>
        <v>32.978568161734252</v>
      </c>
      <c r="K620" s="62">
        <f t="shared" si="100"/>
        <v>22.643353713881048</v>
      </c>
      <c r="L620" s="63">
        <f t="shared" si="101"/>
        <v>-0.31339220904911685</v>
      </c>
      <c r="M620" s="63">
        <f t="shared" si="102"/>
        <v>-5.2464090409727248E-7</v>
      </c>
      <c r="N620" s="63">
        <f t="shared" si="103"/>
        <v>-0.31339184882639559</v>
      </c>
      <c r="O620" s="62">
        <f t="shared" si="104"/>
        <v>22.643341834251483</v>
      </c>
      <c r="P620" s="62">
        <f t="shared" si="105"/>
        <v>-10.335226327482768</v>
      </c>
      <c r="Q620" s="62">
        <f t="shared" si="106"/>
        <v>1.1879629564504057E-5</v>
      </c>
      <c r="R620" s="63">
        <f t="shared" si="107"/>
        <v>-0.3133922090491168</v>
      </c>
      <c r="S620" s="63">
        <f t="shared" si="108"/>
        <v>3.6022272120013536E-7</v>
      </c>
      <c r="T620" s="63">
        <f t="shared" si="109"/>
        <v>-0.31339184882639559</v>
      </c>
    </row>
    <row r="621" spans="1:20" x14ac:dyDescent="0.3">
      <c r="A621" s="18" t="s">
        <v>199</v>
      </c>
      <c r="B621" s="18" t="s">
        <v>200</v>
      </c>
      <c r="C621" s="18" t="s">
        <v>124</v>
      </c>
      <c r="D621" s="18" t="s">
        <v>121</v>
      </c>
      <c r="E621" s="61">
        <v>2016</v>
      </c>
      <c r="F621" s="62">
        <v>963500000</v>
      </c>
      <c r="G621" s="62">
        <v>2340700000</v>
      </c>
      <c r="H621" s="62">
        <v>509571340</v>
      </c>
      <c r="I621" s="62">
        <v>587839331</v>
      </c>
      <c r="J621" s="62">
        <f t="shared" si="99"/>
        <v>1.8908049263524123</v>
      </c>
      <c r="K621" s="62">
        <f t="shared" si="100"/>
        <v>3.9818703454532884</v>
      </c>
      <c r="L621" s="63">
        <f t="shared" si="101"/>
        <v>1.429372080954852</v>
      </c>
      <c r="M621" s="63">
        <f t="shared" si="102"/>
        <v>0.15359574775143359</v>
      </c>
      <c r="N621" s="63">
        <f t="shared" si="103"/>
        <v>1.1059128257798598</v>
      </c>
      <c r="O621" s="62">
        <f t="shared" si="104"/>
        <v>4.5934686986124458</v>
      </c>
      <c r="P621" s="62">
        <f t="shared" si="105"/>
        <v>2.7026637722600335</v>
      </c>
      <c r="Q621" s="62">
        <f t="shared" si="106"/>
        <v>-0.61159835315915734</v>
      </c>
      <c r="R621" s="63">
        <f t="shared" si="107"/>
        <v>1.4293720809548522</v>
      </c>
      <c r="S621" s="63">
        <f t="shared" si="108"/>
        <v>-0.32345925517499224</v>
      </c>
      <c r="T621" s="63">
        <f t="shared" si="109"/>
        <v>1.1059128257798601</v>
      </c>
    </row>
    <row r="622" spans="1:20" x14ac:dyDescent="0.3">
      <c r="A622" s="18" t="s">
        <v>199</v>
      </c>
      <c r="B622" s="18" t="s">
        <v>200</v>
      </c>
      <c r="C622" s="18" t="s">
        <v>124</v>
      </c>
      <c r="D622" s="18" t="s">
        <v>121</v>
      </c>
      <c r="E622" s="61">
        <v>2017</v>
      </c>
      <c r="F622" s="62">
        <v>2340700000</v>
      </c>
      <c r="G622" s="62">
        <v>2450700000</v>
      </c>
      <c r="H622" s="62">
        <v>587839331</v>
      </c>
      <c r="I622" s="62">
        <v>601037037</v>
      </c>
      <c r="J622" s="62">
        <f t="shared" si="99"/>
        <v>3.9818703454532884</v>
      </c>
      <c r="K622" s="62">
        <f t="shared" si="100"/>
        <v>4.0774525513974273</v>
      </c>
      <c r="L622" s="63">
        <f t="shared" si="101"/>
        <v>4.6994488828128338E-2</v>
      </c>
      <c r="M622" s="63">
        <f t="shared" si="102"/>
        <v>2.2451212948866126E-2</v>
      </c>
      <c r="N622" s="63">
        <f t="shared" si="103"/>
        <v>2.4004349125350041E-2</v>
      </c>
      <c r="O622" s="62">
        <f t="shared" si="104"/>
        <v>4.1689963069177489</v>
      </c>
      <c r="P622" s="62">
        <f t="shared" si="105"/>
        <v>0.18712596146446048</v>
      </c>
      <c r="Q622" s="62">
        <f t="shared" si="106"/>
        <v>-9.1543755520321568E-2</v>
      </c>
      <c r="R622" s="63">
        <f t="shared" si="107"/>
        <v>4.6994488828128435E-2</v>
      </c>
      <c r="S622" s="63">
        <f t="shared" si="108"/>
        <v>-2.2990139702778394E-2</v>
      </c>
      <c r="T622" s="63">
        <f t="shared" si="109"/>
        <v>2.4004349125350041E-2</v>
      </c>
    </row>
    <row r="623" spans="1:20" x14ac:dyDescent="0.3">
      <c r="A623" s="18" t="s">
        <v>199</v>
      </c>
      <c r="B623" s="18" t="s">
        <v>200</v>
      </c>
      <c r="C623" s="18" t="s">
        <v>124</v>
      </c>
      <c r="D623" s="18" t="s">
        <v>121</v>
      </c>
      <c r="E623" s="61">
        <v>2018</v>
      </c>
      <c r="F623" s="62">
        <v>2450700000</v>
      </c>
      <c r="G623" s="62">
        <v>2306500000</v>
      </c>
      <c r="H623" s="62">
        <v>601037037</v>
      </c>
      <c r="I623" s="62">
        <v>637944806</v>
      </c>
      <c r="J623" s="62">
        <f t="shared" si="99"/>
        <v>4.0774525513974273</v>
      </c>
      <c r="K623" s="62">
        <f t="shared" si="100"/>
        <v>3.6155165436051844</v>
      </c>
      <c r="L623" s="63">
        <f t="shared" si="101"/>
        <v>-5.8840331333904601E-2</v>
      </c>
      <c r="M623" s="63">
        <f t="shared" si="102"/>
        <v>6.1406813104597412E-2</v>
      </c>
      <c r="N623" s="63">
        <f t="shared" si="103"/>
        <v>-0.11329034537359066</v>
      </c>
      <c r="O623" s="62">
        <f t="shared" si="104"/>
        <v>3.8375338922749282</v>
      </c>
      <c r="P623" s="62">
        <f t="shared" si="105"/>
        <v>-0.2399186591224991</v>
      </c>
      <c r="Q623" s="62">
        <f t="shared" si="106"/>
        <v>-0.22201734866974387</v>
      </c>
      <c r="R623" s="63">
        <f t="shared" si="107"/>
        <v>-5.8840331333904553E-2</v>
      </c>
      <c r="S623" s="63">
        <f t="shared" si="108"/>
        <v>-5.4450014039686113E-2</v>
      </c>
      <c r="T623" s="63">
        <f t="shared" si="109"/>
        <v>-0.11329034537359067</v>
      </c>
    </row>
    <row r="624" spans="1:20" x14ac:dyDescent="0.3">
      <c r="A624" s="18" t="s">
        <v>199</v>
      </c>
      <c r="B624" s="18" t="s">
        <v>200</v>
      </c>
      <c r="C624" s="18" t="s">
        <v>124</v>
      </c>
      <c r="D624" s="18" t="s">
        <v>121</v>
      </c>
      <c r="E624" s="61">
        <v>2019</v>
      </c>
      <c r="F624" s="62">
        <v>2306500000</v>
      </c>
      <c r="G624" s="62">
        <v>1187000000</v>
      </c>
      <c r="H624" s="62">
        <v>637944806</v>
      </c>
      <c r="I624" s="62">
        <v>672020773</v>
      </c>
      <c r="J624" s="62">
        <f t="shared" si="99"/>
        <v>3.6155165436051844</v>
      </c>
      <c r="K624" s="62">
        <f t="shared" si="100"/>
        <v>1.7663144469493952</v>
      </c>
      <c r="L624" s="63">
        <f t="shared" si="101"/>
        <v>-0.48536743984391933</v>
      </c>
      <c r="M624" s="63">
        <f t="shared" si="102"/>
        <v>5.3415227586318809E-2</v>
      </c>
      <c r="N624" s="63">
        <f t="shared" si="103"/>
        <v>-0.51146276731232199</v>
      </c>
      <c r="O624" s="62">
        <f t="shared" si="104"/>
        <v>1.8606625351221999</v>
      </c>
      <c r="P624" s="62">
        <f t="shared" si="105"/>
        <v>-1.7548540084829845</v>
      </c>
      <c r="Q624" s="62">
        <f t="shared" si="106"/>
        <v>-9.4348088172804712E-2</v>
      </c>
      <c r="R624" s="63">
        <f t="shared" si="107"/>
        <v>-0.48536743984391933</v>
      </c>
      <c r="S624" s="63">
        <f t="shared" si="108"/>
        <v>-2.6095327468402686E-2</v>
      </c>
      <c r="T624" s="63">
        <f t="shared" si="109"/>
        <v>-0.51146276731232199</v>
      </c>
    </row>
    <row r="625" spans="1:20" x14ac:dyDescent="0.3">
      <c r="A625" s="18" t="s">
        <v>199</v>
      </c>
      <c r="B625" s="18" t="s">
        <v>200</v>
      </c>
      <c r="C625" s="18" t="s">
        <v>124</v>
      </c>
      <c r="D625" s="18" t="s">
        <v>121</v>
      </c>
      <c r="E625" s="61">
        <v>2020</v>
      </c>
      <c r="F625" s="62">
        <v>1187000000</v>
      </c>
      <c r="G625" s="62">
        <v>3268500000</v>
      </c>
      <c r="H625" s="62">
        <v>672020773</v>
      </c>
      <c r="I625" s="62">
        <v>693775179</v>
      </c>
      <c r="J625" s="62">
        <f t="shared" si="99"/>
        <v>1.7663144469493952</v>
      </c>
      <c r="K625" s="62">
        <f t="shared" si="100"/>
        <v>4.7111803635165792</v>
      </c>
      <c r="L625" s="63">
        <f t="shared" si="101"/>
        <v>1.7535804549283909</v>
      </c>
      <c r="M625" s="63">
        <f t="shared" si="102"/>
        <v>3.2371627297896041E-2</v>
      </c>
      <c r="N625" s="63">
        <f t="shared" si="103"/>
        <v>1.6672376323781233</v>
      </c>
      <c r="O625" s="62">
        <f t="shared" si="104"/>
        <v>4.8636889383775044</v>
      </c>
      <c r="P625" s="62">
        <f t="shared" si="105"/>
        <v>3.0973744914281092</v>
      </c>
      <c r="Q625" s="62">
        <f t="shared" si="106"/>
        <v>-0.15250857486092517</v>
      </c>
      <c r="R625" s="63">
        <f t="shared" si="107"/>
        <v>1.7535804549283907</v>
      </c>
      <c r="S625" s="63">
        <f t="shared" si="108"/>
        <v>-8.6342822550267304E-2</v>
      </c>
      <c r="T625" s="63">
        <f t="shared" si="109"/>
        <v>1.6672376323781233</v>
      </c>
    </row>
    <row r="626" spans="1:20" x14ac:dyDescent="0.3">
      <c r="A626" s="18" t="s">
        <v>199</v>
      </c>
      <c r="B626" s="18" t="s">
        <v>200</v>
      </c>
      <c r="C626" s="18" t="s">
        <v>124</v>
      </c>
      <c r="D626" s="18" t="s">
        <v>121</v>
      </c>
      <c r="E626" s="61">
        <v>2021</v>
      </c>
      <c r="F626" s="62">
        <v>3268500000</v>
      </c>
      <c r="G626" s="62">
        <v>2680300000</v>
      </c>
      <c r="H626" s="62">
        <v>693775179</v>
      </c>
      <c r="I626" s="62">
        <v>626466541</v>
      </c>
      <c r="J626" s="62">
        <f t="shared" si="99"/>
        <v>4.7111803635165792</v>
      </c>
      <c r="K626" s="62">
        <f t="shared" si="100"/>
        <v>4.2784407858743085</v>
      </c>
      <c r="L626" s="63">
        <f t="shared" si="101"/>
        <v>-0.17996022640354903</v>
      </c>
      <c r="M626" s="63">
        <f t="shared" si="102"/>
        <v>-9.7017939005857687E-2</v>
      </c>
      <c r="N626" s="63">
        <f t="shared" si="103"/>
        <v>-9.1853748795824003E-2</v>
      </c>
      <c r="O626" s="62">
        <f t="shared" si="104"/>
        <v>3.8633552786701815</v>
      </c>
      <c r="P626" s="62">
        <f t="shared" si="105"/>
        <v>-0.84782508484639774</v>
      </c>
      <c r="Q626" s="62">
        <f t="shared" si="106"/>
        <v>0.41508550720412707</v>
      </c>
      <c r="R626" s="63">
        <f t="shared" si="107"/>
        <v>-0.17996022640354897</v>
      </c>
      <c r="S626" s="63">
        <f t="shared" si="108"/>
        <v>8.810647760772497E-2</v>
      </c>
      <c r="T626" s="63">
        <f t="shared" si="109"/>
        <v>-9.1853748795824003E-2</v>
      </c>
    </row>
    <row r="627" spans="1:20" x14ac:dyDescent="0.3">
      <c r="A627" s="18" t="s">
        <v>199</v>
      </c>
      <c r="B627" s="18" t="s">
        <v>200</v>
      </c>
      <c r="C627" s="18" t="s">
        <v>124</v>
      </c>
      <c r="D627" s="18" t="s">
        <v>121</v>
      </c>
      <c r="E627" s="61">
        <v>2022</v>
      </c>
      <c r="F627" s="62">
        <v>2680300000</v>
      </c>
      <c r="G627" s="62">
        <v>-669400000</v>
      </c>
      <c r="H627" s="62">
        <v>626466541</v>
      </c>
      <c r="I627" s="62">
        <v>785122908</v>
      </c>
      <c r="J627" s="62">
        <f t="shared" si="99"/>
        <v>4.2784407858743085</v>
      </c>
      <c r="K627" s="62">
        <f t="shared" si="100"/>
        <v>-0.85260536048452684</v>
      </c>
      <c r="L627" s="63">
        <f t="shared" si="101"/>
        <v>-1.2497481625191209</v>
      </c>
      <c r="M627" s="63">
        <f t="shared" si="102"/>
        <v>0.25325593087021708</v>
      </c>
      <c r="N627" s="63">
        <f t="shared" si="103"/>
        <v>-1.1992794579042645</v>
      </c>
      <c r="O627" s="62">
        <f t="shared" si="104"/>
        <v>-1.0685327247189726</v>
      </c>
      <c r="P627" s="62">
        <f t="shared" si="105"/>
        <v>-5.3469735105932816</v>
      </c>
      <c r="Q627" s="62">
        <f t="shared" si="106"/>
        <v>0.21592736423444581</v>
      </c>
      <c r="R627" s="63">
        <f t="shared" si="107"/>
        <v>-1.2497481625191211</v>
      </c>
      <c r="S627" s="63">
        <f t="shared" si="108"/>
        <v>5.046870461485669E-2</v>
      </c>
      <c r="T627" s="63">
        <f t="shared" si="109"/>
        <v>-1.1992794579042645</v>
      </c>
    </row>
    <row r="628" spans="1:20" x14ac:dyDescent="0.3">
      <c r="A628" s="18" t="s">
        <v>199</v>
      </c>
      <c r="B628" s="18" t="s">
        <v>200</v>
      </c>
      <c r="C628" s="18" t="s">
        <v>124</v>
      </c>
      <c r="D628" s="18" t="s">
        <v>121</v>
      </c>
      <c r="E628" s="61">
        <v>2023</v>
      </c>
      <c r="F628" s="62">
        <v>-669400000</v>
      </c>
      <c r="G628" s="62">
        <v>-6285100000</v>
      </c>
      <c r="H628" s="62">
        <v>785122908</v>
      </c>
      <c r="I628" s="62">
        <v>806251614</v>
      </c>
      <c r="J628" s="62">
        <f t="shared" si="99"/>
        <v>-0.85260536048452684</v>
      </c>
      <c r="K628" s="62">
        <f t="shared" si="100"/>
        <v>-7.7954572627993528</v>
      </c>
      <c r="L628" s="63">
        <f t="shared" si="101"/>
        <v>-8.3891544666865858</v>
      </c>
      <c r="M628" s="63">
        <f t="shared" si="102"/>
        <v>2.6911335517928868E-2</v>
      </c>
      <c r="N628" s="63">
        <f t="shared" si="103"/>
        <v>-8.1431013973091542</v>
      </c>
      <c r="O628" s="62">
        <f t="shared" si="104"/>
        <v>-8.0052434287142216</v>
      </c>
      <c r="P628" s="62">
        <f t="shared" si="105"/>
        <v>-7.1526380682296944</v>
      </c>
      <c r="Q628" s="62">
        <f t="shared" si="106"/>
        <v>0.20978616591486876</v>
      </c>
      <c r="R628" s="63">
        <f t="shared" si="107"/>
        <v>-8.3891544666865858</v>
      </c>
      <c r="S628" s="63">
        <f t="shared" si="108"/>
        <v>0.24605306937743091</v>
      </c>
      <c r="T628" s="63">
        <f t="shared" si="109"/>
        <v>-8.1431013973091542</v>
      </c>
    </row>
    <row r="629" spans="1:20" x14ac:dyDescent="0.3">
      <c r="A629" s="18" t="s">
        <v>199</v>
      </c>
      <c r="B629" s="18" t="s">
        <v>200</v>
      </c>
      <c r="C629" s="18" t="s">
        <v>124</v>
      </c>
      <c r="D629" s="18" t="s">
        <v>121</v>
      </c>
      <c r="E629" s="61">
        <v>2024</v>
      </c>
      <c r="F629" s="62">
        <v>-6285100000</v>
      </c>
      <c r="G629" s="62">
        <v>-896000000</v>
      </c>
      <c r="H629" s="62">
        <v>806251614</v>
      </c>
      <c r="I629" s="62">
        <v>819354465</v>
      </c>
      <c r="J629" s="62">
        <f t="shared" si="99"/>
        <v>-7.7954572627993528</v>
      </c>
      <c r="K629" s="62">
        <f t="shared" si="100"/>
        <v>-1.0935438058545273</v>
      </c>
      <c r="L629" s="63">
        <f t="shared" si="101"/>
        <v>0.85744061351450251</v>
      </c>
      <c r="M629" s="63">
        <f t="shared" si="102"/>
        <v>1.6251565606168202E-2</v>
      </c>
      <c r="N629" s="63">
        <f t="shared" si="103"/>
        <v>0.85972037701072135</v>
      </c>
      <c r="O629" s="62">
        <f t="shared" si="104"/>
        <v>-1.1113156047585908</v>
      </c>
      <c r="P629" s="62">
        <f t="shared" si="105"/>
        <v>6.6841416580407618</v>
      </c>
      <c r="Q629" s="62">
        <f t="shared" si="106"/>
        <v>1.7771798904063552E-2</v>
      </c>
      <c r="R629" s="63">
        <f t="shared" si="107"/>
        <v>0.85744061351450251</v>
      </c>
      <c r="S629" s="63">
        <f t="shared" si="108"/>
        <v>2.2797634962187824E-3</v>
      </c>
      <c r="T629" s="63">
        <f t="shared" si="109"/>
        <v>0.85972037701072135</v>
      </c>
    </row>
    <row r="630" spans="1:20" x14ac:dyDescent="0.3">
      <c r="A630" s="18" t="s">
        <v>201</v>
      </c>
      <c r="B630" s="18" t="s">
        <v>202</v>
      </c>
      <c r="C630" s="18" t="s">
        <v>124</v>
      </c>
      <c r="D630" s="18" t="s">
        <v>121</v>
      </c>
      <c r="E630" s="61">
        <v>2016</v>
      </c>
      <c r="F630" s="62">
        <v>121500000</v>
      </c>
      <c r="G630" s="62">
        <v>120500000</v>
      </c>
      <c r="H630" s="62">
        <v>246200000</v>
      </c>
      <c r="I630" s="62">
        <v>247200000</v>
      </c>
      <c r="J630" s="62">
        <f t="shared" si="99"/>
        <v>0.49350121852152723</v>
      </c>
      <c r="K630" s="62">
        <f t="shared" si="100"/>
        <v>0.48745954692556637</v>
      </c>
      <c r="L630" s="63">
        <f t="shared" si="101"/>
        <v>-8.23045267489712E-3</v>
      </c>
      <c r="M630" s="63">
        <f t="shared" si="102"/>
        <v>4.0617384240454911E-3</v>
      </c>
      <c r="N630" s="63">
        <f t="shared" si="103"/>
        <v>-1.2242465406794767E-2</v>
      </c>
      <c r="O630" s="62">
        <f t="shared" si="104"/>
        <v>0.48943948009748173</v>
      </c>
      <c r="P630" s="62">
        <f t="shared" si="105"/>
        <v>-4.0617384240455023E-3</v>
      </c>
      <c r="Q630" s="62">
        <f t="shared" si="106"/>
        <v>-1.9799331719153601E-3</v>
      </c>
      <c r="R630" s="63">
        <f t="shared" si="107"/>
        <v>-8.2304526748971409E-3</v>
      </c>
      <c r="S630" s="63">
        <f t="shared" si="108"/>
        <v>-4.0120127318976264E-3</v>
      </c>
      <c r="T630" s="63">
        <f t="shared" si="109"/>
        <v>-1.2242465406794767E-2</v>
      </c>
    </row>
    <row r="631" spans="1:20" x14ac:dyDescent="0.3">
      <c r="A631" s="18" t="s">
        <v>201</v>
      </c>
      <c r="B631" s="18" t="s">
        <v>202</v>
      </c>
      <c r="C631" s="18" t="s">
        <v>124</v>
      </c>
      <c r="D631" s="18" t="s">
        <v>121</v>
      </c>
      <c r="E631" s="61">
        <v>2017</v>
      </c>
      <c r="F631" s="62">
        <v>120500000</v>
      </c>
      <c r="G631" s="62">
        <v>103100000</v>
      </c>
      <c r="H631" s="62">
        <v>247200000</v>
      </c>
      <c r="I631" s="62">
        <v>247300000</v>
      </c>
      <c r="J631" s="62">
        <f t="shared" si="99"/>
        <v>0.48745954692556637</v>
      </c>
      <c r="K631" s="62">
        <f t="shared" si="100"/>
        <v>0.41690254751314193</v>
      </c>
      <c r="L631" s="63">
        <f t="shared" si="101"/>
        <v>-0.14439834024896264</v>
      </c>
      <c r="M631" s="63">
        <f t="shared" si="102"/>
        <v>4.045307443365696E-4</v>
      </c>
      <c r="N631" s="63">
        <f t="shared" si="103"/>
        <v>-0.14474431746681593</v>
      </c>
      <c r="O631" s="62">
        <f t="shared" si="104"/>
        <v>0.41707119741100324</v>
      </c>
      <c r="P631" s="62">
        <f t="shared" si="105"/>
        <v>-7.0388349514563131E-2</v>
      </c>
      <c r="Q631" s="62">
        <f t="shared" si="106"/>
        <v>-1.6864989786130602E-4</v>
      </c>
      <c r="R631" s="63">
        <f t="shared" si="107"/>
        <v>-0.1443983402489627</v>
      </c>
      <c r="S631" s="63">
        <f t="shared" si="108"/>
        <v>-3.4597721785323526E-4</v>
      </c>
      <c r="T631" s="63">
        <f t="shared" si="109"/>
        <v>-0.14474431746681593</v>
      </c>
    </row>
    <row r="632" spans="1:20" x14ac:dyDescent="0.3">
      <c r="A632" s="18" t="s">
        <v>201</v>
      </c>
      <c r="B632" s="18" t="s">
        <v>202</v>
      </c>
      <c r="C632" s="18" t="s">
        <v>124</v>
      </c>
      <c r="D632" s="18" t="s">
        <v>121</v>
      </c>
      <c r="E632" s="61">
        <v>2018</v>
      </c>
      <c r="F632" s="62">
        <v>103100000</v>
      </c>
      <c r="G632" s="62">
        <v>51400000</v>
      </c>
      <c r="H632" s="62">
        <v>247300000</v>
      </c>
      <c r="I632" s="62">
        <v>247300000</v>
      </c>
      <c r="J632" s="62">
        <f t="shared" si="99"/>
        <v>0.41690254751314193</v>
      </c>
      <c r="K632" s="62">
        <f t="shared" si="100"/>
        <v>0.20784472300849172</v>
      </c>
      <c r="L632" s="63">
        <f t="shared" si="101"/>
        <v>-0.50145489815712896</v>
      </c>
      <c r="M632" s="63">
        <f t="shared" si="102"/>
        <v>0</v>
      </c>
      <c r="N632" s="63">
        <f t="shared" si="103"/>
        <v>-0.50145489815712896</v>
      </c>
      <c r="O632" s="62">
        <f t="shared" si="104"/>
        <v>0.20784472300849172</v>
      </c>
      <c r="P632" s="62">
        <f t="shared" si="105"/>
        <v>-0.20905782450465021</v>
      </c>
      <c r="Q632" s="62">
        <f t="shared" si="106"/>
        <v>0</v>
      </c>
      <c r="R632" s="63">
        <f t="shared" si="107"/>
        <v>-0.50145489815712896</v>
      </c>
      <c r="S632" s="63">
        <f t="shared" si="108"/>
        <v>0</v>
      </c>
      <c r="T632" s="63">
        <f t="shared" si="109"/>
        <v>-0.50145489815712896</v>
      </c>
    </row>
    <row r="633" spans="1:20" x14ac:dyDescent="0.3">
      <c r="A633" s="18" t="s">
        <v>201</v>
      </c>
      <c r="B633" s="18" t="s">
        <v>202</v>
      </c>
      <c r="C633" s="18" t="s">
        <v>124</v>
      </c>
      <c r="D633" s="18" t="s">
        <v>121</v>
      </c>
      <c r="E633" s="61">
        <v>2019</v>
      </c>
      <c r="F633" s="62">
        <v>51400000</v>
      </c>
      <c r="G633" s="62">
        <v>99700000</v>
      </c>
      <c r="H633" s="62">
        <v>247300000</v>
      </c>
      <c r="I633" s="62">
        <v>247600000</v>
      </c>
      <c r="J633" s="62">
        <f t="shared" si="99"/>
        <v>0.20784472300849172</v>
      </c>
      <c r="K633" s="62">
        <f t="shared" si="100"/>
        <v>0.40266558966074312</v>
      </c>
      <c r="L633" s="63">
        <f t="shared" si="101"/>
        <v>0.93968871595330739</v>
      </c>
      <c r="M633" s="63">
        <f t="shared" si="102"/>
        <v>1.2131014961585119E-3</v>
      </c>
      <c r="N633" s="63">
        <f t="shared" si="103"/>
        <v>0.93733852768680481</v>
      </c>
      <c r="O633" s="62">
        <f t="shared" si="104"/>
        <v>0.40315406389001213</v>
      </c>
      <c r="P633" s="62">
        <f t="shared" si="105"/>
        <v>0.19530934088152041</v>
      </c>
      <c r="Q633" s="62">
        <f t="shared" si="106"/>
        <v>-4.8847422926900919E-4</v>
      </c>
      <c r="R633" s="63">
        <f t="shared" si="107"/>
        <v>0.93968871595330727</v>
      </c>
      <c r="S633" s="63">
        <f t="shared" si="108"/>
        <v>-2.3501882665024508E-3</v>
      </c>
      <c r="T633" s="63">
        <f t="shared" si="109"/>
        <v>0.93733852768680481</v>
      </c>
    </row>
    <row r="634" spans="1:20" x14ac:dyDescent="0.3">
      <c r="A634" s="18" t="s">
        <v>201</v>
      </c>
      <c r="B634" s="18" t="s">
        <v>202</v>
      </c>
      <c r="C634" s="18" t="s">
        <v>124</v>
      </c>
      <c r="D634" s="18" t="s">
        <v>121</v>
      </c>
      <c r="E634" s="61">
        <v>2020</v>
      </c>
      <c r="F634" s="62">
        <v>99700000</v>
      </c>
      <c r="G634" s="62">
        <v>226100000</v>
      </c>
      <c r="H634" s="62">
        <v>247600000</v>
      </c>
      <c r="I634" s="62">
        <v>250500000</v>
      </c>
      <c r="J634" s="62">
        <f t="shared" si="99"/>
        <v>0.40266558966074312</v>
      </c>
      <c r="K634" s="62">
        <f t="shared" si="100"/>
        <v>0.9025948103792415</v>
      </c>
      <c r="L634" s="63">
        <f t="shared" si="101"/>
        <v>1.2678034102306921</v>
      </c>
      <c r="M634" s="63">
        <f t="shared" si="102"/>
        <v>1.1712439418416801E-2</v>
      </c>
      <c r="N634" s="63">
        <f t="shared" si="103"/>
        <v>1.2415493986950874</v>
      </c>
      <c r="O634" s="62">
        <f t="shared" si="104"/>
        <v>0.91316639741518579</v>
      </c>
      <c r="P634" s="62">
        <f t="shared" si="105"/>
        <v>0.51050080775444262</v>
      </c>
      <c r="Q634" s="62">
        <f t="shared" si="106"/>
        <v>-1.0571587035944296E-2</v>
      </c>
      <c r="R634" s="63">
        <f t="shared" si="107"/>
        <v>1.2678034102306921</v>
      </c>
      <c r="S634" s="63">
        <f t="shared" si="108"/>
        <v>-2.6254011535604894E-2</v>
      </c>
      <c r="T634" s="63">
        <f t="shared" si="109"/>
        <v>1.2415493986950872</v>
      </c>
    </row>
    <row r="635" spans="1:20" x14ac:dyDescent="0.3">
      <c r="A635" s="18" t="s">
        <v>201</v>
      </c>
      <c r="B635" s="18" t="s">
        <v>202</v>
      </c>
      <c r="C635" s="18" t="s">
        <v>124</v>
      </c>
      <c r="D635" s="18" t="s">
        <v>121</v>
      </c>
      <c r="E635" s="61">
        <v>2021</v>
      </c>
      <c r="F635" s="62">
        <v>226100000</v>
      </c>
      <c r="G635" s="62">
        <v>234500000</v>
      </c>
      <c r="H635" s="62">
        <v>250500000</v>
      </c>
      <c r="I635" s="62">
        <v>257600000</v>
      </c>
      <c r="J635" s="62">
        <f t="shared" si="99"/>
        <v>0.9025948103792415</v>
      </c>
      <c r="K635" s="62">
        <f t="shared" si="100"/>
        <v>0.91032608695652173</v>
      </c>
      <c r="L635" s="63">
        <f t="shared" si="101"/>
        <v>3.7151702786377708E-2</v>
      </c>
      <c r="M635" s="63">
        <f t="shared" si="102"/>
        <v>2.8343313373253493E-2</v>
      </c>
      <c r="N635" s="63">
        <f t="shared" si="103"/>
        <v>8.5656115993308201E-3</v>
      </c>
      <c r="O635" s="62">
        <f t="shared" si="104"/>
        <v>0.93612774451097802</v>
      </c>
      <c r="P635" s="62">
        <f t="shared" si="105"/>
        <v>3.3532934131736525E-2</v>
      </c>
      <c r="Q635" s="62">
        <f t="shared" si="106"/>
        <v>-2.5801657554456292E-2</v>
      </c>
      <c r="R635" s="63">
        <f t="shared" si="107"/>
        <v>3.7151702786377708E-2</v>
      </c>
      <c r="S635" s="63">
        <f t="shared" si="108"/>
        <v>-2.8586091187046889E-2</v>
      </c>
      <c r="T635" s="63">
        <f t="shared" si="109"/>
        <v>8.5656115993308184E-3</v>
      </c>
    </row>
    <row r="636" spans="1:20" x14ac:dyDescent="0.3">
      <c r="A636" s="18" t="s">
        <v>201</v>
      </c>
      <c r="B636" s="18" t="s">
        <v>202</v>
      </c>
      <c r="C636" s="18" t="s">
        <v>124</v>
      </c>
      <c r="D636" s="18" t="s">
        <v>121</v>
      </c>
      <c r="E636" s="61">
        <v>2022</v>
      </c>
      <c r="F636" s="62">
        <v>234500000</v>
      </c>
      <c r="G636" s="62">
        <v>16800000</v>
      </c>
      <c r="H636" s="62">
        <v>257600000</v>
      </c>
      <c r="I636" s="62">
        <v>257899999</v>
      </c>
      <c r="J636" s="62">
        <f t="shared" si="99"/>
        <v>0.91032608695652173</v>
      </c>
      <c r="K636" s="62">
        <f t="shared" si="100"/>
        <v>6.5141527976508448E-2</v>
      </c>
      <c r="L636" s="63">
        <f t="shared" si="101"/>
        <v>-0.92835820895522392</v>
      </c>
      <c r="M636" s="63">
        <f t="shared" si="102"/>
        <v>1.1645923913043477E-3</v>
      </c>
      <c r="N636" s="63">
        <f t="shared" si="103"/>
        <v>-0.92844154538699974</v>
      </c>
      <c r="O636" s="62">
        <f t="shared" si="104"/>
        <v>6.5217391304347824E-2</v>
      </c>
      <c r="P636" s="62">
        <f t="shared" si="105"/>
        <v>-0.84510869565217395</v>
      </c>
      <c r="Q636" s="62">
        <f t="shared" si="106"/>
        <v>-7.5863327839376105E-5</v>
      </c>
      <c r="R636" s="63">
        <f t="shared" si="107"/>
        <v>-0.92835820895522392</v>
      </c>
      <c r="S636" s="63">
        <f t="shared" si="108"/>
        <v>-8.3336431775792261E-5</v>
      </c>
      <c r="T636" s="63">
        <f t="shared" si="109"/>
        <v>-0.92844154538699974</v>
      </c>
    </row>
    <row r="637" spans="1:20" x14ac:dyDescent="0.3">
      <c r="A637" s="18" t="s">
        <v>201</v>
      </c>
      <c r="B637" s="18" t="s">
        <v>202</v>
      </c>
      <c r="C637" s="18" t="s">
        <v>124</v>
      </c>
      <c r="D637" s="18" t="s">
        <v>121</v>
      </c>
      <c r="E637" s="61">
        <v>2023</v>
      </c>
      <c r="F637" s="62">
        <v>16800000</v>
      </c>
      <c r="G637" s="62">
        <v>83000000</v>
      </c>
      <c r="H637" s="62">
        <v>257899999</v>
      </c>
      <c r="I637" s="62">
        <v>259700000</v>
      </c>
      <c r="J637" s="62">
        <f t="shared" si="99"/>
        <v>6.5141527976508448E-2</v>
      </c>
      <c r="K637" s="62">
        <f t="shared" si="100"/>
        <v>0.31959953792837892</v>
      </c>
      <c r="L637" s="63">
        <f t="shared" si="101"/>
        <v>3.9404761904761907</v>
      </c>
      <c r="M637" s="63">
        <f t="shared" si="102"/>
        <v>6.9794533035263794E-3</v>
      </c>
      <c r="N637" s="63">
        <f t="shared" si="103"/>
        <v>3.9062333638172246</v>
      </c>
      <c r="O637" s="62">
        <f t="shared" si="104"/>
        <v>0.32183016797917863</v>
      </c>
      <c r="P637" s="62">
        <f t="shared" si="105"/>
        <v>0.25668864000267017</v>
      </c>
      <c r="Q637" s="62">
        <f t="shared" si="106"/>
        <v>-2.230630050799709E-3</v>
      </c>
      <c r="R637" s="63">
        <f t="shared" si="107"/>
        <v>3.9404761904761902</v>
      </c>
      <c r="S637" s="63">
        <f t="shared" si="108"/>
        <v>-3.4242826658965171E-2</v>
      </c>
      <c r="T637" s="63">
        <f t="shared" si="109"/>
        <v>3.9062333638172251</v>
      </c>
    </row>
    <row r="638" spans="1:20" x14ac:dyDescent="0.3">
      <c r="A638" s="18" t="s">
        <v>201</v>
      </c>
      <c r="B638" s="18" t="s">
        <v>202</v>
      </c>
      <c r="C638" s="18" t="s">
        <v>124</v>
      </c>
      <c r="D638" s="18" t="s">
        <v>121</v>
      </c>
      <c r="E638" s="61">
        <v>2024</v>
      </c>
      <c r="F638" s="62">
        <v>83000000</v>
      </c>
      <c r="G638" s="62">
        <v>251100000</v>
      </c>
      <c r="H638" s="62">
        <v>259700000</v>
      </c>
      <c r="I638" s="62">
        <v>259100000</v>
      </c>
      <c r="J638" s="62">
        <f t="shared" si="99"/>
        <v>0.31959953792837892</v>
      </c>
      <c r="K638" s="62">
        <f t="shared" si="100"/>
        <v>0.96912389038981084</v>
      </c>
      <c r="L638" s="63">
        <f t="shared" si="101"/>
        <v>2.0253012048192769</v>
      </c>
      <c r="M638" s="63">
        <f t="shared" si="102"/>
        <v>-2.3103581055063534E-3</v>
      </c>
      <c r="N638" s="63">
        <f t="shared" si="103"/>
        <v>2.0323069196895647</v>
      </c>
      <c r="O638" s="62">
        <f t="shared" si="104"/>
        <v>0.96688486715440891</v>
      </c>
      <c r="P638" s="62">
        <f t="shared" si="105"/>
        <v>0.64728532922602999</v>
      </c>
      <c r="Q638" s="62">
        <f t="shared" si="106"/>
        <v>2.2390232354019268E-3</v>
      </c>
      <c r="R638" s="63">
        <f t="shared" si="107"/>
        <v>2.0253012048192769</v>
      </c>
      <c r="S638" s="63">
        <f t="shared" si="108"/>
        <v>7.0057148702877148E-3</v>
      </c>
      <c r="T638" s="63">
        <f t="shared" si="109"/>
        <v>2.0323069196895647</v>
      </c>
    </row>
    <row r="639" spans="1:20" x14ac:dyDescent="0.3">
      <c r="A639" s="18" t="s">
        <v>207</v>
      </c>
      <c r="B639" s="18" t="s">
        <v>208</v>
      </c>
      <c r="C639" s="18" t="s">
        <v>206</v>
      </c>
      <c r="D639" s="18" t="s">
        <v>203</v>
      </c>
      <c r="E639" s="61">
        <v>2016</v>
      </c>
      <c r="F639" s="62">
        <v>1407000000</v>
      </c>
      <c r="G639" s="62">
        <v>1750000000</v>
      </c>
      <c r="H639" s="62">
        <v>568346000</v>
      </c>
      <c r="I639" s="62">
        <v>561222000</v>
      </c>
      <c r="J639" s="62">
        <f t="shared" si="99"/>
        <v>2.4756046492805437</v>
      </c>
      <c r="K639" s="62">
        <f t="shared" si="100"/>
        <v>3.118195651631618</v>
      </c>
      <c r="L639" s="63">
        <f t="shared" si="101"/>
        <v>0.24378109452736318</v>
      </c>
      <c r="M639" s="63">
        <f t="shared" si="102"/>
        <v>-1.253461799678365E-2</v>
      </c>
      <c r="N639" s="63">
        <f t="shared" si="103"/>
        <v>0.25956931472794864</v>
      </c>
      <c r="O639" s="62">
        <f t="shared" si="104"/>
        <v>3.079110260299184</v>
      </c>
      <c r="P639" s="62">
        <f t="shared" si="105"/>
        <v>0.60350561101864031</v>
      </c>
      <c r="Q639" s="62">
        <f t="shared" si="106"/>
        <v>3.908539133243405E-2</v>
      </c>
      <c r="R639" s="63">
        <f t="shared" si="107"/>
        <v>0.2437810945273633</v>
      </c>
      <c r="S639" s="63">
        <f t="shared" si="108"/>
        <v>1.5788220200585335E-2</v>
      </c>
      <c r="T639" s="63">
        <f t="shared" si="109"/>
        <v>0.25956931472794864</v>
      </c>
    </row>
    <row r="640" spans="1:20" x14ac:dyDescent="0.3">
      <c r="A640" s="18" t="s">
        <v>207</v>
      </c>
      <c r="B640" s="18" t="s">
        <v>208</v>
      </c>
      <c r="C640" s="18" t="s">
        <v>206</v>
      </c>
      <c r="D640" s="18" t="s">
        <v>203</v>
      </c>
      <c r="E640" s="61">
        <v>2017</v>
      </c>
      <c r="F640" s="62">
        <v>1750000000</v>
      </c>
      <c r="G640" s="62">
        <v>2150000000</v>
      </c>
      <c r="H640" s="62">
        <v>561222000</v>
      </c>
      <c r="I640" s="62">
        <v>557731000</v>
      </c>
      <c r="J640" s="62">
        <f t="shared" si="99"/>
        <v>3.118195651631618</v>
      </c>
      <c r="K640" s="62">
        <f t="shared" si="100"/>
        <v>3.8549049631453154</v>
      </c>
      <c r="L640" s="63">
        <f t="shared" si="101"/>
        <v>0.22857142857142856</v>
      </c>
      <c r="M640" s="63">
        <f t="shared" si="102"/>
        <v>-6.2203548684834162E-3</v>
      </c>
      <c r="N640" s="63">
        <f t="shared" si="103"/>
        <v>0.23626141327219444</v>
      </c>
      <c r="O640" s="62">
        <f t="shared" si="104"/>
        <v>3.8309260862902739</v>
      </c>
      <c r="P640" s="62">
        <f t="shared" si="105"/>
        <v>0.71273043465865582</v>
      </c>
      <c r="Q640" s="62">
        <f t="shared" si="106"/>
        <v>2.397887685504152E-2</v>
      </c>
      <c r="R640" s="63">
        <f t="shared" si="107"/>
        <v>0.22857142857142865</v>
      </c>
      <c r="S640" s="63">
        <f t="shared" si="108"/>
        <v>7.6899847007657783E-3</v>
      </c>
      <c r="T640" s="63">
        <f t="shared" si="109"/>
        <v>0.23626141327219444</v>
      </c>
    </row>
    <row r="641" spans="1:20" x14ac:dyDescent="0.3">
      <c r="A641" s="18" t="s">
        <v>207</v>
      </c>
      <c r="B641" s="18" t="s">
        <v>208</v>
      </c>
      <c r="C641" s="18" t="s">
        <v>206</v>
      </c>
      <c r="D641" s="18" t="s">
        <v>203</v>
      </c>
      <c r="E641" s="61">
        <v>2018</v>
      </c>
      <c r="F641" s="62">
        <v>2150000000</v>
      </c>
      <c r="G641" s="62">
        <v>2334000000</v>
      </c>
      <c r="H641" s="62">
        <v>557731000</v>
      </c>
      <c r="I641" s="62">
        <v>554006000</v>
      </c>
      <c r="J641" s="62">
        <f t="shared" si="99"/>
        <v>3.8549049631453154</v>
      </c>
      <c r="K641" s="62">
        <f t="shared" si="100"/>
        <v>4.2129507622661126</v>
      </c>
      <c r="L641" s="63">
        <f t="shared" si="101"/>
        <v>8.5581395348837214E-2</v>
      </c>
      <c r="M641" s="63">
        <f t="shared" si="102"/>
        <v>-6.6788469710308378E-3</v>
      </c>
      <c r="N641" s="63">
        <f t="shared" si="103"/>
        <v>9.288057748346111E-2</v>
      </c>
      <c r="O641" s="62">
        <f t="shared" si="104"/>
        <v>4.1848131088284495</v>
      </c>
      <c r="P641" s="62">
        <f t="shared" si="105"/>
        <v>0.32990814568313409</v>
      </c>
      <c r="Q641" s="62">
        <f t="shared" si="106"/>
        <v>2.8137653437663168E-2</v>
      </c>
      <c r="R641" s="63">
        <f t="shared" si="107"/>
        <v>8.5581395348837241E-2</v>
      </c>
      <c r="S641" s="63">
        <f t="shared" si="108"/>
        <v>7.2991821346238689E-3</v>
      </c>
      <c r="T641" s="63">
        <f t="shared" si="109"/>
        <v>9.288057748346111E-2</v>
      </c>
    </row>
    <row r="642" spans="1:20" x14ac:dyDescent="0.3">
      <c r="A642" s="18" t="s">
        <v>207</v>
      </c>
      <c r="B642" s="18" t="s">
        <v>208</v>
      </c>
      <c r="C642" s="18" t="s">
        <v>206</v>
      </c>
      <c r="D642" s="18" t="s">
        <v>203</v>
      </c>
      <c r="E642" s="61">
        <v>2019</v>
      </c>
      <c r="F642" s="62">
        <v>2334000000</v>
      </c>
      <c r="G642" s="62">
        <v>2413000000</v>
      </c>
      <c r="H642" s="62">
        <v>554006000</v>
      </c>
      <c r="I642" s="62">
        <v>551067000</v>
      </c>
      <c r="J642" s="62">
        <f t="shared" si="99"/>
        <v>4.2129507622661126</v>
      </c>
      <c r="K642" s="62">
        <f t="shared" si="100"/>
        <v>4.3787778981503154</v>
      </c>
      <c r="L642" s="63">
        <f t="shared" si="101"/>
        <v>3.3847472150814052E-2</v>
      </c>
      <c r="M642" s="63">
        <f t="shared" si="102"/>
        <v>-5.3049966967866772E-3</v>
      </c>
      <c r="N642" s="63">
        <f t="shared" si="103"/>
        <v>3.9361280309624512E-2</v>
      </c>
      <c r="O642" s="62">
        <f t="shared" si="104"/>
        <v>4.3555484958646655</v>
      </c>
      <c r="P642" s="62">
        <f t="shared" si="105"/>
        <v>0.14259773359855288</v>
      </c>
      <c r="Q642" s="62">
        <f t="shared" si="106"/>
        <v>2.3229402285649847E-2</v>
      </c>
      <c r="R642" s="63">
        <f t="shared" si="107"/>
        <v>3.3847472150814004E-2</v>
      </c>
      <c r="S642" s="63">
        <f t="shared" si="108"/>
        <v>5.5138081588105093E-3</v>
      </c>
      <c r="T642" s="63">
        <f t="shared" si="109"/>
        <v>3.9361280309624512E-2</v>
      </c>
    </row>
    <row r="643" spans="1:20" x14ac:dyDescent="0.3">
      <c r="A643" s="18" t="s">
        <v>207</v>
      </c>
      <c r="B643" s="18" t="s">
        <v>208</v>
      </c>
      <c r="C643" s="18" t="s">
        <v>206</v>
      </c>
      <c r="D643" s="18" t="s">
        <v>203</v>
      </c>
      <c r="E643" s="61">
        <v>2020</v>
      </c>
      <c r="F643" s="62">
        <v>2413000000</v>
      </c>
      <c r="G643" s="62">
        <v>2126000000</v>
      </c>
      <c r="H643" s="62">
        <v>551067000</v>
      </c>
      <c r="I643" s="62">
        <v>553767000</v>
      </c>
      <c r="J643" s="62">
        <f t="shared" si="99"/>
        <v>4.3787778981503154</v>
      </c>
      <c r="K643" s="62">
        <f t="shared" si="100"/>
        <v>3.8391597910312458</v>
      </c>
      <c r="L643" s="63">
        <f t="shared" si="101"/>
        <v>-0.11893907998342312</v>
      </c>
      <c r="M643" s="63">
        <f t="shared" si="102"/>
        <v>4.8995857128080614E-3</v>
      </c>
      <c r="N643" s="63">
        <f t="shared" si="103"/>
        <v>-0.12323486590790896</v>
      </c>
      <c r="O643" s="62">
        <f t="shared" si="104"/>
        <v>3.8579700834925701</v>
      </c>
      <c r="P643" s="62">
        <f t="shared" si="105"/>
        <v>-0.52080781465774528</v>
      </c>
      <c r="Q643" s="62">
        <f t="shared" si="106"/>
        <v>-1.8810292461324263E-2</v>
      </c>
      <c r="R643" s="63">
        <f t="shared" si="107"/>
        <v>-0.11893907998342301</v>
      </c>
      <c r="S643" s="63">
        <f t="shared" si="108"/>
        <v>-4.2957859244859417E-3</v>
      </c>
      <c r="T643" s="63">
        <f t="shared" si="109"/>
        <v>-0.12323486590790896</v>
      </c>
    </row>
    <row r="644" spans="1:20" x14ac:dyDescent="0.3">
      <c r="A644" s="18" t="s">
        <v>207</v>
      </c>
      <c r="B644" s="18" t="s">
        <v>208</v>
      </c>
      <c r="C644" s="18" t="s">
        <v>206</v>
      </c>
      <c r="D644" s="18" t="s">
        <v>203</v>
      </c>
      <c r="E644" s="61">
        <v>2021</v>
      </c>
      <c r="F644" s="62">
        <v>2126000000</v>
      </c>
      <c r="G644" s="62">
        <v>3204000000</v>
      </c>
      <c r="H644" s="62">
        <v>553767000</v>
      </c>
      <c r="I644" s="62">
        <v>556432000</v>
      </c>
      <c r="J644" s="62">
        <f t="shared" si="99"/>
        <v>3.8391597910312458</v>
      </c>
      <c r="K644" s="62">
        <f t="shared" si="100"/>
        <v>5.7581159962043875</v>
      </c>
      <c r="L644" s="63">
        <f t="shared" si="101"/>
        <v>0.50705550329256821</v>
      </c>
      <c r="M644" s="63">
        <f t="shared" si="102"/>
        <v>4.8124933410622159E-3</v>
      </c>
      <c r="N644" s="63">
        <f t="shared" si="103"/>
        <v>0.49983754509412759</v>
      </c>
      <c r="O644" s="62">
        <f t="shared" si="104"/>
        <v>5.7858268910931852</v>
      </c>
      <c r="P644" s="62">
        <f t="shared" si="105"/>
        <v>1.9466671000619393</v>
      </c>
      <c r="Q644" s="62">
        <f t="shared" si="106"/>
        <v>-2.7710894888797633E-2</v>
      </c>
      <c r="R644" s="63">
        <f t="shared" si="107"/>
        <v>0.50705550329256821</v>
      </c>
      <c r="S644" s="63">
        <f t="shared" si="108"/>
        <v>-7.2179581984406389E-3</v>
      </c>
      <c r="T644" s="63">
        <f t="shared" si="109"/>
        <v>0.49983754509412759</v>
      </c>
    </row>
    <row r="645" spans="1:20" x14ac:dyDescent="0.3">
      <c r="A645" s="18" t="s">
        <v>207</v>
      </c>
      <c r="B645" s="18" t="s">
        <v>208</v>
      </c>
      <c r="C645" s="18" t="s">
        <v>206</v>
      </c>
      <c r="D645" s="18" t="s">
        <v>203</v>
      </c>
      <c r="E645" s="61">
        <v>2022</v>
      </c>
      <c r="F645" s="62">
        <v>3204000000</v>
      </c>
      <c r="G645" s="62">
        <v>3477000000</v>
      </c>
      <c r="H645" s="62">
        <v>556432000</v>
      </c>
      <c r="I645" s="62">
        <v>558129000</v>
      </c>
      <c r="J645" s="62">
        <f t="shared" ref="J645:J708" si="110">F645/H645</f>
        <v>5.7581159962043875</v>
      </c>
      <c r="K645" s="62">
        <f t="shared" ref="K645:K708" si="111">G645/I645</f>
        <v>6.2297425863913185</v>
      </c>
      <c r="L645" s="63">
        <f t="shared" ref="L645:L708" si="112">IF(F645=0,"",((G645-F645)/ABS(F645)))</f>
        <v>8.5205992509363296E-2</v>
      </c>
      <c r="M645" s="63">
        <f t="shared" ref="M645:M708" si="113">(I645-H645)/H645</f>
        <v>3.0497886534203641E-3</v>
      </c>
      <c r="N645" s="63">
        <f t="shared" ref="N645:N708" si="114">IF(J645=0,"",((K645-J645)/ABS(J645)))</f>
        <v>8.1906406626371539E-2</v>
      </c>
      <c r="O645" s="62">
        <f t="shared" ref="O645:O708" si="115">G645/H645</f>
        <v>6.2487419846450241</v>
      </c>
      <c r="P645" s="62">
        <f t="shared" ref="P645:P708" si="116">O645-J645</f>
        <v>0.49062598844063654</v>
      </c>
      <c r="Q645" s="62">
        <f t="shared" ref="Q645:Q708" si="117">K645-O645</f>
        <v>-1.8999398253705557E-2</v>
      </c>
      <c r="R645" s="63">
        <f t="shared" ref="R645:R708" si="118">IF(J645=0,"",P645/ABS(J645))</f>
        <v>8.5205992509363393E-2</v>
      </c>
      <c r="S645" s="63">
        <f t="shared" ref="S645:S708" si="119">IF(J645=0,"",Q645/ABS(J645))</f>
        <v>-3.2995858829918514E-3</v>
      </c>
      <c r="T645" s="63">
        <f t="shared" ref="T645:T708" si="120">R645+S645</f>
        <v>8.1906406626371539E-2</v>
      </c>
    </row>
    <row r="646" spans="1:20" x14ac:dyDescent="0.3">
      <c r="A646" s="18" t="s">
        <v>207</v>
      </c>
      <c r="B646" s="18" t="s">
        <v>208</v>
      </c>
      <c r="C646" s="18" t="s">
        <v>206</v>
      </c>
      <c r="D646" s="18" t="s">
        <v>203</v>
      </c>
      <c r="E646" s="61">
        <v>2023</v>
      </c>
      <c r="F646" s="62">
        <v>3477000000</v>
      </c>
      <c r="G646" s="62">
        <v>4003000000</v>
      </c>
      <c r="H646" s="62">
        <v>558129000</v>
      </c>
      <c r="I646" s="62">
        <v>566195190</v>
      </c>
      <c r="J646" s="62">
        <f t="shared" si="110"/>
        <v>6.2297425863913185</v>
      </c>
      <c r="K646" s="62">
        <f t="shared" si="111"/>
        <v>7.0700000118333746</v>
      </c>
      <c r="L646" s="63">
        <f t="shared" si="112"/>
        <v>0.15127983894161634</v>
      </c>
      <c r="M646" s="63">
        <f t="shared" si="113"/>
        <v>1.4452196535209603E-2</v>
      </c>
      <c r="N646" s="63">
        <f t="shared" si="114"/>
        <v>0.13487835392710648</v>
      </c>
      <c r="O646" s="62">
        <f t="shared" si="115"/>
        <v>7.1721770415083252</v>
      </c>
      <c r="P646" s="62">
        <f t="shared" si="116"/>
        <v>0.94243445511700674</v>
      </c>
      <c r="Q646" s="62">
        <f t="shared" si="117"/>
        <v>-0.10217702967495068</v>
      </c>
      <c r="R646" s="63">
        <f t="shared" si="118"/>
        <v>0.15127983894161628</v>
      </c>
      <c r="S646" s="63">
        <f t="shared" si="119"/>
        <v>-1.6401485014509793E-2</v>
      </c>
      <c r="T646" s="63">
        <f t="shared" si="120"/>
        <v>0.13487835392710648</v>
      </c>
    </row>
    <row r="647" spans="1:20" x14ac:dyDescent="0.3">
      <c r="A647" s="18" t="s">
        <v>207</v>
      </c>
      <c r="B647" s="18" t="s">
        <v>208</v>
      </c>
      <c r="C647" s="18" t="s">
        <v>206</v>
      </c>
      <c r="D647" s="18" t="s">
        <v>203</v>
      </c>
      <c r="E647" s="61">
        <v>2024</v>
      </c>
      <c r="F647" s="62">
        <v>4003000000</v>
      </c>
      <c r="G647" s="62">
        <v>4269000000</v>
      </c>
      <c r="H647" s="62">
        <v>566195190</v>
      </c>
      <c r="I647" s="62">
        <v>560716000</v>
      </c>
      <c r="J647" s="62">
        <f t="shared" si="110"/>
        <v>7.0700000118333746</v>
      </c>
      <c r="K647" s="62">
        <f t="shared" si="111"/>
        <v>7.6134799078321294</v>
      </c>
      <c r="L647" s="63">
        <f t="shared" si="112"/>
        <v>6.645016237821634E-2</v>
      </c>
      <c r="M647" s="63">
        <f t="shared" si="113"/>
        <v>-9.6772104333842889E-3</v>
      </c>
      <c r="N647" s="63">
        <f t="shared" si="114"/>
        <v>7.6871272289831427E-2</v>
      </c>
      <c r="O647" s="62">
        <f t="shared" si="115"/>
        <v>7.5398026606336943</v>
      </c>
      <c r="P647" s="62">
        <f t="shared" si="116"/>
        <v>0.46980264880031974</v>
      </c>
      <c r="Q647" s="62">
        <f t="shared" si="117"/>
        <v>7.3677247198435047E-2</v>
      </c>
      <c r="R647" s="63">
        <f t="shared" si="118"/>
        <v>6.6450162378216424E-2</v>
      </c>
      <c r="S647" s="63">
        <f t="shared" si="119"/>
        <v>1.0421109911615014E-2</v>
      </c>
      <c r="T647" s="63">
        <f t="shared" si="120"/>
        <v>7.6871272289831441E-2</v>
      </c>
    </row>
    <row r="648" spans="1:20" x14ac:dyDescent="0.3">
      <c r="A648" s="18" t="s">
        <v>209</v>
      </c>
      <c r="B648" s="18" t="s">
        <v>126</v>
      </c>
      <c r="C648" s="18" t="s">
        <v>206</v>
      </c>
      <c r="D648" s="18" t="s">
        <v>203</v>
      </c>
      <c r="E648" s="61">
        <v>2016</v>
      </c>
      <c r="F648" s="62">
        <v>2696000000</v>
      </c>
      <c r="G648" s="62">
        <v>995000000</v>
      </c>
      <c r="H648" s="62">
        <v>785621099</v>
      </c>
      <c r="I648" s="62">
        <v>773798837</v>
      </c>
      <c r="J648" s="62">
        <f t="shared" si="110"/>
        <v>3.431679728856162</v>
      </c>
      <c r="K648" s="62">
        <f t="shared" si="111"/>
        <v>1.2858639124576507</v>
      </c>
      <c r="L648" s="63">
        <f t="shared" si="112"/>
        <v>-0.63093471810089019</v>
      </c>
      <c r="M648" s="63">
        <f t="shared" si="113"/>
        <v>-1.5048300020262058E-2</v>
      </c>
      <c r="N648" s="63">
        <f t="shared" si="114"/>
        <v>-0.62529606080511146</v>
      </c>
      <c r="O648" s="62">
        <f t="shared" si="115"/>
        <v>1.2665138465177601</v>
      </c>
      <c r="P648" s="62">
        <f t="shared" si="116"/>
        <v>-2.1651658823384019</v>
      </c>
      <c r="Q648" s="62">
        <f t="shared" si="117"/>
        <v>1.9350065939890637E-2</v>
      </c>
      <c r="R648" s="63">
        <f t="shared" si="118"/>
        <v>-0.63093471810089019</v>
      </c>
      <c r="S648" s="63">
        <f t="shared" si="119"/>
        <v>5.6386572957786906E-3</v>
      </c>
      <c r="T648" s="63">
        <f t="shared" si="120"/>
        <v>-0.62529606080511146</v>
      </c>
    </row>
    <row r="649" spans="1:20" x14ac:dyDescent="0.3">
      <c r="A649" s="18" t="s">
        <v>209</v>
      </c>
      <c r="B649" s="18" t="s">
        <v>126</v>
      </c>
      <c r="C649" s="18" t="s">
        <v>206</v>
      </c>
      <c r="D649" s="18" t="s">
        <v>203</v>
      </c>
      <c r="E649" s="61">
        <v>2017</v>
      </c>
      <c r="F649" s="62">
        <v>995000000</v>
      </c>
      <c r="G649" s="62">
        <v>2361000000</v>
      </c>
      <c r="H649" s="62">
        <v>773798837</v>
      </c>
      <c r="I649" s="62">
        <v>773772702</v>
      </c>
      <c r="J649" s="62">
        <f t="shared" si="110"/>
        <v>1.2858639124576507</v>
      </c>
      <c r="K649" s="62">
        <f t="shared" si="111"/>
        <v>3.0512836571998894</v>
      </c>
      <c r="L649" s="63">
        <f t="shared" si="112"/>
        <v>1.3728643216080403</v>
      </c>
      <c r="M649" s="63">
        <f t="shared" si="113"/>
        <v>-3.377492799204091E-5</v>
      </c>
      <c r="N649" s="63">
        <f t="shared" si="114"/>
        <v>1.3729444676365641</v>
      </c>
      <c r="O649" s="62">
        <f t="shared" si="115"/>
        <v>3.0511806003140838</v>
      </c>
      <c r="P649" s="62">
        <f t="shared" si="116"/>
        <v>1.765316687856433</v>
      </c>
      <c r="Q649" s="62">
        <f t="shared" si="117"/>
        <v>1.0305688580558581E-4</v>
      </c>
      <c r="R649" s="63">
        <f t="shared" si="118"/>
        <v>1.3728643216080401</v>
      </c>
      <c r="S649" s="63">
        <f t="shared" si="119"/>
        <v>8.0146028523823225E-5</v>
      </c>
      <c r="T649" s="63">
        <f t="shared" si="120"/>
        <v>1.3729444676365639</v>
      </c>
    </row>
    <row r="650" spans="1:20" x14ac:dyDescent="0.3">
      <c r="A650" s="18" t="s">
        <v>209</v>
      </c>
      <c r="B650" s="18" t="s">
        <v>126</v>
      </c>
      <c r="C650" s="18" t="s">
        <v>206</v>
      </c>
      <c r="D650" s="18" t="s">
        <v>203</v>
      </c>
      <c r="E650" s="61">
        <v>2018</v>
      </c>
      <c r="F650" s="62">
        <v>2361000000</v>
      </c>
      <c r="G650" s="62">
        <v>3054000000</v>
      </c>
      <c r="H650" s="62">
        <v>773772702</v>
      </c>
      <c r="I650" s="62">
        <v>775167941</v>
      </c>
      <c r="J650" s="62">
        <f t="shared" si="110"/>
        <v>3.0512836571998894</v>
      </c>
      <c r="K650" s="62">
        <f t="shared" si="111"/>
        <v>3.9397914161158529</v>
      </c>
      <c r="L650" s="63">
        <f t="shared" si="112"/>
        <v>0.29351969504447267</v>
      </c>
      <c r="M650" s="63">
        <f t="shared" si="113"/>
        <v>1.8031638960558729E-3</v>
      </c>
      <c r="N650" s="63">
        <f t="shared" si="114"/>
        <v>0.29119146521150768</v>
      </c>
      <c r="O650" s="62">
        <f t="shared" si="115"/>
        <v>3.9468955057553838</v>
      </c>
      <c r="P650" s="62">
        <f t="shared" si="116"/>
        <v>0.89561184855549447</v>
      </c>
      <c r="Q650" s="62">
        <f t="shared" si="117"/>
        <v>-7.1040896395309083E-3</v>
      </c>
      <c r="R650" s="63">
        <f t="shared" si="118"/>
        <v>0.29351969504447256</v>
      </c>
      <c r="S650" s="63">
        <f t="shared" si="119"/>
        <v>-2.328229832964861E-3</v>
      </c>
      <c r="T650" s="63">
        <f t="shared" si="120"/>
        <v>0.29119146521150768</v>
      </c>
    </row>
    <row r="651" spans="1:20" x14ac:dyDescent="0.3">
      <c r="A651" s="18" t="s">
        <v>209</v>
      </c>
      <c r="B651" s="18" t="s">
        <v>126</v>
      </c>
      <c r="C651" s="18" t="s">
        <v>206</v>
      </c>
      <c r="D651" s="18" t="s">
        <v>203</v>
      </c>
      <c r="E651" s="61">
        <v>2019</v>
      </c>
      <c r="F651" s="62">
        <v>3054000000</v>
      </c>
      <c r="G651" s="62">
        <v>-1325000000</v>
      </c>
      <c r="H651" s="62">
        <v>775167941</v>
      </c>
      <c r="I651" s="62">
        <v>777039858</v>
      </c>
      <c r="J651" s="62">
        <f t="shared" si="110"/>
        <v>3.9397914161158529</v>
      </c>
      <c r="K651" s="62">
        <f t="shared" si="111"/>
        <v>-1.7051892336776371</v>
      </c>
      <c r="L651" s="63">
        <f t="shared" si="112"/>
        <v>-1.4338572364112638</v>
      </c>
      <c r="M651" s="63">
        <f t="shared" si="113"/>
        <v>2.4148534801183169E-3</v>
      </c>
      <c r="N651" s="63">
        <f t="shared" si="114"/>
        <v>-1.432812058705063</v>
      </c>
      <c r="O651" s="62">
        <f t="shared" si="115"/>
        <v>-1.7093070158328438</v>
      </c>
      <c r="P651" s="62">
        <f t="shared" si="116"/>
        <v>-5.6490984319486968</v>
      </c>
      <c r="Q651" s="62">
        <f t="shared" si="117"/>
        <v>4.1177821552067506E-3</v>
      </c>
      <c r="R651" s="63">
        <f t="shared" si="118"/>
        <v>-1.4338572364112638</v>
      </c>
      <c r="S651" s="63">
        <f t="shared" si="119"/>
        <v>1.0451777062011E-3</v>
      </c>
      <c r="T651" s="63">
        <f t="shared" si="120"/>
        <v>-1.4328120587050628</v>
      </c>
    </row>
    <row r="652" spans="1:20" x14ac:dyDescent="0.3">
      <c r="A652" s="18" t="s">
        <v>209</v>
      </c>
      <c r="B652" s="18" t="s">
        <v>126</v>
      </c>
      <c r="C652" s="18" t="s">
        <v>206</v>
      </c>
      <c r="D652" s="18" t="s">
        <v>203</v>
      </c>
      <c r="E652" s="61">
        <v>2020</v>
      </c>
      <c r="F652" s="62">
        <v>-1325000000</v>
      </c>
      <c r="G652" s="62">
        <v>-1169000000</v>
      </c>
      <c r="H652" s="62">
        <v>777039858</v>
      </c>
      <c r="I652" s="62">
        <v>783178191</v>
      </c>
      <c r="J652" s="62">
        <f t="shared" si="110"/>
        <v>-1.7051892336776371</v>
      </c>
      <c r="K652" s="62">
        <f t="shared" si="111"/>
        <v>-1.4926360481353087</v>
      </c>
      <c r="L652" s="63">
        <f t="shared" si="112"/>
        <v>0.11773584905660377</v>
      </c>
      <c r="M652" s="63">
        <f t="shared" si="113"/>
        <v>7.8996372410023788E-3</v>
      </c>
      <c r="N652" s="63">
        <f t="shared" si="114"/>
        <v>0.12465079027264793</v>
      </c>
      <c r="O652" s="62">
        <f t="shared" si="115"/>
        <v>-1.5044273314484211</v>
      </c>
      <c r="P652" s="62">
        <f t="shared" si="116"/>
        <v>0.20076190222921597</v>
      </c>
      <c r="Q652" s="62">
        <f t="shared" si="117"/>
        <v>1.1791283313112411E-2</v>
      </c>
      <c r="R652" s="63">
        <f t="shared" si="118"/>
        <v>0.11773584905660367</v>
      </c>
      <c r="S652" s="63">
        <f t="shared" si="119"/>
        <v>6.9149412160442545E-3</v>
      </c>
      <c r="T652" s="63">
        <f t="shared" si="120"/>
        <v>0.12465079027264793</v>
      </c>
    </row>
    <row r="653" spans="1:20" x14ac:dyDescent="0.3">
      <c r="A653" s="18" t="s">
        <v>209</v>
      </c>
      <c r="B653" s="18" t="s">
        <v>126</v>
      </c>
      <c r="C653" s="18" t="s">
        <v>206</v>
      </c>
      <c r="D653" s="18" t="s">
        <v>203</v>
      </c>
      <c r="E653" s="61">
        <v>2021</v>
      </c>
      <c r="F653" s="62">
        <v>-1169000000</v>
      </c>
      <c r="G653" s="62">
        <v>4213000000</v>
      </c>
      <c r="H653" s="62">
        <v>783178191</v>
      </c>
      <c r="I653" s="62">
        <v>785326074</v>
      </c>
      <c r="J653" s="62">
        <f t="shared" si="110"/>
        <v>-1.4926360481353087</v>
      </c>
      <c r="K653" s="62">
        <f t="shared" si="111"/>
        <v>5.3646506075385956</v>
      </c>
      <c r="L653" s="63">
        <f t="shared" si="112"/>
        <v>4.60393498716852</v>
      </c>
      <c r="M653" s="63">
        <f t="shared" si="113"/>
        <v>2.7425214653353392E-3</v>
      </c>
      <c r="N653" s="63">
        <f t="shared" si="114"/>
        <v>4.5940781506921544</v>
      </c>
      <c r="O653" s="62">
        <f t="shared" si="115"/>
        <v>5.3793632769837947</v>
      </c>
      <c r="P653" s="62">
        <f t="shared" si="116"/>
        <v>6.8719993251191038</v>
      </c>
      <c r="Q653" s="62">
        <f t="shared" si="117"/>
        <v>-1.4712669445199111E-2</v>
      </c>
      <c r="R653" s="63">
        <f t="shared" si="118"/>
        <v>4.6039349871685209</v>
      </c>
      <c r="S653" s="63">
        <f t="shared" si="119"/>
        <v>-9.8568364763661365E-3</v>
      </c>
      <c r="T653" s="63">
        <f t="shared" si="120"/>
        <v>4.5940781506921544</v>
      </c>
    </row>
    <row r="654" spans="1:20" x14ac:dyDescent="0.3">
      <c r="A654" s="18" t="s">
        <v>209</v>
      </c>
      <c r="B654" s="18" t="s">
        <v>126</v>
      </c>
      <c r="C654" s="18" t="s">
        <v>206</v>
      </c>
      <c r="D654" s="18" t="s">
        <v>203</v>
      </c>
      <c r="E654" s="61">
        <v>2022</v>
      </c>
      <c r="F654" s="62">
        <v>4213000000</v>
      </c>
      <c r="G654" s="62">
        <v>4247000000</v>
      </c>
      <c r="H654" s="62">
        <v>785326074</v>
      </c>
      <c r="I654" s="62">
        <v>787080579</v>
      </c>
      <c r="J654" s="62">
        <f t="shared" si="110"/>
        <v>5.3646506075385956</v>
      </c>
      <c r="K654" s="62">
        <f t="shared" si="111"/>
        <v>5.395889713599451</v>
      </c>
      <c r="L654" s="63">
        <f t="shared" si="112"/>
        <v>8.0702587230002381E-3</v>
      </c>
      <c r="M654" s="63">
        <f t="shared" si="113"/>
        <v>2.2341102098693338E-3</v>
      </c>
      <c r="N654" s="63">
        <f t="shared" si="114"/>
        <v>5.8231389788846932E-3</v>
      </c>
      <c r="O654" s="62">
        <f t="shared" si="115"/>
        <v>5.4079447258999327</v>
      </c>
      <c r="P654" s="62">
        <f t="shared" si="116"/>
        <v>4.3294118361337119E-2</v>
      </c>
      <c r="Q654" s="62">
        <f t="shared" si="117"/>
        <v>-1.2055012300481671E-2</v>
      </c>
      <c r="R654" s="63">
        <f t="shared" si="118"/>
        <v>8.0702587230002832E-3</v>
      </c>
      <c r="S654" s="63">
        <f t="shared" si="119"/>
        <v>-2.2471197441155896E-3</v>
      </c>
      <c r="T654" s="63">
        <f t="shared" si="120"/>
        <v>5.8231389788846941E-3</v>
      </c>
    </row>
    <row r="655" spans="1:20" x14ac:dyDescent="0.3">
      <c r="A655" s="18" t="s">
        <v>209</v>
      </c>
      <c r="B655" s="18" t="s">
        <v>126</v>
      </c>
      <c r="C655" s="18" t="s">
        <v>206</v>
      </c>
      <c r="D655" s="18" t="s">
        <v>203</v>
      </c>
      <c r="E655" s="61">
        <v>2023</v>
      </c>
      <c r="F655" s="62">
        <v>4247000000</v>
      </c>
      <c r="G655" s="62">
        <v>3789000000</v>
      </c>
      <c r="H655" s="62">
        <v>787080579</v>
      </c>
      <c r="I655" s="62">
        <v>788720779</v>
      </c>
      <c r="J655" s="62">
        <f t="shared" si="110"/>
        <v>5.395889713599451</v>
      </c>
      <c r="K655" s="62">
        <f t="shared" si="111"/>
        <v>4.8039814607191929</v>
      </c>
      <c r="L655" s="63">
        <f t="shared" si="112"/>
        <v>-0.10784082882034378</v>
      </c>
      <c r="M655" s="63">
        <f t="shared" si="113"/>
        <v>2.0839035338464373E-3</v>
      </c>
      <c r="N655" s="63">
        <f t="shared" si="114"/>
        <v>-0.10969613618833812</v>
      </c>
      <c r="O655" s="62">
        <f t="shared" si="115"/>
        <v>4.8139924946617185</v>
      </c>
      <c r="P655" s="62">
        <f t="shared" si="116"/>
        <v>-0.5818972189377325</v>
      </c>
      <c r="Q655" s="62">
        <f t="shared" si="117"/>
        <v>-1.0011033942525671E-2</v>
      </c>
      <c r="R655" s="63">
        <f t="shared" si="118"/>
        <v>-0.10784082882034383</v>
      </c>
      <c r="S655" s="63">
        <f t="shared" si="119"/>
        <v>-1.855307367994292E-3</v>
      </c>
      <c r="T655" s="63">
        <f t="shared" si="120"/>
        <v>-0.10969613618833812</v>
      </c>
    </row>
    <row r="656" spans="1:20" x14ac:dyDescent="0.3">
      <c r="A656" s="18" t="s">
        <v>209</v>
      </c>
      <c r="B656" s="18" t="s">
        <v>126</v>
      </c>
      <c r="C656" s="18" t="s">
        <v>206</v>
      </c>
      <c r="D656" s="18" t="s">
        <v>203</v>
      </c>
      <c r="E656" s="61">
        <v>2024</v>
      </c>
      <c r="F656" s="62">
        <v>3789000000</v>
      </c>
      <c r="G656" s="62">
        <v>4232000000</v>
      </c>
      <c r="H656" s="62">
        <v>788720779</v>
      </c>
      <c r="I656" s="62">
        <v>789961671</v>
      </c>
      <c r="J656" s="62">
        <f t="shared" si="110"/>
        <v>4.8039814607191929</v>
      </c>
      <c r="K656" s="62">
        <f t="shared" si="111"/>
        <v>5.3572219455189236</v>
      </c>
      <c r="L656" s="63">
        <f t="shared" si="112"/>
        <v>0.11691739245183426</v>
      </c>
      <c r="M656" s="63">
        <f t="shared" si="113"/>
        <v>1.5732969550685566E-3</v>
      </c>
      <c r="N656" s="63">
        <f t="shared" si="114"/>
        <v>0.11516291004106131</v>
      </c>
      <c r="O656" s="62">
        <f t="shared" si="115"/>
        <v>5.3656504464934356</v>
      </c>
      <c r="P656" s="62">
        <f t="shared" si="116"/>
        <v>0.56166898577424273</v>
      </c>
      <c r="Q656" s="62">
        <f t="shared" si="117"/>
        <v>-8.4285009745119766E-3</v>
      </c>
      <c r="R656" s="63">
        <f t="shared" si="118"/>
        <v>0.11691739245183444</v>
      </c>
      <c r="S656" s="63">
        <f t="shared" si="119"/>
        <v>-1.7544824107731186E-3</v>
      </c>
      <c r="T656" s="63">
        <f t="shared" si="120"/>
        <v>0.11516291004106133</v>
      </c>
    </row>
    <row r="657" spans="1:20" x14ac:dyDescent="0.3">
      <c r="A657" s="18" t="s">
        <v>210</v>
      </c>
      <c r="B657" s="18" t="s">
        <v>211</v>
      </c>
      <c r="C657" s="18" t="s">
        <v>206</v>
      </c>
      <c r="D657" s="18" t="s">
        <v>203</v>
      </c>
      <c r="E657" s="61">
        <v>2016</v>
      </c>
      <c r="F657" s="62">
        <v>5087000000</v>
      </c>
      <c r="G657" s="62">
        <v>6196000000</v>
      </c>
      <c r="H657" s="62">
        <v>2295037940</v>
      </c>
      <c r="I657" s="62">
        <v>2379182155</v>
      </c>
      <c r="J657" s="62">
        <f t="shared" si="110"/>
        <v>2.216521091585963</v>
      </c>
      <c r="K657" s="62">
        <f t="shared" si="111"/>
        <v>2.6042562512410909</v>
      </c>
      <c r="L657" s="63">
        <f t="shared" si="112"/>
        <v>0.21800668370355808</v>
      </c>
      <c r="M657" s="63">
        <f t="shared" si="113"/>
        <v>3.6663539862874774E-2</v>
      </c>
      <c r="N657" s="63">
        <f t="shared" si="114"/>
        <v>0.17492960528415097</v>
      </c>
      <c r="O657" s="62">
        <f t="shared" si="115"/>
        <v>2.6997375041216096</v>
      </c>
      <c r="P657" s="62">
        <f t="shared" si="116"/>
        <v>0.48321641253564662</v>
      </c>
      <c r="Q657" s="62">
        <f t="shared" si="117"/>
        <v>-9.5481252880518674E-2</v>
      </c>
      <c r="R657" s="63">
        <f t="shared" si="118"/>
        <v>0.21800668370355822</v>
      </c>
      <c r="S657" s="63">
        <f t="shared" si="119"/>
        <v>-4.3077078419407243E-2</v>
      </c>
      <c r="T657" s="63">
        <f t="shared" si="120"/>
        <v>0.17492960528415097</v>
      </c>
    </row>
    <row r="658" spans="1:20" x14ac:dyDescent="0.3">
      <c r="A658" s="18" t="s">
        <v>210</v>
      </c>
      <c r="B658" s="18" t="s">
        <v>211</v>
      </c>
      <c r="C658" s="18" t="s">
        <v>206</v>
      </c>
      <c r="D658" s="18" t="s">
        <v>203</v>
      </c>
      <c r="E658" s="61">
        <v>2017</v>
      </c>
      <c r="F658" s="62">
        <v>6196000000</v>
      </c>
      <c r="G658" s="62">
        <v>8631000000</v>
      </c>
      <c r="H658" s="62">
        <v>2379182155</v>
      </c>
      <c r="I658" s="62">
        <v>2481802636</v>
      </c>
      <c r="J658" s="62">
        <f t="shared" si="110"/>
        <v>2.6042562512410909</v>
      </c>
      <c r="K658" s="62">
        <f t="shared" si="111"/>
        <v>3.4777140916857339</v>
      </c>
      <c r="L658" s="63">
        <f t="shared" si="112"/>
        <v>0.39299548095545511</v>
      </c>
      <c r="M658" s="63">
        <f t="shared" si="113"/>
        <v>4.3132670940867916E-2</v>
      </c>
      <c r="N658" s="63">
        <f t="shared" si="114"/>
        <v>0.33539627293911101</v>
      </c>
      <c r="O658" s="62">
        <f t="shared" si="115"/>
        <v>3.627717189228834</v>
      </c>
      <c r="P658" s="62">
        <f t="shared" si="116"/>
        <v>1.0234609379877431</v>
      </c>
      <c r="Q658" s="62">
        <f t="shared" si="117"/>
        <v>-0.15000309754310015</v>
      </c>
      <c r="R658" s="63">
        <f t="shared" si="118"/>
        <v>0.39299548095545511</v>
      </c>
      <c r="S658" s="63">
        <f t="shared" si="119"/>
        <v>-5.7599208016344126E-2</v>
      </c>
      <c r="T658" s="63">
        <f t="shared" si="120"/>
        <v>0.33539627293911101</v>
      </c>
    </row>
    <row r="659" spans="1:20" x14ac:dyDescent="0.3">
      <c r="A659" s="18" t="s">
        <v>210</v>
      </c>
      <c r="B659" s="18" t="s">
        <v>211</v>
      </c>
      <c r="C659" s="18" t="s">
        <v>206</v>
      </c>
      <c r="D659" s="18" t="s">
        <v>203</v>
      </c>
      <c r="E659" s="61">
        <v>2018</v>
      </c>
      <c r="F659" s="62">
        <v>8631000000</v>
      </c>
      <c r="G659" s="62">
        <v>11446000000</v>
      </c>
      <c r="H659" s="62">
        <v>2481802636</v>
      </c>
      <c r="I659" s="62">
        <v>2607456934</v>
      </c>
      <c r="J659" s="62">
        <f t="shared" si="110"/>
        <v>3.4777140916857339</v>
      </c>
      <c r="K659" s="62">
        <f t="shared" si="111"/>
        <v>4.3897177555454885</v>
      </c>
      <c r="L659" s="63">
        <f t="shared" si="112"/>
        <v>0.3261499246900707</v>
      </c>
      <c r="M659" s="63">
        <f t="shared" si="113"/>
        <v>5.0630254065053705E-2</v>
      </c>
      <c r="N659" s="63">
        <f t="shared" si="114"/>
        <v>0.26224227748914342</v>
      </c>
      <c r="O659" s="62">
        <f t="shared" si="115"/>
        <v>4.6119702807826339</v>
      </c>
      <c r="P659" s="62">
        <f t="shared" si="116"/>
        <v>1.1342561890969001</v>
      </c>
      <c r="Q659" s="62">
        <f t="shared" si="117"/>
        <v>-0.22225252523714545</v>
      </c>
      <c r="R659" s="63">
        <f t="shared" si="118"/>
        <v>0.32614992469007081</v>
      </c>
      <c r="S659" s="63">
        <f t="shared" si="119"/>
        <v>-6.390764720092737E-2</v>
      </c>
      <c r="T659" s="63">
        <f t="shared" si="120"/>
        <v>0.26224227748914342</v>
      </c>
    </row>
    <row r="660" spans="1:20" x14ac:dyDescent="0.3">
      <c r="A660" s="18" t="s">
        <v>210</v>
      </c>
      <c r="B660" s="18" t="s">
        <v>211</v>
      </c>
      <c r="C660" s="18" t="s">
        <v>206</v>
      </c>
      <c r="D660" s="18" t="s">
        <v>203</v>
      </c>
      <c r="E660" s="61">
        <v>2019</v>
      </c>
      <c r="F660" s="62">
        <v>11446000000</v>
      </c>
      <c r="G660" s="62">
        <v>11267000000</v>
      </c>
      <c r="H660" s="62">
        <v>2607456934</v>
      </c>
      <c r="I660" s="62">
        <v>2601621815</v>
      </c>
      <c r="J660" s="62">
        <f t="shared" si="110"/>
        <v>4.3897177555454885</v>
      </c>
      <c r="K660" s="62">
        <f t="shared" si="111"/>
        <v>4.3307601185685787</v>
      </c>
      <c r="L660" s="63">
        <f t="shared" si="112"/>
        <v>-1.5638651057137864E-2</v>
      </c>
      <c r="M660" s="63">
        <f t="shared" si="113"/>
        <v>-2.2378582456771654E-3</v>
      </c>
      <c r="N660" s="63">
        <f t="shared" si="114"/>
        <v>-1.3430849147972939E-2</v>
      </c>
      <c r="O660" s="62">
        <f t="shared" si="115"/>
        <v>4.32106849132719</v>
      </c>
      <c r="P660" s="62">
        <f t="shared" si="116"/>
        <v>-6.8649264218298534E-2</v>
      </c>
      <c r="Q660" s="62">
        <f t="shared" si="117"/>
        <v>9.6916272413887228E-3</v>
      </c>
      <c r="R660" s="63">
        <f t="shared" si="118"/>
        <v>-1.5638651057137916E-2</v>
      </c>
      <c r="S660" s="63">
        <f t="shared" si="119"/>
        <v>2.2078019091649761E-3</v>
      </c>
      <c r="T660" s="63">
        <f t="shared" si="120"/>
        <v>-1.3430849147972939E-2</v>
      </c>
    </row>
    <row r="661" spans="1:20" x14ac:dyDescent="0.3">
      <c r="A661" s="18" t="s">
        <v>210</v>
      </c>
      <c r="B661" s="18" t="s">
        <v>211</v>
      </c>
      <c r="C661" s="18" t="s">
        <v>206</v>
      </c>
      <c r="D661" s="18" t="s">
        <v>203</v>
      </c>
      <c r="E661" s="61">
        <v>2020</v>
      </c>
      <c r="F661" s="62">
        <v>11267000000</v>
      </c>
      <c r="G661" s="62">
        <v>-7242000000</v>
      </c>
      <c r="H661" s="62">
        <v>2601621815</v>
      </c>
      <c r="I661" s="62">
        <v>2602026749</v>
      </c>
      <c r="J661" s="62">
        <f t="shared" si="110"/>
        <v>4.3307601185685787</v>
      </c>
      <c r="K661" s="62">
        <f t="shared" si="111"/>
        <v>-2.7832150468027339</v>
      </c>
      <c r="L661" s="63">
        <f t="shared" si="112"/>
        <v>-1.6427620484601047</v>
      </c>
      <c r="M661" s="63">
        <f t="shared" si="113"/>
        <v>1.556467575976257E-4</v>
      </c>
      <c r="N661" s="63">
        <f t="shared" si="114"/>
        <v>-1.6426620202004294</v>
      </c>
      <c r="O661" s="62">
        <f t="shared" si="115"/>
        <v>-2.7836482452004656</v>
      </c>
      <c r="P661" s="62">
        <f t="shared" si="116"/>
        <v>-7.1144083637690443</v>
      </c>
      <c r="Q661" s="62">
        <f t="shared" si="117"/>
        <v>4.3319839773170443E-4</v>
      </c>
      <c r="R661" s="63">
        <f t="shared" si="118"/>
        <v>-1.6427620484601047</v>
      </c>
      <c r="S661" s="63">
        <f t="shared" si="119"/>
        <v>1.0002825967532162E-4</v>
      </c>
      <c r="T661" s="63">
        <f t="shared" si="120"/>
        <v>-1.6426620202004294</v>
      </c>
    </row>
    <row r="662" spans="1:20" x14ac:dyDescent="0.3">
      <c r="A662" s="18" t="s">
        <v>210</v>
      </c>
      <c r="B662" s="18" t="s">
        <v>211</v>
      </c>
      <c r="C662" s="18" t="s">
        <v>206</v>
      </c>
      <c r="D662" s="18" t="s">
        <v>203</v>
      </c>
      <c r="E662" s="61">
        <v>2021</v>
      </c>
      <c r="F662" s="62">
        <v>-7242000000</v>
      </c>
      <c r="G662" s="62">
        <v>16032000000</v>
      </c>
      <c r="H662" s="62">
        <v>2602026749</v>
      </c>
      <c r="I662" s="62">
        <v>2631422625</v>
      </c>
      <c r="J662" s="62">
        <f t="shared" si="110"/>
        <v>-2.7832150468027339</v>
      </c>
      <c r="K662" s="62">
        <f t="shared" si="111"/>
        <v>6.0925219110328204</v>
      </c>
      <c r="L662" s="63">
        <f t="shared" si="112"/>
        <v>3.2137531068765535</v>
      </c>
      <c r="M662" s="63">
        <f t="shared" si="113"/>
        <v>1.1297299695822612E-2</v>
      </c>
      <c r="N662" s="63">
        <f t="shared" si="114"/>
        <v>3.1890230573565308</v>
      </c>
      <c r="O662" s="62">
        <f t="shared" si="115"/>
        <v>6.1613509569651237</v>
      </c>
      <c r="P662" s="62">
        <f t="shared" si="116"/>
        <v>8.9445660037678572</v>
      </c>
      <c r="Q662" s="62">
        <f t="shared" si="117"/>
        <v>-6.8829045932303323E-2</v>
      </c>
      <c r="R662" s="63">
        <f t="shared" si="118"/>
        <v>3.213753106876553</v>
      </c>
      <c r="S662" s="63">
        <f t="shared" si="119"/>
        <v>-2.4730049520022491E-2</v>
      </c>
      <c r="T662" s="63">
        <f t="shared" si="120"/>
        <v>3.1890230573565304</v>
      </c>
    </row>
    <row r="663" spans="1:20" x14ac:dyDescent="0.3">
      <c r="A663" s="18" t="s">
        <v>210</v>
      </c>
      <c r="B663" s="18" t="s">
        <v>211</v>
      </c>
      <c r="C663" s="18" t="s">
        <v>206</v>
      </c>
      <c r="D663" s="18" t="s">
        <v>203</v>
      </c>
      <c r="E663" s="61">
        <v>2022</v>
      </c>
      <c r="F663" s="62">
        <v>16032000000</v>
      </c>
      <c r="G663" s="62">
        <v>20526000000</v>
      </c>
      <c r="H663" s="62">
        <v>2631422625</v>
      </c>
      <c r="I663" s="62">
        <v>2554707397</v>
      </c>
      <c r="J663" s="62">
        <f t="shared" si="110"/>
        <v>6.0925219110328204</v>
      </c>
      <c r="K663" s="62">
        <f t="shared" si="111"/>
        <v>8.0345796250888615</v>
      </c>
      <c r="L663" s="63">
        <f t="shared" si="112"/>
        <v>0.28031437125748504</v>
      </c>
      <c r="M663" s="63">
        <f t="shared" si="113"/>
        <v>-2.9153518431878651E-2</v>
      </c>
      <c r="N663" s="63">
        <f t="shared" si="114"/>
        <v>0.31876089120651491</v>
      </c>
      <c r="O663" s="62">
        <f t="shared" si="115"/>
        <v>7.800343359896436</v>
      </c>
      <c r="P663" s="62">
        <f t="shared" si="116"/>
        <v>1.7078214488636156</v>
      </c>
      <c r="Q663" s="62">
        <f t="shared" si="117"/>
        <v>0.23423626519242546</v>
      </c>
      <c r="R663" s="63">
        <f t="shared" si="118"/>
        <v>0.28031437125748493</v>
      </c>
      <c r="S663" s="63">
        <f t="shared" si="119"/>
        <v>3.8446519949029957E-2</v>
      </c>
      <c r="T663" s="63">
        <f t="shared" si="120"/>
        <v>0.31876089120651491</v>
      </c>
    </row>
    <row r="664" spans="1:20" x14ac:dyDescent="0.3">
      <c r="A664" s="18" t="s">
        <v>210</v>
      </c>
      <c r="B664" s="18" t="s">
        <v>211</v>
      </c>
      <c r="C664" s="18" t="s">
        <v>206</v>
      </c>
      <c r="D664" s="18" t="s">
        <v>203</v>
      </c>
      <c r="E664" s="61">
        <v>2023</v>
      </c>
      <c r="F664" s="62">
        <v>20526000000</v>
      </c>
      <c r="G664" s="62">
        <v>21384000000</v>
      </c>
      <c r="H664" s="62">
        <v>2554707397</v>
      </c>
      <c r="I664" s="62">
        <v>2434000000</v>
      </c>
      <c r="J664" s="62">
        <f t="shared" si="110"/>
        <v>8.0345796250888615</v>
      </c>
      <c r="K664" s="62">
        <f t="shared" si="111"/>
        <v>8.7855382087099425</v>
      </c>
      <c r="L664" s="63">
        <f t="shared" si="112"/>
        <v>4.1800643086816719E-2</v>
      </c>
      <c r="M664" s="63">
        <f t="shared" si="113"/>
        <v>-4.7249010646677983E-2</v>
      </c>
      <c r="N664" s="63">
        <f t="shared" si="114"/>
        <v>9.3465821320150966E-2</v>
      </c>
      <c r="O664" s="62">
        <f t="shared" si="115"/>
        <v>8.3704302203498102</v>
      </c>
      <c r="P664" s="62">
        <f t="shared" si="116"/>
        <v>0.33585059526094874</v>
      </c>
      <c r="Q664" s="62">
        <f t="shared" si="117"/>
        <v>0.4151079883601323</v>
      </c>
      <c r="R664" s="63">
        <f t="shared" si="118"/>
        <v>4.1800643086816663E-2</v>
      </c>
      <c r="S664" s="63">
        <f t="shared" si="119"/>
        <v>5.1665178233334295E-2</v>
      </c>
      <c r="T664" s="63">
        <f t="shared" si="120"/>
        <v>9.3465821320150966E-2</v>
      </c>
    </row>
    <row r="665" spans="1:20" x14ac:dyDescent="0.3">
      <c r="A665" s="18" t="s">
        <v>210</v>
      </c>
      <c r="B665" s="18" t="s">
        <v>211</v>
      </c>
      <c r="C665" s="18" t="s">
        <v>206</v>
      </c>
      <c r="D665" s="18" t="s">
        <v>203</v>
      </c>
      <c r="E665" s="61">
        <v>2024</v>
      </c>
      <c r="F665" s="62">
        <v>21384000000</v>
      </c>
      <c r="G665" s="62">
        <v>15758000000</v>
      </c>
      <c r="H665" s="62">
        <v>2434000000</v>
      </c>
      <c r="I665" s="62">
        <v>2298022000</v>
      </c>
      <c r="J665" s="62">
        <f t="shared" si="110"/>
        <v>8.7855382087099425</v>
      </c>
      <c r="K665" s="62">
        <f t="shared" si="111"/>
        <v>6.8572015411514773</v>
      </c>
      <c r="L665" s="63">
        <f t="shared" si="112"/>
        <v>-0.26309390198279087</v>
      </c>
      <c r="M665" s="63">
        <f t="shared" si="113"/>
        <v>-5.5866064092029578E-2</v>
      </c>
      <c r="N665" s="63">
        <f t="shared" si="114"/>
        <v>-0.21948987321536215</v>
      </c>
      <c r="O665" s="62">
        <f t="shared" si="115"/>
        <v>6.4741166803615444</v>
      </c>
      <c r="P665" s="62">
        <f t="shared" si="116"/>
        <v>-2.3114215283483981</v>
      </c>
      <c r="Q665" s="62">
        <f t="shared" si="117"/>
        <v>0.38308486078993287</v>
      </c>
      <c r="R665" s="63">
        <f t="shared" si="118"/>
        <v>-0.26309390198279092</v>
      </c>
      <c r="S665" s="63">
        <f t="shared" si="119"/>
        <v>4.3604028767428762E-2</v>
      </c>
      <c r="T665" s="63">
        <f t="shared" si="120"/>
        <v>-0.21948987321536217</v>
      </c>
    </row>
    <row r="666" spans="1:20" x14ac:dyDescent="0.3">
      <c r="A666" s="18" t="s">
        <v>212</v>
      </c>
      <c r="B666" s="18" t="s">
        <v>213</v>
      </c>
      <c r="C666" s="18" t="s">
        <v>206</v>
      </c>
      <c r="D666" s="18" t="s">
        <v>203</v>
      </c>
      <c r="E666" s="61">
        <v>2016</v>
      </c>
      <c r="F666" s="62">
        <v>4287000000</v>
      </c>
      <c r="G666" s="62">
        <v>4709000000</v>
      </c>
      <c r="H666" s="62">
        <v>1320658682</v>
      </c>
      <c r="I666" s="62">
        <v>1286600000</v>
      </c>
      <c r="J666" s="62">
        <f t="shared" si="110"/>
        <v>3.2461074601862951</v>
      </c>
      <c r="K666" s="62">
        <f t="shared" si="111"/>
        <v>3.6600341986631433</v>
      </c>
      <c r="L666" s="63">
        <f t="shared" si="112"/>
        <v>9.843713552600887E-2</v>
      </c>
      <c r="M666" s="63">
        <f t="shared" si="113"/>
        <v>-2.5789162986776928E-2</v>
      </c>
      <c r="N666" s="63">
        <f t="shared" si="114"/>
        <v>0.12751479843279517</v>
      </c>
      <c r="O666" s="62">
        <f t="shared" si="115"/>
        <v>3.5656449801766419</v>
      </c>
      <c r="P666" s="62">
        <f t="shared" si="116"/>
        <v>0.31953751999034674</v>
      </c>
      <c r="Q666" s="62">
        <f t="shared" si="117"/>
        <v>9.4389218486501392E-2</v>
      </c>
      <c r="R666" s="63">
        <f t="shared" si="118"/>
        <v>9.8437135526008857E-2</v>
      </c>
      <c r="S666" s="63">
        <f t="shared" si="119"/>
        <v>2.907766290678632E-2</v>
      </c>
      <c r="T666" s="63">
        <f t="shared" si="120"/>
        <v>0.12751479843279517</v>
      </c>
    </row>
    <row r="667" spans="1:20" x14ac:dyDescent="0.3">
      <c r="A667" s="18" t="s">
        <v>212</v>
      </c>
      <c r="B667" s="18" t="s">
        <v>213</v>
      </c>
      <c r="C667" s="18" t="s">
        <v>206</v>
      </c>
      <c r="D667" s="18" t="s">
        <v>203</v>
      </c>
      <c r="E667" s="61">
        <v>2017</v>
      </c>
      <c r="F667" s="62">
        <v>4709000000</v>
      </c>
      <c r="G667" s="62">
        <v>3894000000</v>
      </c>
      <c r="H667" s="62">
        <v>1286600000</v>
      </c>
      <c r="I667" s="62">
        <v>1266107382</v>
      </c>
      <c r="J667" s="62">
        <f t="shared" si="110"/>
        <v>3.6600341986631433</v>
      </c>
      <c r="K667" s="62">
        <f t="shared" si="111"/>
        <v>3.0755685144563829</v>
      </c>
      <c r="L667" s="63">
        <f t="shared" si="112"/>
        <v>-0.17307283924400085</v>
      </c>
      <c r="M667" s="63">
        <f t="shared" si="113"/>
        <v>-1.5927730452355043E-2</v>
      </c>
      <c r="N667" s="63">
        <f t="shared" si="114"/>
        <v>-0.15968858553841961</v>
      </c>
      <c r="O667" s="62">
        <f t="shared" si="115"/>
        <v>3.0265816881703715</v>
      </c>
      <c r="P667" s="62">
        <f t="shared" si="116"/>
        <v>-0.63345251049277174</v>
      </c>
      <c r="Q667" s="62">
        <f t="shared" si="117"/>
        <v>4.8986826286011365E-2</v>
      </c>
      <c r="R667" s="63">
        <f t="shared" si="118"/>
        <v>-0.17307283924400088</v>
      </c>
      <c r="S667" s="63">
        <f t="shared" si="119"/>
        <v>1.3384253705581274E-2</v>
      </c>
      <c r="T667" s="63">
        <f t="shared" si="120"/>
        <v>-0.15968858553841961</v>
      </c>
    </row>
    <row r="668" spans="1:20" x14ac:dyDescent="0.3">
      <c r="A668" s="18" t="s">
        <v>212</v>
      </c>
      <c r="B668" s="18" t="s">
        <v>213</v>
      </c>
      <c r="C668" s="18" t="s">
        <v>206</v>
      </c>
      <c r="D668" s="18" t="s">
        <v>203</v>
      </c>
      <c r="E668" s="61">
        <v>2018</v>
      </c>
      <c r="F668" s="62">
        <v>3894000000</v>
      </c>
      <c r="G668" s="62">
        <v>4306000000</v>
      </c>
      <c r="H668" s="62">
        <v>1266107382</v>
      </c>
      <c r="I668" s="62">
        <v>1247100000</v>
      </c>
      <c r="J668" s="62">
        <f t="shared" si="110"/>
        <v>3.0755685144563829</v>
      </c>
      <c r="K668" s="62">
        <f t="shared" si="111"/>
        <v>3.4528105204073452</v>
      </c>
      <c r="L668" s="63">
        <f t="shared" si="112"/>
        <v>0.10580380071905496</v>
      </c>
      <c r="M668" s="63">
        <f t="shared" si="113"/>
        <v>-1.501245650268233E-2</v>
      </c>
      <c r="N668" s="63">
        <f t="shared" si="114"/>
        <v>0.12265764985490529</v>
      </c>
      <c r="O668" s="62">
        <f t="shared" si="115"/>
        <v>3.400975352657726</v>
      </c>
      <c r="P668" s="62">
        <f t="shared" si="116"/>
        <v>0.32540683820134308</v>
      </c>
      <c r="Q668" s="62">
        <f t="shared" si="117"/>
        <v>5.183516774961916E-2</v>
      </c>
      <c r="R668" s="63">
        <f t="shared" si="118"/>
        <v>0.10580380071905497</v>
      </c>
      <c r="S668" s="63">
        <f t="shared" si="119"/>
        <v>1.6853849135850321E-2</v>
      </c>
      <c r="T668" s="63">
        <f t="shared" si="120"/>
        <v>0.12265764985490529</v>
      </c>
    </row>
    <row r="669" spans="1:20" x14ac:dyDescent="0.3">
      <c r="A669" s="18" t="s">
        <v>212</v>
      </c>
      <c r="B669" s="18" t="s">
        <v>213</v>
      </c>
      <c r="C669" s="18" t="s">
        <v>206</v>
      </c>
      <c r="D669" s="18" t="s">
        <v>203</v>
      </c>
      <c r="E669" s="61">
        <v>2019</v>
      </c>
      <c r="F669" s="62">
        <v>4306000000</v>
      </c>
      <c r="G669" s="62">
        <v>2806000000</v>
      </c>
      <c r="H669" s="62">
        <v>1247100000</v>
      </c>
      <c r="I669" s="62">
        <v>1249900000</v>
      </c>
      <c r="J669" s="62">
        <f t="shared" si="110"/>
        <v>3.4528105204073452</v>
      </c>
      <c r="K669" s="62">
        <f t="shared" si="111"/>
        <v>2.2449795983678693</v>
      </c>
      <c r="L669" s="63">
        <f t="shared" si="112"/>
        <v>-0.34835113794705064</v>
      </c>
      <c r="M669" s="63">
        <f t="shared" si="113"/>
        <v>2.2452088846123004E-3</v>
      </c>
      <c r="N669" s="63">
        <f t="shared" si="114"/>
        <v>-0.34981094818286818</v>
      </c>
      <c r="O669" s="62">
        <f t="shared" si="115"/>
        <v>2.2500200465078981</v>
      </c>
      <c r="P669" s="62">
        <f t="shared" si="116"/>
        <v>-1.202790473899447</v>
      </c>
      <c r="Q669" s="62">
        <f t="shared" si="117"/>
        <v>-5.040448140028797E-3</v>
      </c>
      <c r="R669" s="63">
        <f t="shared" si="118"/>
        <v>-0.34835113794705069</v>
      </c>
      <c r="S669" s="63">
        <f t="shared" si="119"/>
        <v>-1.4598102358174437E-3</v>
      </c>
      <c r="T669" s="63">
        <f t="shared" si="120"/>
        <v>-0.34981094818286812</v>
      </c>
    </row>
    <row r="670" spans="1:20" x14ac:dyDescent="0.3">
      <c r="A670" s="18" t="s">
        <v>212</v>
      </c>
      <c r="B670" s="18" t="s">
        <v>213</v>
      </c>
      <c r="C670" s="18" t="s">
        <v>206</v>
      </c>
      <c r="D670" s="18" t="s">
        <v>203</v>
      </c>
      <c r="E670" s="61">
        <v>2020</v>
      </c>
      <c r="F670" s="62">
        <v>2806000000</v>
      </c>
      <c r="G670" s="62">
        <v>12294000000</v>
      </c>
      <c r="H670" s="62">
        <v>1249900000</v>
      </c>
      <c r="I670" s="62">
        <v>1253600000</v>
      </c>
      <c r="J670" s="62">
        <f t="shared" si="110"/>
        <v>2.2449795983678693</v>
      </c>
      <c r="K670" s="62">
        <f t="shared" si="111"/>
        <v>9.8069559668155719</v>
      </c>
      <c r="L670" s="63">
        <f t="shared" si="112"/>
        <v>3.3813257305773341</v>
      </c>
      <c r="M670" s="63">
        <f t="shared" si="113"/>
        <v>2.9602368189455158E-3</v>
      </c>
      <c r="N670" s="63">
        <f t="shared" si="114"/>
        <v>3.3683942490815335</v>
      </c>
      <c r="O670" s="62">
        <f t="shared" si="115"/>
        <v>9.8359868789503153</v>
      </c>
      <c r="P670" s="62">
        <f t="shared" si="116"/>
        <v>7.5910072805824456</v>
      </c>
      <c r="Q670" s="62">
        <f t="shared" si="117"/>
        <v>-2.9030912134743403E-2</v>
      </c>
      <c r="R670" s="63">
        <f t="shared" si="118"/>
        <v>3.3813257305773341</v>
      </c>
      <c r="S670" s="63">
        <f t="shared" si="119"/>
        <v>-1.293148149580035E-2</v>
      </c>
      <c r="T670" s="63">
        <f t="shared" si="120"/>
        <v>3.368394249081534</v>
      </c>
    </row>
    <row r="671" spans="1:20" x14ac:dyDescent="0.3">
      <c r="A671" s="18" t="s">
        <v>212</v>
      </c>
      <c r="B671" s="18" t="s">
        <v>213</v>
      </c>
      <c r="C671" s="18" t="s">
        <v>206</v>
      </c>
      <c r="D671" s="18" t="s">
        <v>203</v>
      </c>
      <c r="E671" s="61">
        <v>2021</v>
      </c>
      <c r="F671" s="62">
        <v>12294000000</v>
      </c>
      <c r="G671" s="62">
        <v>6223000000</v>
      </c>
      <c r="H671" s="62">
        <v>1253600000</v>
      </c>
      <c r="I671" s="62">
        <v>1252500000</v>
      </c>
      <c r="J671" s="62">
        <f t="shared" si="110"/>
        <v>9.8069559668155719</v>
      </c>
      <c r="K671" s="62">
        <f t="shared" si="111"/>
        <v>4.9684630738522957</v>
      </c>
      <c r="L671" s="63">
        <f t="shared" si="112"/>
        <v>-0.49381812266146086</v>
      </c>
      <c r="M671" s="63">
        <f t="shared" si="113"/>
        <v>-8.7747287811104017E-4</v>
      </c>
      <c r="N671" s="63">
        <f t="shared" si="114"/>
        <v>-0.4933735717113033</v>
      </c>
      <c r="O671" s="62">
        <f t="shared" si="115"/>
        <v>4.9641033822590934</v>
      </c>
      <c r="P671" s="62">
        <f t="shared" si="116"/>
        <v>-4.8428525845564785</v>
      </c>
      <c r="Q671" s="62">
        <f t="shared" si="117"/>
        <v>4.359691593202264E-3</v>
      </c>
      <c r="R671" s="63">
        <f t="shared" si="118"/>
        <v>-0.49381812266146097</v>
      </c>
      <c r="S671" s="63">
        <f t="shared" si="119"/>
        <v>4.4455095015766695E-4</v>
      </c>
      <c r="T671" s="63">
        <f t="shared" si="120"/>
        <v>-0.4933735717113033</v>
      </c>
    </row>
    <row r="672" spans="1:20" x14ac:dyDescent="0.3">
      <c r="A672" s="18" t="s">
        <v>212</v>
      </c>
      <c r="B672" s="18" t="s">
        <v>213</v>
      </c>
      <c r="C672" s="18" t="s">
        <v>206</v>
      </c>
      <c r="D672" s="18" t="s">
        <v>203</v>
      </c>
      <c r="E672" s="61">
        <v>2022</v>
      </c>
      <c r="F672" s="62">
        <v>6223000000</v>
      </c>
      <c r="G672" s="62">
        <v>8371000000</v>
      </c>
      <c r="H672" s="62">
        <v>1252500000</v>
      </c>
      <c r="I672" s="62">
        <v>1251900000</v>
      </c>
      <c r="J672" s="62">
        <f t="shared" si="110"/>
        <v>4.9684630738522957</v>
      </c>
      <c r="K672" s="62">
        <f t="shared" si="111"/>
        <v>6.686636312804537</v>
      </c>
      <c r="L672" s="63">
        <f t="shared" si="112"/>
        <v>0.34517113932187049</v>
      </c>
      <c r="M672" s="63">
        <f t="shared" si="113"/>
        <v>-4.7904191616766467E-4</v>
      </c>
      <c r="N672" s="63">
        <f t="shared" si="114"/>
        <v>0.3458158415214016</v>
      </c>
      <c r="O672" s="62">
        <f t="shared" si="115"/>
        <v>6.6834331337325352</v>
      </c>
      <c r="P672" s="62">
        <f t="shared" si="116"/>
        <v>1.7149700598802395</v>
      </c>
      <c r="Q672" s="62">
        <f t="shared" si="117"/>
        <v>3.2031790720017383E-3</v>
      </c>
      <c r="R672" s="63">
        <f t="shared" si="118"/>
        <v>0.34517113932187049</v>
      </c>
      <c r="S672" s="63">
        <f t="shared" si="119"/>
        <v>6.4470219953112278E-4</v>
      </c>
      <c r="T672" s="63">
        <f t="shared" si="120"/>
        <v>0.3458158415214016</v>
      </c>
    </row>
    <row r="673" spans="1:20" x14ac:dyDescent="0.3">
      <c r="A673" s="18" t="s">
        <v>212</v>
      </c>
      <c r="B673" s="18" t="s">
        <v>213</v>
      </c>
      <c r="C673" s="18" t="s">
        <v>206</v>
      </c>
      <c r="D673" s="18" t="s">
        <v>203</v>
      </c>
      <c r="E673" s="61">
        <v>2023</v>
      </c>
      <c r="F673" s="62">
        <v>8371000000</v>
      </c>
      <c r="G673" s="62">
        <v>5400000000</v>
      </c>
      <c r="H673" s="62">
        <v>1251900000</v>
      </c>
      <c r="I673" s="62">
        <v>1251700000</v>
      </c>
      <c r="J673" s="62">
        <f t="shared" si="110"/>
        <v>6.686636312804537</v>
      </c>
      <c r="K673" s="62">
        <f t="shared" si="111"/>
        <v>4.3141327794199889</v>
      </c>
      <c r="L673" s="63">
        <f t="shared" si="112"/>
        <v>-0.35491578067136542</v>
      </c>
      <c r="M673" s="63">
        <f t="shared" si="113"/>
        <v>-1.5975716910296349E-4</v>
      </c>
      <c r="N673" s="63">
        <f t="shared" si="114"/>
        <v>-0.35481270737595461</v>
      </c>
      <c r="O673" s="62">
        <f t="shared" si="115"/>
        <v>4.3134435657800143</v>
      </c>
      <c r="P673" s="62">
        <f t="shared" si="116"/>
        <v>-2.3731927470245227</v>
      </c>
      <c r="Q673" s="62">
        <f t="shared" si="117"/>
        <v>6.8921363997453966E-4</v>
      </c>
      <c r="R673" s="63">
        <f t="shared" si="118"/>
        <v>-0.35491578067136542</v>
      </c>
      <c r="S673" s="63">
        <f t="shared" si="119"/>
        <v>1.0307329541083816E-4</v>
      </c>
      <c r="T673" s="63">
        <f t="shared" si="120"/>
        <v>-0.35481270737595461</v>
      </c>
    </row>
    <row r="674" spans="1:20" x14ac:dyDescent="0.3">
      <c r="A674" s="18" t="s">
        <v>212</v>
      </c>
      <c r="B674" s="18" t="s">
        <v>213</v>
      </c>
      <c r="C674" s="18" t="s">
        <v>206</v>
      </c>
      <c r="D674" s="18" t="s">
        <v>203</v>
      </c>
      <c r="E674" s="61">
        <v>2024</v>
      </c>
      <c r="F674" s="62">
        <v>5400000000</v>
      </c>
      <c r="G674" s="62">
        <v>5560000000</v>
      </c>
      <c r="H674" s="62">
        <v>1251700000</v>
      </c>
      <c r="I674" s="62">
        <v>1251400000</v>
      </c>
      <c r="J674" s="62">
        <f t="shared" si="110"/>
        <v>4.3141327794199889</v>
      </c>
      <c r="K674" s="62">
        <f t="shared" si="111"/>
        <v>4.4430238133290718</v>
      </c>
      <c r="L674" s="63">
        <f t="shared" si="112"/>
        <v>2.9629629629629631E-2</v>
      </c>
      <c r="M674" s="63">
        <f t="shared" si="113"/>
        <v>-2.396740433011105E-4</v>
      </c>
      <c r="N674" s="63">
        <f t="shared" si="114"/>
        <v>2.9876464285925768E-2</v>
      </c>
      <c r="O674" s="62">
        <f t="shared" si="115"/>
        <v>4.4419589358472473</v>
      </c>
      <c r="P674" s="62">
        <f t="shared" si="116"/>
        <v>0.12782615642725847</v>
      </c>
      <c r="Q674" s="62">
        <f t="shared" si="117"/>
        <v>1.0648774818244888E-3</v>
      </c>
      <c r="R674" s="63">
        <f t="shared" si="118"/>
        <v>2.9629629629629523E-2</v>
      </c>
      <c r="S674" s="63">
        <f t="shared" si="119"/>
        <v>2.4683465629624307E-4</v>
      </c>
      <c r="T674" s="63">
        <f t="shared" si="120"/>
        <v>2.9876464285925768E-2</v>
      </c>
    </row>
    <row r="675" spans="1:20" x14ac:dyDescent="0.3">
      <c r="A675" s="18" t="s">
        <v>214</v>
      </c>
      <c r="B675" s="18" t="s">
        <v>215</v>
      </c>
      <c r="C675" s="18" t="s">
        <v>206</v>
      </c>
      <c r="D675" s="18" t="s">
        <v>203</v>
      </c>
      <c r="E675" s="61">
        <v>2016</v>
      </c>
      <c r="F675" s="62">
        <v>-450000000</v>
      </c>
      <c r="G675" s="62">
        <v>1908000000</v>
      </c>
      <c r="H675" s="62">
        <v>416428144</v>
      </c>
      <c r="I675" s="62">
        <v>416325118</v>
      </c>
      <c r="J675" s="62">
        <f t="shared" si="110"/>
        <v>-1.0806186048750825</v>
      </c>
      <c r="K675" s="62">
        <f t="shared" si="111"/>
        <v>4.5829567266224851</v>
      </c>
      <c r="L675" s="63">
        <f t="shared" si="112"/>
        <v>5.24</v>
      </c>
      <c r="M675" s="63">
        <f t="shared" si="113"/>
        <v>-2.4740402752413391E-4</v>
      </c>
      <c r="N675" s="63">
        <f t="shared" si="114"/>
        <v>5.2410492526660377</v>
      </c>
      <c r="O675" s="62">
        <f t="shared" si="115"/>
        <v>4.5818228846703501</v>
      </c>
      <c r="P675" s="62">
        <f t="shared" si="116"/>
        <v>5.6624414895454329</v>
      </c>
      <c r="Q675" s="62">
        <f t="shared" si="117"/>
        <v>1.1338419521349508E-3</v>
      </c>
      <c r="R675" s="63">
        <f t="shared" si="118"/>
        <v>5.24</v>
      </c>
      <c r="S675" s="63">
        <f t="shared" si="119"/>
        <v>1.0492526660375431E-3</v>
      </c>
      <c r="T675" s="63">
        <f t="shared" si="120"/>
        <v>5.2410492526660377</v>
      </c>
    </row>
    <row r="676" spans="1:20" x14ac:dyDescent="0.3">
      <c r="A676" s="18" t="s">
        <v>214</v>
      </c>
      <c r="B676" s="18" t="s">
        <v>215</v>
      </c>
      <c r="C676" s="18" t="s">
        <v>206</v>
      </c>
      <c r="D676" s="18" t="s">
        <v>203</v>
      </c>
      <c r="E676" s="61">
        <v>2017</v>
      </c>
      <c r="F676" s="62">
        <v>1908000000</v>
      </c>
      <c r="G676" s="62">
        <v>4550000000</v>
      </c>
      <c r="H676" s="62">
        <v>416325118</v>
      </c>
      <c r="I676" s="62">
        <v>410241043</v>
      </c>
      <c r="J676" s="62">
        <f t="shared" si="110"/>
        <v>4.5829567266224851</v>
      </c>
      <c r="K676" s="62">
        <f t="shared" si="111"/>
        <v>11.091040444727028</v>
      </c>
      <c r="L676" s="63">
        <f t="shared" si="112"/>
        <v>1.3846960167714886</v>
      </c>
      <c r="M676" s="63">
        <f t="shared" si="113"/>
        <v>-1.4613759143881393E-2</v>
      </c>
      <c r="N676" s="63">
        <f t="shared" si="114"/>
        <v>1.4200622232147551</v>
      </c>
      <c r="O676" s="62">
        <f t="shared" si="115"/>
        <v>10.92895865101274</v>
      </c>
      <c r="P676" s="62">
        <f t="shared" si="116"/>
        <v>6.3460019243902552</v>
      </c>
      <c r="Q676" s="62">
        <f t="shared" si="117"/>
        <v>0.16208179371428777</v>
      </c>
      <c r="R676" s="63">
        <f t="shared" si="118"/>
        <v>1.3846960167714886</v>
      </c>
      <c r="S676" s="63">
        <f t="shared" si="119"/>
        <v>3.5366206443266518E-2</v>
      </c>
      <c r="T676" s="63">
        <f t="shared" si="120"/>
        <v>1.4200622232147551</v>
      </c>
    </row>
    <row r="677" spans="1:20" x14ac:dyDescent="0.3">
      <c r="A677" s="18" t="s">
        <v>214</v>
      </c>
      <c r="B677" s="18" t="s">
        <v>215</v>
      </c>
      <c r="C677" s="18" t="s">
        <v>206</v>
      </c>
      <c r="D677" s="18" t="s">
        <v>203</v>
      </c>
      <c r="E677" s="61">
        <v>2018</v>
      </c>
      <c r="F677" s="62">
        <v>4550000000</v>
      </c>
      <c r="G677" s="62">
        <v>1283000000</v>
      </c>
      <c r="H677" s="62">
        <v>410241043</v>
      </c>
      <c r="I677" s="62">
        <v>430911810</v>
      </c>
      <c r="J677" s="62">
        <f t="shared" si="110"/>
        <v>11.091040444727028</v>
      </c>
      <c r="K677" s="62">
        <f t="shared" si="111"/>
        <v>2.9774073725201453</v>
      </c>
      <c r="L677" s="63">
        <f t="shared" si="112"/>
        <v>-0.71802197802197798</v>
      </c>
      <c r="M677" s="63">
        <f t="shared" si="113"/>
        <v>5.0386881938577752E-2</v>
      </c>
      <c r="N677" s="63">
        <f t="shared" si="114"/>
        <v>-0.73154841627724088</v>
      </c>
      <c r="O677" s="62">
        <f t="shared" si="115"/>
        <v>3.1274296462823687</v>
      </c>
      <c r="P677" s="62">
        <f t="shared" si="116"/>
        <v>-7.9636107984446589</v>
      </c>
      <c r="Q677" s="62">
        <f t="shared" si="117"/>
        <v>-0.15002227376222343</v>
      </c>
      <c r="R677" s="63">
        <f t="shared" si="118"/>
        <v>-0.71802197802197798</v>
      </c>
      <c r="S677" s="63">
        <f t="shared" si="119"/>
        <v>-1.3526438255262875E-2</v>
      </c>
      <c r="T677" s="63">
        <f t="shared" si="120"/>
        <v>-0.73154841627724088</v>
      </c>
    </row>
    <row r="678" spans="1:20" x14ac:dyDescent="0.3">
      <c r="A678" s="18" t="s">
        <v>214</v>
      </c>
      <c r="B678" s="18" t="s">
        <v>215</v>
      </c>
      <c r="C678" s="18" t="s">
        <v>206</v>
      </c>
      <c r="D678" s="18" t="s">
        <v>203</v>
      </c>
      <c r="E678" s="61">
        <v>2019</v>
      </c>
      <c r="F678" s="62">
        <v>1283000000</v>
      </c>
      <c r="G678" s="62">
        <v>2447000000</v>
      </c>
      <c r="H678" s="62">
        <v>430911810</v>
      </c>
      <c r="I678" s="62">
        <v>429723372</v>
      </c>
      <c r="J678" s="62">
        <f t="shared" si="110"/>
        <v>2.9774073725201453</v>
      </c>
      <c r="K678" s="62">
        <f t="shared" si="111"/>
        <v>5.6943609760187774</v>
      </c>
      <c r="L678" s="63">
        <f t="shared" si="112"/>
        <v>0.90724863600935313</v>
      </c>
      <c r="M678" s="63">
        <f t="shared" si="113"/>
        <v>-2.7579610779291477E-3</v>
      </c>
      <c r="N678" s="63">
        <f t="shared" si="114"/>
        <v>0.91252330083368494</v>
      </c>
      <c r="O678" s="62">
        <f t="shared" si="115"/>
        <v>5.6786561500832384</v>
      </c>
      <c r="P678" s="62">
        <f t="shared" si="116"/>
        <v>2.7012487775630931</v>
      </c>
      <c r="Q678" s="62">
        <f t="shared" si="117"/>
        <v>1.5704825935539013E-2</v>
      </c>
      <c r="R678" s="63">
        <f t="shared" si="118"/>
        <v>0.9072486360093529</v>
      </c>
      <c r="S678" s="63">
        <f t="shared" si="119"/>
        <v>5.2746648243320801E-3</v>
      </c>
      <c r="T678" s="63">
        <f t="shared" si="120"/>
        <v>0.91252330083368494</v>
      </c>
    </row>
    <row r="679" spans="1:20" x14ac:dyDescent="0.3">
      <c r="A679" s="18" t="s">
        <v>214</v>
      </c>
      <c r="B679" s="18" t="s">
        <v>215</v>
      </c>
      <c r="C679" s="18" t="s">
        <v>206</v>
      </c>
      <c r="D679" s="18" t="s">
        <v>203</v>
      </c>
      <c r="E679" s="61">
        <v>2020</v>
      </c>
      <c r="F679" s="62">
        <v>2447000000</v>
      </c>
      <c r="G679" s="62">
        <v>352000000</v>
      </c>
      <c r="H679" s="62">
        <v>429723372</v>
      </c>
      <c r="I679" s="62">
        <v>426035732</v>
      </c>
      <c r="J679" s="62">
        <f t="shared" si="110"/>
        <v>5.6943609760187774</v>
      </c>
      <c r="K679" s="62">
        <f t="shared" si="111"/>
        <v>0.82622177803621411</v>
      </c>
      <c r="L679" s="63">
        <f t="shared" si="112"/>
        <v>-0.85615038823048628</v>
      </c>
      <c r="M679" s="63">
        <f t="shared" si="113"/>
        <v>-8.5814275887232862E-3</v>
      </c>
      <c r="N679" s="63">
        <f t="shared" si="114"/>
        <v>-0.85490526829687064</v>
      </c>
      <c r="O679" s="62">
        <f t="shared" si="115"/>
        <v>0.81913161567577009</v>
      </c>
      <c r="P679" s="62">
        <f t="shared" si="116"/>
        <v>-4.875229360343007</v>
      </c>
      <c r="Q679" s="62">
        <f t="shared" si="117"/>
        <v>7.0901623604440189E-3</v>
      </c>
      <c r="R679" s="63">
        <f t="shared" si="118"/>
        <v>-0.85615038823048628</v>
      </c>
      <c r="S679" s="63">
        <f t="shared" si="119"/>
        <v>1.2451199336156449E-3</v>
      </c>
      <c r="T679" s="63">
        <f t="shared" si="120"/>
        <v>-0.85490526829687064</v>
      </c>
    </row>
    <row r="680" spans="1:20" x14ac:dyDescent="0.3">
      <c r="A680" s="18" t="s">
        <v>214</v>
      </c>
      <c r="B680" s="18" t="s">
        <v>215</v>
      </c>
      <c r="C680" s="18" t="s">
        <v>206</v>
      </c>
      <c r="D680" s="18" t="s">
        <v>203</v>
      </c>
      <c r="E680" s="61">
        <v>2021</v>
      </c>
      <c r="F680" s="62">
        <v>352000000</v>
      </c>
      <c r="G680" s="62">
        <v>43000000</v>
      </c>
      <c r="H680" s="62">
        <v>426035732</v>
      </c>
      <c r="I680" s="62">
        <v>426650425</v>
      </c>
      <c r="J680" s="62">
        <f t="shared" si="110"/>
        <v>0.82622177803621411</v>
      </c>
      <c r="K680" s="62">
        <f t="shared" si="111"/>
        <v>0.10078508652604765</v>
      </c>
      <c r="L680" s="63">
        <f t="shared" si="112"/>
        <v>-0.87784090909090906</v>
      </c>
      <c r="M680" s="63">
        <f t="shared" si="113"/>
        <v>1.4428202937682231E-3</v>
      </c>
      <c r="N680" s="63">
        <f t="shared" si="114"/>
        <v>-0.8780169087704317</v>
      </c>
      <c r="O680" s="62">
        <f t="shared" si="115"/>
        <v>0.1009305012941966</v>
      </c>
      <c r="P680" s="62">
        <f t="shared" si="116"/>
        <v>-0.72529127674201754</v>
      </c>
      <c r="Q680" s="62">
        <f t="shared" si="117"/>
        <v>-1.454147681489576E-4</v>
      </c>
      <c r="R680" s="63">
        <f t="shared" si="118"/>
        <v>-0.87784090909090917</v>
      </c>
      <c r="S680" s="63">
        <f t="shared" si="119"/>
        <v>-1.759996795225893E-4</v>
      </c>
      <c r="T680" s="63">
        <f t="shared" si="120"/>
        <v>-0.87801690877043181</v>
      </c>
    </row>
    <row r="681" spans="1:20" x14ac:dyDescent="0.3">
      <c r="A681" s="18" t="s">
        <v>214</v>
      </c>
      <c r="B681" s="18" t="s">
        <v>215</v>
      </c>
      <c r="C681" s="18" t="s">
        <v>206</v>
      </c>
      <c r="D681" s="18" t="s">
        <v>203</v>
      </c>
      <c r="E681" s="61">
        <v>2022</v>
      </c>
      <c r="F681" s="62">
        <v>43000000</v>
      </c>
      <c r="G681" s="62">
        <v>-2459000000</v>
      </c>
      <c r="H681" s="62">
        <v>426650425</v>
      </c>
      <c r="I681" s="62">
        <v>426680657</v>
      </c>
      <c r="J681" s="62">
        <f t="shared" si="110"/>
        <v>0.10078508652604765</v>
      </c>
      <c r="K681" s="62">
        <f t="shared" si="111"/>
        <v>-5.7630922791046517</v>
      </c>
      <c r="L681" s="63">
        <f t="shared" si="112"/>
        <v>-58.186046511627907</v>
      </c>
      <c r="M681" s="63">
        <f t="shared" si="113"/>
        <v>7.0858947345476105E-5</v>
      </c>
      <c r="N681" s="63">
        <f t="shared" si="114"/>
        <v>-58.181994655679496</v>
      </c>
      <c r="O681" s="62">
        <f t="shared" si="115"/>
        <v>-5.7635006457570039</v>
      </c>
      <c r="P681" s="62">
        <f t="shared" si="116"/>
        <v>-5.8642857322830517</v>
      </c>
      <c r="Q681" s="62">
        <f t="shared" si="117"/>
        <v>4.0836665235222114E-4</v>
      </c>
      <c r="R681" s="63">
        <f t="shared" si="118"/>
        <v>-58.186046511627907</v>
      </c>
      <c r="S681" s="63">
        <f t="shared" si="119"/>
        <v>4.0518559484163351E-3</v>
      </c>
      <c r="T681" s="63">
        <f t="shared" si="120"/>
        <v>-58.181994655679489</v>
      </c>
    </row>
    <row r="682" spans="1:20" x14ac:dyDescent="0.3">
      <c r="A682" s="18" t="s">
        <v>214</v>
      </c>
      <c r="B682" s="18" t="s">
        <v>215</v>
      </c>
      <c r="C682" s="18" t="s">
        <v>206</v>
      </c>
      <c r="D682" s="18" t="s">
        <v>203</v>
      </c>
      <c r="E682" s="61">
        <v>2023</v>
      </c>
      <c r="F682" s="62">
        <v>-2459000000</v>
      </c>
      <c r="G682" s="62">
        <v>3444000000</v>
      </c>
      <c r="H682" s="62">
        <v>426680657</v>
      </c>
      <c r="I682" s="62">
        <v>417795492</v>
      </c>
      <c r="J682" s="62">
        <f t="shared" si="110"/>
        <v>-5.7630922791046517</v>
      </c>
      <c r="K682" s="62">
        <f t="shared" si="111"/>
        <v>8.2432674979652489</v>
      </c>
      <c r="L682" s="63">
        <f t="shared" si="112"/>
        <v>2.4005693371289141</v>
      </c>
      <c r="M682" s="63">
        <f t="shared" si="113"/>
        <v>-2.0823922655579863E-2</v>
      </c>
      <c r="N682" s="63">
        <f t="shared" si="114"/>
        <v>2.4303549377220652</v>
      </c>
      <c r="O682" s="62">
        <f t="shared" si="115"/>
        <v>8.0716103331583646</v>
      </c>
      <c r="P682" s="62">
        <f t="shared" si="116"/>
        <v>13.834702612263015</v>
      </c>
      <c r="Q682" s="62">
        <f t="shared" si="117"/>
        <v>0.17165716480688431</v>
      </c>
      <c r="R682" s="63">
        <f t="shared" si="118"/>
        <v>2.4005693371289141</v>
      </c>
      <c r="S682" s="63">
        <f t="shared" si="119"/>
        <v>2.9785600593151149E-2</v>
      </c>
      <c r="T682" s="63">
        <f t="shared" si="120"/>
        <v>2.4303549377220652</v>
      </c>
    </row>
    <row r="683" spans="1:20" x14ac:dyDescent="0.3">
      <c r="A683" s="18" t="s">
        <v>214</v>
      </c>
      <c r="B683" s="18" t="s">
        <v>215</v>
      </c>
      <c r="C683" s="18" t="s">
        <v>206</v>
      </c>
      <c r="D683" s="18" t="s">
        <v>203</v>
      </c>
      <c r="E683" s="61">
        <v>2024</v>
      </c>
      <c r="F683" s="62">
        <v>3444000000</v>
      </c>
      <c r="G683" s="62">
        <v>-667000000</v>
      </c>
      <c r="H683" s="62">
        <v>417795492</v>
      </c>
      <c r="I683" s="62">
        <v>416149530</v>
      </c>
      <c r="J683" s="62">
        <f t="shared" si="110"/>
        <v>8.2432674979652489</v>
      </c>
      <c r="K683" s="62">
        <f t="shared" si="111"/>
        <v>-1.6027892666369226</v>
      </c>
      <c r="L683" s="63">
        <f t="shared" si="112"/>
        <v>-1.1936701509872241</v>
      </c>
      <c r="M683" s="63">
        <f t="shared" si="113"/>
        <v>-3.9396356148332975E-3</v>
      </c>
      <c r="N683" s="63">
        <f t="shared" si="114"/>
        <v>-1.1944361586024657</v>
      </c>
      <c r="O683" s="62">
        <f t="shared" si="115"/>
        <v>-1.5964748609590071</v>
      </c>
      <c r="P683" s="62">
        <f t="shared" si="116"/>
        <v>-9.8397423589242567</v>
      </c>
      <c r="Q683" s="62">
        <f t="shared" si="117"/>
        <v>-6.3144056779154134E-3</v>
      </c>
      <c r="R683" s="63">
        <f t="shared" si="118"/>
        <v>-1.1936701509872243</v>
      </c>
      <c r="S683" s="63">
        <f t="shared" si="119"/>
        <v>-7.660076152416561E-4</v>
      </c>
      <c r="T683" s="63">
        <f t="shared" si="120"/>
        <v>-1.1944361586024659</v>
      </c>
    </row>
    <row r="684" spans="1:20" x14ac:dyDescent="0.3">
      <c r="A684" s="18" t="s">
        <v>216</v>
      </c>
      <c r="B684" s="18" t="s">
        <v>217</v>
      </c>
      <c r="C684" s="18" t="s">
        <v>206</v>
      </c>
      <c r="D684" s="18" t="s">
        <v>203</v>
      </c>
      <c r="E684" s="61">
        <v>2016</v>
      </c>
      <c r="F684" s="62">
        <v>1756400000</v>
      </c>
      <c r="G684" s="62">
        <v>1844000000</v>
      </c>
      <c r="H684" s="62">
        <v>515310142</v>
      </c>
      <c r="I684" s="62">
        <v>528176878</v>
      </c>
      <c r="J684" s="62">
        <f t="shared" si="110"/>
        <v>3.4084328190847057</v>
      </c>
      <c r="K684" s="62">
        <f t="shared" si="111"/>
        <v>3.4912546853291069</v>
      </c>
      <c r="L684" s="63">
        <f t="shared" si="112"/>
        <v>4.9874743794124342E-2</v>
      </c>
      <c r="M684" s="63">
        <f t="shared" si="113"/>
        <v>2.4968916680083508E-2</v>
      </c>
      <c r="N684" s="63">
        <f t="shared" si="114"/>
        <v>2.4299104791110995E-2</v>
      </c>
      <c r="O684" s="62">
        <f t="shared" si="115"/>
        <v>3.5784275326760402</v>
      </c>
      <c r="P684" s="62">
        <f t="shared" si="116"/>
        <v>0.16999471359133445</v>
      </c>
      <c r="Q684" s="62">
        <f t="shared" si="117"/>
        <v>-8.7172847346933313E-2</v>
      </c>
      <c r="R684" s="63">
        <f t="shared" si="118"/>
        <v>4.9874743794124279E-2</v>
      </c>
      <c r="S684" s="63">
        <f t="shared" si="119"/>
        <v>-2.5575639003013281E-2</v>
      </c>
      <c r="T684" s="63">
        <f t="shared" si="120"/>
        <v>2.4299104791110998E-2</v>
      </c>
    </row>
    <row r="685" spans="1:20" x14ac:dyDescent="0.3">
      <c r="A685" s="18" t="s">
        <v>216</v>
      </c>
      <c r="B685" s="18" t="s">
        <v>217</v>
      </c>
      <c r="C685" s="18" t="s">
        <v>206</v>
      </c>
      <c r="D685" s="18" t="s">
        <v>203</v>
      </c>
      <c r="E685" s="61">
        <v>2017</v>
      </c>
      <c r="F685" s="62">
        <v>1844000000</v>
      </c>
      <c r="G685" s="62">
        <v>2199600000</v>
      </c>
      <c r="H685" s="62">
        <v>528176878</v>
      </c>
      <c r="I685" s="62">
        <v>567550568</v>
      </c>
      <c r="J685" s="62">
        <f t="shared" si="110"/>
        <v>3.4912546853291069</v>
      </c>
      <c r="K685" s="62">
        <f t="shared" si="111"/>
        <v>3.8756017948342536</v>
      </c>
      <c r="L685" s="63">
        <f t="shared" si="112"/>
        <v>0.1928416485900217</v>
      </c>
      <c r="M685" s="63">
        <f t="shared" si="113"/>
        <v>7.4546409810843706E-2</v>
      </c>
      <c r="N685" s="63">
        <f t="shared" si="114"/>
        <v>0.1100885338214493</v>
      </c>
      <c r="O685" s="62">
        <f t="shared" si="115"/>
        <v>4.1645139944956089</v>
      </c>
      <c r="P685" s="62">
        <f t="shared" si="116"/>
        <v>0.67325930916650201</v>
      </c>
      <c r="Q685" s="62">
        <f t="shared" si="117"/>
        <v>-0.28891219966135528</v>
      </c>
      <c r="R685" s="63">
        <f t="shared" si="118"/>
        <v>0.19284164859002159</v>
      </c>
      <c r="S685" s="63">
        <f t="shared" si="119"/>
        <v>-8.2753114768572278E-2</v>
      </c>
      <c r="T685" s="63">
        <f t="shared" si="120"/>
        <v>0.11008853382144931</v>
      </c>
    </row>
    <row r="686" spans="1:20" x14ac:dyDescent="0.3">
      <c r="A686" s="18" t="s">
        <v>216</v>
      </c>
      <c r="B686" s="18" t="s">
        <v>217</v>
      </c>
      <c r="C686" s="18" t="s">
        <v>206</v>
      </c>
      <c r="D686" s="18" t="s">
        <v>203</v>
      </c>
      <c r="E686" s="61">
        <v>2018</v>
      </c>
      <c r="F686" s="62">
        <v>2199600000</v>
      </c>
      <c r="G686" s="62">
        <v>2113400000</v>
      </c>
      <c r="H686" s="62">
        <v>567550568</v>
      </c>
      <c r="I686" s="62">
        <v>569380990</v>
      </c>
      <c r="J686" s="62">
        <f t="shared" si="110"/>
        <v>3.8756017948342536</v>
      </c>
      <c r="K686" s="62">
        <f t="shared" si="111"/>
        <v>3.7117501938376973</v>
      </c>
      <c r="L686" s="63">
        <f t="shared" si="112"/>
        <v>-3.9188943444262596E-2</v>
      </c>
      <c r="M686" s="63">
        <f t="shared" si="113"/>
        <v>3.2251258358356539E-3</v>
      </c>
      <c r="N686" s="63">
        <f t="shared" si="114"/>
        <v>-4.2277718318469208E-2</v>
      </c>
      <c r="O686" s="62">
        <f t="shared" si="115"/>
        <v>3.7237210552840114</v>
      </c>
      <c r="P686" s="62">
        <f t="shared" si="116"/>
        <v>-0.15188073955024217</v>
      </c>
      <c r="Q686" s="62">
        <f t="shared" si="117"/>
        <v>-1.1970861446314096E-2</v>
      </c>
      <c r="R686" s="63">
        <f t="shared" si="118"/>
        <v>-3.9188943444262596E-2</v>
      </c>
      <c r="S686" s="63">
        <f t="shared" si="119"/>
        <v>-3.0887748742066132E-3</v>
      </c>
      <c r="T686" s="63">
        <f t="shared" si="120"/>
        <v>-4.2277718318469208E-2</v>
      </c>
    </row>
    <row r="687" spans="1:20" x14ac:dyDescent="0.3">
      <c r="A687" s="18" t="s">
        <v>216</v>
      </c>
      <c r="B687" s="18" t="s">
        <v>217</v>
      </c>
      <c r="C687" s="18" t="s">
        <v>206</v>
      </c>
      <c r="D687" s="18" t="s">
        <v>203</v>
      </c>
      <c r="E687" s="61">
        <v>2019</v>
      </c>
      <c r="F687" s="62">
        <v>2113400000</v>
      </c>
      <c r="G687" s="62">
        <v>2241500000</v>
      </c>
      <c r="H687" s="62">
        <v>569380990</v>
      </c>
      <c r="I687" s="62">
        <v>570170118</v>
      </c>
      <c r="J687" s="62">
        <f t="shared" si="110"/>
        <v>3.7117501938376973</v>
      </c>
      <c r="K687" s="62">
        <f t="shared" si="111"/>
        <v>3.9312828386422032</v>
      </c>
      <c r="L687" s="63">
        <f t="shared" si="112"/>
        <v>6.0613229866565727E-2</v>
      </c>
      <c r="M687" s="63">
        <f t="shared" si="113"/>
        <v>1.3859401944557369E-3</v>
      </c>
      <c r="N687" s="63">
        <f t="shared" si="114"/>
        <v>5.9145317798858663E-2</v>
      </c>
      <c r="O687" s="62">
        <f t="shared" si="115"/>
        <v>3.9367313615440516</v>
      </c>
      <c r="P687" s="62">
        <f t="shared" si="116"/>
        <v>0.22498116770635423</v>
      </c>
      <c r="Q687" s="62">
        <f t="shared" si="117"/>
        <v>-5.4485229018483849E-3</v>
      </c>
      <c r="R687" s="63">
        <f t="shared" si="118"/>
        <v>6.0613229866565727E-2</v>
      </c>
      <c r="S687" s="63">
        <f t="shared" si="119"/>
        <v>-1.4679120677070626E-3</v>
      </c>
      <c r="T687" s="63">
        <f t="shared" si="120"/>
        <v>5.9145317798858663E-2</v>
      </c>
    </row>
    <row r="688" spans="1:20" x14ac:dyDescent="0.3">
      <c r="A688" s="18" t="s">
        <v>216</v>
      </c>
      <c r="B688" s="18" t="s">
        <v>217</v>
      </c>
      <c r="C688" s="18" t="s">
        <v>206</v>
      </c>
      <c r="D688" s="18" t="s">
        <v>203</v>
      </c>
      <c r="E688" s="61">
        <v>2020</v>
      </c>
      <c r="F688" s="62">
        <v>2241500000</v>
      </c>
      <c r="G688" s="62">
        <v>2435100000</v>
      </c>
      <c r="H688" s="62">
        <v>570170118</v>
      </c>
      <c r="I688" s="62">
        <v>570640133</v>
      </c>
      <c r="J688" s="62">
        <f t="shared" si="110"/>
        <v>3.9312828386422032</v>
      </c>
      <c r="K688" s="62">
        <f t="shared" si="111"/>
        <v>4.2673128985829676</v>
      </c>
      <c r="L688" s="63">
        <f t="shared" si="112"/>
        <v>8.6370733883560119E-2</v>
      </c>
      <c r="M688" s="63">
        <f t="shared" si="113"/>
        <v>8.2434169235084324E-4</v>
      </c>
      <c r="N688" s="63">
        <f t="shared" si="114"/>
        <v>8.5475930817743795E-2</v>
      </c>
      <c r="O688" s="62">
        <f t="shared" si="115"/>
        <v>4.2708306225195756</v>
      </c>
      <c r="P688" s="62">
        <f t="shared" si="116"/>
        <v>0.33954778387737239</v>
      </c>
      <c r="Q688" s="62">
        <f t="shared" si="117"/>
        <v>-3.517723936607986E-3</v>
      </c>
      <c r="R688" s="63">
        <f t="shared" si="118"/>
        <v>8.6370733883560077E-2</v>
      </c>
      <c r="S688" s="63">
        <f t="shared" si="119"/>
        <v>-8.9480306581628374E-4</v>
      </c>
      <c r="T688" s="63">
        <f t="shared" si="120"/>
        <v>8.5475930817743795E-2</v>
      </c>
    </row>
    <row r="689" spans="1:20" x14ac:dyDescent="0.3">
      <c r="A689" s="18" t="s">
        <v>216</v>
      </c>
      <c r="B689" s="18" t="s">
        <v>217</v>
      </c>
      <c r="C689" s="18" t="s">
        <v>206</v>
      </c>
      <c r="D689" s="18" t="s">
        <v>203</v>
      </c>
      <c r="E689" s="61">
        <v>2021</v>
      </c>
      <c r="F689" s="62">
        <v>2435100000</v>
      </c>
      <c r="G689" s="62">
        <v>2572200000</v>
      </c>
      <c r="H689" s="62">
        <v>570640133</v>
      </c>
      <c r="I689" s="62">
        <v>572911439</v>
      </c>
      <c r="J689" s="62">
        <f t="shared" si="110"/>
        <v>4.2673128985829676</v>
      </c>
      <c r="K689" s="62">
        <f t="shared" si="111"/>
        <v>4.4896991487719271</v>
      </c>
      <c r="L689" s="63">
        <f t="shared" si="112"/>
        <v>5.6301589257114697E-2</v>
      </c>
      <c r="M689" s="63">
        <f t="shared" si="113"/>
        <v>3.9802773563421979E-3</v>
      </c>
      <c r="N689" s="63">
        <f t="shared" si="114"/>
        <v>5.2113884187589478E-2</v>
      </c>
      <c r="O689" s="62">
        <f t="shared" si="115"/>
        <v>4.507569396630573</v>
      </c>
      <c r="P689" s="62">
        <f t="shared" si="116"/>
        <v>0.2402564980476054</v>
      </c>
      <c r="Q689" s="62">
        <f t="shared" si="117"/>
        <v>-1.7870247858645882E-2</v>
      </c>
      <c r="R689" s="63">
        <f t="shared" si="118"/>
        <v>5.6301589257114606E-2</v>
      </c>
      <c r="S689" s="63">
        <f t="shared" si="119"/>
        <v>-4.1877050695251329E-3</v>
      </c>
      <c r="T689" s="63">
        <f t="shared" si="120"/>
        <v>5.2113884187589471E-2</v>
      </c>
    </row>
    <row r="690" spans="1:20" x14ac:dyDescent="0.3">
      <c r="A690" s="18" t="s">
        <v>216</v>
      </c>
      <c r="B690" s="18" t="s">
        <v>217</v>
      </c>
      <c r="C690" s="18" t="s">
        <v>206</v>
      </c>
      <c r="D690" s="18" t="s">
        <v>203</v>
      </c>
      <c r="E690" s="61">
        <v>2022</v>
      </c>
      <c r="F690" s="62">
        <v>2572200000</v>
      </c>
      <c r="G690" s="62">
        <v>2758800000</v>
      </c>
      <c r="H690" s="62">
        <v>572911439</v>
      </c>
      <c r="I690" s="62">
        <v>574275927</v>
      </c>
      <c r="J690" s="62">
        <f t="shared" si="110"/>
        <v>4.4896991487719271</v>
      </c>
      <c r="K690" s="62">
        <f t="shared" si="111"/>
        <v>4.803962468724551</v>
      </c>
      <c r="L690" s="63">
        <f t="shared" si="112"/>
        <v>7.2544903195707958E-2</v>
      </c>
      <c r="M690" s="63">
        <f t="shared" si="113"/>
        <v>2.3816735137662348E-3</v>
      </c>
      <c r="N690" s="63">
        <f t="shared" si="114"/>
        <v>6.9996520822243682E-2</v>
      </c>
      <c r="O690" s="62">
        <f t="shared" si="115"/>
        <v>4.8154039388974397</v>
      </c>
      <c r="P690" s="62">
        <f t="shared" si="116"/>
        <v>0.32570479012551257</v>
      </c>
      <c r="Q690" s="62">
        <f t="shared" si="117"/>
        <v>-1.1441470172888657E-2</v>
      </c>
      <c r="R690" s="63">
        <f t="shared" si="118"/>
        <v>7.254490319570811E-2</v>
      </c>
      <c r="S690" s="63">
        <f t="shared" si="119"/>
        <v>-2.5483823734644348E-3</v>
      </c>
      <c r="T690" s="63">
        <f t="shared" si="120"/>
        <v>6.9996520822243669E-2</v>
      </c>
    </row>
    <row r="691" spans="1:20" x14ac:dyDescent="0.3">
      <c r="A691" s="18" t="s">
        <v>216</v>
      </c>
      <c r="B691" s="18" t="s">
        <v>217</v>
      </c>
      <c r="C691" s="18" t="s">
        <v>206</v>
      </c>
      <c r="D691" s="18" t="s">
        <v>203</v>
      </c>
      <c r="E691" s="61">
        <v>2023</v>
      </c>
      <c r="F691" s="62">
        <v>2758800000</v>
      </c>
      <c r="G691" s="62">
        <v>3078000000</v>
      </c>
      <c r="H691" s="62">
        <v>574275927</v>
      </c>
      <c r="I691" s="62">
        <v>574321080</v>
      </c>
      <c r="J691" s="62">
        <f t="shared" si="110"/>
        <v>4.803962468724551</v>
      </c>
      <c r="K691" s="62">
        <f t="shared" si="111"/>
        <v>5.3593714512446589</v>
      </c>
      <c r="L691" s="63">
        <f t="shared" si="112"/>
        <v>0.11570247933884298</v>
      </c>
      <c r="M691" s="63">
        <f t="shared" si="113"/>
        <v>7.8625966851645512E-5</v>
      </c>
      <c r="N691" s="63">
        <f t="shared" si="114"/>
        <v>0.11561476304946416</v>
      </c>
      <c r="O691" s="62">
        <f t="shared" si="115"/>
        <v>5.3597928370067303</v>
      </c>
      <c r="P691" s="62">
        <f t="shared" si="116"/>
        <v>0.55583036828217924</v>
      </c>
      <c r="Q691" s="62">
        <f t="shared" si="117"/>
        <v>-4.2138576207140233E-4</v>
      </c>
      <c r="R691" s="63">
        <f t="shared" si="118"/>
        <v>0.11570247933884294</v>
      </c>
      <c r="S691" s="63">
        <f t="shared" si="119"/>
        <v>-8.7716289378771933E-5</v>
      </c>
      <c r="T691" s="63">
        <f t="shared" si="120"/>
        <v>0.11561476304946416</v>
      </c>
    </row>
    <row r="692" spans="1:20" x14ac:dyDescent="0.3">
      <c r="A692" s="18" t="s">
        <v>216</v>
      </c>
      <c r="B692" s="18" t="s">
        <v>217</v>
      </c>
      <c r="C692" s="18" t="s">
        <v>206</v>
      </c>
      <c r="D692" s="18" t="s">
        <v>203</v>
      </c>
      <c r="E692" s="61">
        <v>2024</v>
      </c>
      <c r="F692" s="62">
        <v>3078000000</v>
      </c>
      <c r="G692" s="62">
        <v>3306100000</v>
      </c>
      <c r="H692" s="62">
        <v>574321080</v>
      </c>
      <c r="I692" s="62">
        <v>576457564</v>
      </c>
      <c r="J692" s="62">
        <f t="shared" si="110"/>
        <v>5.3593714512446589</v>
      </c>
      <c r="K692" s="62">
        <f t="shared" si="111"/>
        <v>5.7352010043188537</v>
      </c>
      <c r="L692" s="63">
        <f t="shared" si="112"/>
        <v>7.4106562703053935E-2</v>
      </c>
      <c r="M692" s="63">
        <f t="shared" si="113"/>
        <v>3.7200166847436628E-3</v>
      </c>
      <c r="N692" s="63">
        <f t="shared" si="114"/>
        <v>7.0125677328618879E-2</v>
      </c>
      <c r="O692" s="62">
        <f t="shared" si="115"/>
        <v>5.7565360477452785</v>
      </c>
      <c r="P692" s="62">
        <f t="shared" si="116"/>
        <v>0.39716459650061964</v>
      </c>
      <c r="Q692" s="62">
        <f t="shared" si="117"/>
        <v>-2.1335043426424782E-2</v>
      </c>
      <c r="R692" s="63">
        <f t="shared" si="118"/>
        <v>7.4106562703053963E-2</v>
      </c>
      <c r="S692" s="63">
        <f t="shared" si="119"/>
        <v>-3.9808853744350819E-3</v>
      </c>
      <c r="T692" s="63">
        <f t="shared" si="120"/>
        <v>7.0125677328618879E-2</v>
      </c>
    </row>
    <row r="693" spans="1:20" x14ac:dyDescent="0.3">
      <c r="A693" s="18" t="s">
        <v>218</v>
      </c>
      <c r="B693" s="18" t="s">
        <v>219</v>
      </c>
      <c r="C693" s="18" t="s">
        <v>206</v>
      </c>
      <c r="D693" s="18" t="s">
        <v>203</v>
      </c>
      <c r="E693" s="61">
        <v>2016</v>
      </c>
      <c r="F693" s="62">
        <v>3297400000</v>
      </c>
      <c r="G693" s="62">
        <v>3105800000</v>
      </c>
      <c r="H693" s="62">
        <v>557351236</v>
      </c>
      <c r="I693" s="62">
        <v>559190339</v>
      </c>
      <c r="J693" s="62">
        <f t="shared" si="110"/>
        <v>5.9161975196552721</v>
      </c>
      <c r="K693" s="62">
        <f t="shared" si="111"/>
        <v>5.554101677711567</v>
      </c>
      <c r="L693" s="63">
        <f t="shared" si="112"/>
        <v>-5.8106386850245648E-2</v>
      </c>
      <c r="M693" s="63">
        <f t="shared" si="113"/>
        <v>3.2997199633015618E-3</v>
      </c>
      <c r="N693" s="63">
        <f t="shared" si="114"/>
        <v>-6.1204150257107001E-2</v>
      </c>
      <c r="O693" s="62">
        <f t="shared" si="115"/>
        <v>5.5724286578957187</v>
      </c>
      <c r="P693" s="62">
        <f t="shared" si="116"/>
        <v>-0.34376886175955335</v>
      </c>
      <c r="Q693" s="62">
        <f t="shared" si="117"/>
        <v>-1.8326980184151687E-2</v>
      </c>
      <c r="R693" s="63">
        <f t="shared" si="118"/>
        <v>-5.8106386850245703E-2</v>
      </c>
      <c r="S693" s="63">
        <f t="shared" si="119"/>
        <v>-3.0977634068612998E-3</v>
      </c>
      <c r="T693" s="63">
        <f t="shared" si="120"/>
        <v>-6.1204150257107001E-2</v>
      </c>
    </row>
    <row r="694" spans="1:20" x14ac:dyDescent="0.3">
      <c r="A694" s="18" t="s">
        <v>218</v>
      </c>
      <c r="B694" s="18" t="s">
        <v>219</v>
      </c>
      <c r="C694" s="18" t="s">
        <v>206</v>
      </c>
      <c r="D694" s="18" t="s">
        <v>203</v>
      </c>
      <c r="E694" s="61">
        <v>2017</v>
      </c>
      <c r="F694" s="62">
        <v>3105800000</v>
      </c>
      <c r="G694" s="62">
        <v>3581400000</v>
      </c>
      <c r="H694" s="62">
        <v>559190339</v>
      </c>
      <c r="I694" s="62">
        <v>559233644</v>
      </c>
      <c r="J694" s="62">
        <f t="shared" si="110"/>
        <v>5.554101677711567</v>
      </c>
      <c r="K694" s="62">
        <f t="shared" si="111"/>
        <v>6.4041211368892537</v>
      </c>
      <c r="L694" s="63">
        <f t="shared" si="112"/>
        <v>0.15313284821946035</v>
      </c>
      <c r="M694" s="63">
        <f t="shared" si="113"/>
        <v>7.7442325054188747E-5</v>
      </c>
      <c r="N694" s="63">
        <f t="shared" si="114"/>
        <v>0.15304355384576188</v>
      </c>
      <c r="O694" s="62">
        <f t="shared" si="115"/>
        <v>6.4046170869200232</v>
      </c>
      <c r="P694" s="62">
        <f t="shared" si="116"/>
        <v>0.85051540920845614</v>
      </c>
      <c r="Q694" s="62">
        <f t="shared" si="117"/>
        <v>-4.9595003076952082E-4</v>
      </c>
      <c r="R694" s="63">
        <f t="shared" si="118"/>
        <v>0.15313284821946047</v>
      </c>
      <c r="S694" s="63">
        <f t="shared" si="119"/>
        <v>-8.929437369858613E-5</v>
      </c>
      <c r="T694" s="63">
        <f t="shared" si="120"/>
        <v>0.15304355384576188</v>
      </c>
    </row>
    <row r="695" spans="1:20" x14ac:dyDescent="0.3">
      <c r="A695" s="18" t="s">
        <v>218</v>
      </c>
      <c r="B695" s="18" t="s">
        <v>219</v>
      </c>
      <c r="C695" s="18" t="s">
        <v>206</v>
      </c>
      <c r="D695" s="18" t="s">
        <v>203</v>
      </c>
      <c r="E695" s="61">
        <v>2018</v>
      </c>
      <c r="F695" s="62">
        <v>3581400000</v>
      </c>
      <c r="G695" s="62">
        <v>3895400000</v>
      </c>
      <c r="H695" s="62">
        <v>559233644</v>
      </c>
      <c r="I695" s="62">
        <v>559603188</v>
      </c>
      <c r="J695" s="62">
        <f t="shared" si="110"/>
        <v>6.4041211368892537</v>
      </c>
      <c r="K695" s="62">
        <f t="shared" si="111"/>
        <v>6.961003946246282</v>
      </c>
      <c r="L695" s="63">
        <f t="shared" si="112"/>
        <v>8.7675210811414536E-2</v>
      </c>
      <c r="M695" s="63">
        <f t="shared" si="113"/>
        <v>6.608043059726929E-4</v>
      </c>
      <c r="N695" s="63">
        <f t="shared" si="114"/>
        <v>8.6956944981763637E-2</v>
      </c>
      <c r="O695" s="62">
        <f t="shared" si="115"/>
        <v>6.9656038076278541</v>
      </c>
      <c r="P695" s="62">
        <f t="shared" si="116"/>
        <v>0.56148267073860048</v>
      </c>
      <c r="Q695" s="62">
        <f t="shared" si="117"/>
        <v>-4.5998613815720901E-3</v>
      </c>
      <c r="R695" s="63">
        <f t="shared" si="118"/>
        <v>8.7675210811414453E-2</v>
      </c>
      <c r="S695" s="63">
        <f t="shared" si="119"/>
        <v>-7.1826582965081652E-4</v>
      </c>
      <c r="T695" s="63">
        <f t="shared" si="120"/>
        <v>8.6956944981763637E-2</v>
      </c>
    </row>
    <row r="696" spans="1:20" x14ac:dyDescent="0.3">
      <c r="A696" s="18" t="s">
        <v>218</v>
      </c>
      <c r="B696" s="18" t="s">
        <v>219</v>
      </c>
      <c r="C696" s="18" t="s">
        <v>206</v>
      </c>
      <c r="D696" s="18" t="s">
        <v>203</v>
      </c>
      <c r="E696" s="61">
        <v>2019</v>
      </c>
      <c r="F696" s="62">
        <v>3895400000</v>
      </c>
      <c r="G696" s="62">
        <v>3750000000</v>
      </c>
      <c r="H696" s="62">
        <v>559603188</v>
      </c>
      <c r="I696" s="62">
        <v>559739718</v>
      </c>
      <c r="J696" s="62">
        <f t="shared" si="110"/>
        <v>6.961003946246282</v>
      </c>
      <c r="K696" s="62">
        <f t="shared" si="111"/>
        <v>6.6995424469771141</v>
      </c>
      <c r="L696" s="63">
        <f t="shared" si="112"/>
        <v>-3.7326076911228627E-2</v>
      </c>
      <c r="M696" s="63">
        <f t="shared" si="113"/>
        <v>2.4397645139934406E-4</v>
      </c>
      <c r="N696" s="63">
        <f t="shared" si="114"/>
        <v>-3.7560889390123239E-2</v>
      </c>
      <c r="O696" s="62">
        <f t="shared" si="115"/>
        <v>6.7011769775693271</v>
      </c>
      <c r="P696" s="62">
        <f t="shared" si="116"/>
        <v>-0.25982696867695498</v>
      </c>
      <c r="Q696" s="62">
        <f t="shared" si="117"/>
        <v>-1.6345305922129683E-3</v>
      </c>
      <c r="R696" s="63">
        <f t="shared" si="118"/>
        <v>-3.7326076911228669E-2</v>
      </c>
      <c r="S696" s="63">
        <f t="shared" si="119"/>
        <v>-2.3481247889456922E-4</v>
      </c>
      <c r="T696" s="63">
        <f t="shared" si="120"/>
        <v>-3.7560889390123239E-2</v>
      </c>
    </row>
    <row r="697" spans="1:20" x14ac:dyDescent="0.3">
      <c r="A697" s="18" t="s">
        <v>218</v>
      </c>
      <c r="B697" s="18" t="s">
        <v>219</v>
      </c>
      <c r="C697" s="18" t="s">
        <v>206</v>
      </c>
      <c r="D697" s="18" t="s">
        <v>203</v>
      </c>
      <c r="E697" s="61">
        <v>2020</v>
      </c>
      <c r="F697" s="62">
        <v>3750000000</v>
      </c>
      <c r="G697" s="62">
        <v>3563400000</v>
      </c>
      <c r="H697" s="62">
        <v>559739718</v>
      </c>
      <c r="I697" s="62">
        <v>559101322</v>
      </c>
      <c r="J697" s="62">
        <f t="shared" si="110"/>
        <v>6.6995424469771141</v>
      </c>
      <c r="K697" s="62">
        <f t="shared" si="111"/>
        <v>6.3734422720610198</v>
      </c>
      <c r="L697" s="63">
        <f t="shared" si="112"/>
        <v>-4.9759999999999999E-2</v>
      </c>
      <c r="M697" s="63">
        <f t="shared" si="113"/>
        <v>-1.1405229599947739E-3</v>
      </c>
      <c r="N697" s="63">
        <f t="shared" si="114"/>
        <v>-4.8674991985942752E-2</v>
      </c>
      <c r="O697" s="62">
        <f t="shared" si="115"/>
        <v>6.3661732148155332</v>
      </c>
      <c r="P697" s="62">
        <f t="shared" si="116"/>
        <v>-0.33336923216158088</v>
      </c>
      <c r="Q697" s="62">
        <f t="shared" si="117"/>
        <v>7.2690572454865432E-3</v>
      </c>
      <c r="R697" s="63">
        <f t="shared" si="118"/>
        <v>-4.975999999999995E-2</v>
      </c>
      <c r="S697" s="63">
        <f t="shared" si="119"/>
        <v>1.0850080140571985E-3</v>
      </c>
      <c r="T697" s="63">
        <f t="shared" si="120"/>
        <v>-4.8674991985942752E-2</v>
      </c>
    </row>
    <row r="698" spans="1:20" x14ac:dyDescent="0.3">
      <c r="A698" s="18" t="s">
        <v>218</v>
      </c>
      <c r="B698" s="18" t="s">
        <v>219</v>
      </c>
      <c r="C698" s="18" t="s">
        <v>206</v>
      </c>
      <c r="D698" s="18" t="s">
        <v>203</v>
      </c>
      <c r="E698" s="61">
        <v>2021</v>
      </c>
      <c r="F698" s="62">
        <v>3563400000</v>
      </c>
      <c r="G698" s="62">
        <v>4597100000</v>
      </c>
      <c r="H698" s="62">
        <v>559101322</v>
      </c>
      <c r="I698" s="62">
        <v>557600698</v>
      </c>
      <c r="J698" s="62">
        <f t="shared" si="110"/>
        <v>6.3734422720610198</v>
      </c>
      <c r="K698" s="62">
        <f t="shared" si="111"/>
        <v>8.2444301387872372</v>
      </c>
      <c r="L698" s="63">
        <f t="shared" si="112"/>
        <v>0.29008811808946511</v>
      </c>
      <c r="M698" s="63">
        <f t="shared" si="113"/>
        <v>-2.6839929382245315E-3</v>
      </c>
      <c r="N698" s="63">
        <f t="shared" si="114"/>
        <v>0.29356002405920972</v>
      </c>
      <c r="O698" s="62">
        <f t="shared" si="115"/>
        <v>8.2223021465150463</v>
      </c>
      <c r="P698" s="62">
        <f t="shared" si="116"/>
        <v>1.8488598744540266</v>
      </c>
      <c r="Q698" s="62">
        <f t="shared" si="117"/>
        <v>2.2127992272190866E-2</v>
      </c>
      <c r="R698" s="63">
        <f t="shared" si="118"/>
        <v>0.29008811808946522</v>
      </c>
      <c r="S698" s="63">
        <f t="shared" si="119"/>
        <v>3.4719059697445411E-3</v>
      </c>
      <c r="T698" s="63">
        <f t="shared" si="120"/>
        <v>0.29356002405920978</v>
      </c>
    </row>
    <row r="699" spans="1:20" x14ac:dyDescent="0.3">
      <c r="A699" s="18" t="s">
        <v>218</v>
      </c>
      <c r="B699" s="18" t="s">
        <v>219</v>
      </c>
      <c r="C699" s="18" t="s">
        <v>206</v>
      </c>
      <c r="D699" s="18" t="s">
        <v>203</v>
      </c>
      <c r="E699" s="61">
        <v>2022</v>
      </c>
      <c r="F699" s="62">
        <v>4597100000</v>
      </c>
      <c r="G699" s="62">
        <v>5706600000</v>
      </c>
      <c r="H699" s="62">
        <v>557600698</v>
      </c>
      <c r="I699" s="62">
        <v>535898658</v>
      </c>
      <c r="J699" s="62">
        <f t="shared" si="110"/>
        <v>8.2444301387872372</v>
      </c>
      <c r="K699" s="62">
        <f t="shared" si="111"/>
        <v>10.648655141808547</v>
      </c>
      <c r="L699" s="63">
        <f t="shared" si="112"/>
        <v>0.24134780622566401</v>
      </c>
      <c r="M699" s="63">
        <f t="shared" si="113"/>
        <v>-3.8920396042976257E-2</v>
      </c>
      <c r="N699" s="63">
        <f t="shared" si="114"/>
        <v>0.29161809397962507</v>
      </c>
      <c r="O699" s="62">
        <f t="shared" si="115"/>
        <v>10.234205266364283</v>
      </c>
      <c r="P699" s="62">
        <f t="shared" si="116"/>
        <v>1.9897751275770457</v>
      </c>
      <c r="Q699" s="62">
        <f t="shared" si="117"/>
        <v>0.41444987544426404</v>
      </c>
      <c r="R699" s="63">
        <f t="shared" si="118"/>
        <v>0.24134780622566393</v>
      </c>
      <c r="S699" s="63">
        <f t="shared" si="119"/>
        <v>5.027028775396112E-2</v>
      </c>
      <c r="T699" s="63">
        <f t="shared" si="120"/>
        <v>0.29161809397962507</v>
      </c>
    </row>
    <row r="700" spans="1:20" x14ac:dyDescent="0.3">
      <c r="A700" s="18" t="s">
        <v>218</v>
      </c>
      <c r="B700" s="18" t="s">
        <v>219</v>
      </c>
      <c r="C700" s="18" t="s">
        <v>206</v>
      </c>
      <c r="D700" s="18" t="s">
        <v>203</v>
      </c>
      <c r="E700" s="61">
        <v>2023</v>
      </c>
      <c r="F700" s="62">
        <v>5706600000</v>
      </c>
      <c r="G700" s="62">
        <v>6184000000</v>
      </c>
      <c r="H700" s="62">
        <v>535898658</v>
      </c>
      <c r="I700" s="62">
        <v>535428641</v>
      </c>
      <c r="J700" s="62">
        <f t="shared" si="110"/>
        <v>10.648655141808547</v>
      </c>
      <c r="K700" s="62">
        <f t="shared" si="111"/>
        <v>11.549624966737632</v>
      </c>
      <c r="L700" s="63">
        <f t="shared" si="112"/>
        <v>8.3657519363543972E-2</v>
      </c>
      <c r="M700" s="63">
        <f t="shared" si="113"/>
        <v>-8.7706321518722674E-4</v>
      </c>
      <c r="N700" s="63">
        <f t="shared" si="114"/>
        <v>8.4608789835977916E-2</v>
      </c>
      <c r="O700" s="62">
        <f t="shared" si="115"/>
        <v>11.539495215530097</v>
      </c>
      <c r="P700" s="62">
        <f t="shared" si="116"/>
        <v>0.8908400737215505</v>
      </c>
      <c r="Q700" s="62">
        <f t="shared" si="117"/>
        <v>1.0129751207534454E-2</v>
      </c>
      <c r="R700" s="63">
        <f t="shared" si="118"/>
        <v>8.3657519363543958E-2</v>
      </c>
      <c r="S700" s="63">
        <f t="shared" si="119"/>
        <v>9.5127047243395257E-4</v>
      </c>
      <c r="T700" s="63">
        <f t="shared" si="120"/>
        <v>8.4608789835977916E-2</v>
      </c>
    </row>
    <row r="701" spans="1:20" x14ac:dyDescent="0.3">
      <c r="A701" s="18" t="s">
        <v>218</v>
      </c>
      <c r="B701" s="18" t="s">
        <v>219</v>
      </c>
      <c r="C701" s="18" t="s">
        <v>206</v>
      </c>
      <c r="D701" s="18" t="s">
        <v>203</v>
      </c>
      <c r="E701" s="61">
        <v>2024</v>
      </c>
      <c r="F701" s="62">
        <v>6184000000</v>
      </c>
      <c r="G701" s="62">
        <v>6408700000</v>
      </c>
      <c r="H701" s="62">
        <v>535428641</v>
      </c>
      <c r="I701" s="62">
        <v>534482831</v>
      </c>
      <c r="J701" s="62">
        <f t="shared" si="110"/>
        <v>11.549624966737632</v>
      </c>
      <c r="K701" s="62">
        <f t="shared" si="111"/>
        <v>11.990469344000312</v>
      </c>
      <c r="L701" s="63">
        <f t="shared" si="112"/>
        <v>3.6335705045278138E-2</v>
      </c>
      <c r="M701" s="63">
        <f t="shared" si="113"/>
        <v>-1.7664538793321666E-3</v>
      </c>
      <c r="N701" s="63">
        <f t="shared" si="114"/>
        <v>3.8169583733869347E-2</v>
      </c>
      <c r="O701" s="62">
        <f t="shared" si="115"/>
        <v>11.96928873291259</v>
      </c>
      <c r="P701" s="62">
        <f t="shared" si="116"/>
        <v>0.41966376617495804</v>
      </c>
      <c r="Q701" s="62">
        <f t="shared" si="117"/>
        <v>2.1180611087721957E-2</v>
      </c>
      <c r="R701" s="63">
        <f t="shared" si="118"/>
        <v>3.6335705045278062E-2</v>
      </c>
      <c r="S701" s="63">
        <f t="shared" si="119"/>
        <v>1.8338786885912838E-3</v>
      </c>
      <c r="T701" s="63">
        <f t="shared" si="120"/>
        <v>3.8169583733869347E-2</v>
      </c>
    </row>
    <row r="702" spans="1:20" x14ac:dyDescent="0.3">
      <c r="A702" s="18" t="s">
        <v>220</v>
      </c>
      <c r="B702" s="18" t="s">
        <v>221</v>
      </c>
      <c r="C702" s="18" t="s">
        <v>206</v>
      </c>
      <c r="D702" s="18" t="s">
        <v>203</v>
      </c>
      <c r="E702" s="61">
        <v>2016</v>
      </c>
      <c r="F702" s="62">
        <v>757000000</v>
      </c>
      <c r="G702" s="62">
        <v>813000000</v>
      </c>
      <c r="H702" s="62">
        <v>212226832</v>
      </c>
      <c r="I702" s="62">
        <v>214614327</v>
      </c>
      <c r="J702" s="62">
        <f t="shared" si="110"/>
        <v>3.5669382276789583</v>
      </c>
      <c r="K702" s="62">
        <f t="shared" si="111"/>
        <v>3.788190711051644</v>
      </c>
      <c r="L702" s="63">
        <f t="shared" si="112"/>
        <v>7.3976221928665792E-2</v>
      </c>
      <c r="M702" s="63">
        <f t="shared" si="113"/>
        <v>1.1249732079118063E-2</v>
      </c>
      <c r="N702" s="63">
        <f t="shared" si="114"/>
        <v>6.2028683775849074E-2</v>
      </c>
      <c r="O702" s="62">
        <f t="shared" si="115"/>
        <v>3.8308068416155785</v>
      </c>
      <c r="P702" s="62">
        <f t="shared" si="116"/>
        <v>0.2638686139366202</v>
      </c>
      <c r="Q702" s="62">
        <f t="shared" si="117"/>
        <v>-4.261613056393454E-2</v>
      </c>
      <c r="R702" s="63">
        <f t="shared" si="118"/>
        <v>7.3976221928665722E-2</v>
      </c>
      <c r="S702" s="63">
        <f t="shared" si="119"/>
        <v>-1.1947538152816645E-2</v>
      </c>
      <c r="T702" s="63">
        <f t="shared" si="120"/>
        <v>6.2028683775849081E-2</v>
      </c>
    </row>
    <row r="703" spans="1:20" x14ac:dyDescent="0.3">
      <c r="A703" s="18" t="s">
        <v>220</v>
      </c>
      <c r="B703" s="18" t="s">
        <v>221</v>
      </c>
      <c r="C703" s="18" t="s">
        <v>206</v>
      </c>
      <c r="D703" s="18" t="s">
        <v>203</v>
      </c>
      <c r="E703" s="61">
        <v>2017</v>
      </c>
      <c r="F703" s="62">
        <v>813000000</v>
      </c>
      <c r="G703" s="62">
        <v>789000000</v>
      </c>
      <c r="H703" s="62">
        <v>214614327</v>
      </c>
      <c r="I703" s="62">
        <v>220533089</v>
      </c>
      <c r="J703" s="62">
        <f t="shared" si="110"/>
        <v>3.788190711051644</v>
      </c>
      <c r="K703" s="62">
        <f t="shared" si="111"/>
        <v>3.5776944112001261</v>
      </c>
      <c r="L703" s="63">
        <f t="shared" si="112"/>
        <v>-2.9520295202952029E-2</v>
      </c>
      <c r="M703" s="63">
        <f t="shared" si="113"/>
        <v>2.7578596838038684E-2</v>
      </c>
      <c r="N703" s="63">
        <f t="shared" si="114"/>
        <v>-5.5566447390681062E-2</v>
      </c>
      <c r="O703" s="62">
        <f t="shared" si="115"/>
        <v>3.6763622029763185</v>
      </c>
      <c r="P703" s="62">
        <f t="shared" si="116"/>
        <v>-0.11182850807532541</v>
      </c>
      <c r="Q703" s="62">
        <f t="shared" si="117"/>
        <v>-9.8667791776192448E-2</v>
      </c>
      <c r="R703" s="63">
        <f t="shared" si="118"/>
        <v>-2.9520295202952063E-2</v>
      </c>
      <c r="S703" s="63">
        <f t="shared" si="119"/>
        <v>-2.6046152187728999E-2</v>
      </c>
      <c r="T703" s="63">
        <f t="shared" si="120"/>
        <v>-5.5566447390681062E-2</v>
      </c>
    </row>
    <row r="704" spans="1:20" x14ac:dyDescent="0.3">
      <c r="A704" s="18" t="s">
        <v>220</v>
      </c>
      <c r="B704" s="18" t="s">
        <v>221</v>
      </c>
      <c r="C704" s="18" t="s">
        <v>206</v>
      </c>
      <c r="D704" s="18" t="s">
        <v>203</v>
      </c>
      <c r="E704" s="61">
        <v>2018</v>
      </c>
      <c r="F704" s="62">
        <v>789000000</v>
      </c>
      <c r="G704" s="62">
        <v>1083000000</v>
      </c>
      <c r="H704" s="62">
        <v>220533089</v>
      </c>
      <c r="I704" s="62">
        <v>260699711</v>
      </c>
      <c r="J704" s="62">
        <f t="shared" si="110"/>
        <v>3.5776944112001261</v>
      </c>
      <c r="K704" s="62">
        <f t="shared" si="111"/>
        <v>4.1542048353095415</v>
      </c>
      <c r="L704" s="63">
        <f t="shared" si="112"/>
        <v>0.37262357414448671</v>
      </c>
      <c r="M704" s="63">
        <f t="shared" si="113"/>
        <v>0.18213421932343224</v>
      </c>
      <c r="N704" s="63">
        <f t="shared" si="114"/>
        <v>0.1611402087066533</v>
      </c>
      <c r="O704" s="62">
        <f t="shared" si="115"/>
        <v>4.9108276898982721</v>
      </c>
      <c r="P704" s="62">
        <f t="shared" si="116"/>
        <v>1.333133278698146</v>
      </c>
      <c r="Q704" s="62">
        <f t="shared" si="117"/>
        <v>-0.75662285458873058</v>
      </c>
      <c r="R704" s="63">
        <f t="shared" si="118"/>
        <v>0.37262357414448671</v>
      </c>
      <c r="S704" s="63">
        <f t="shared" si="119"/>
        <v>-0.21148336543783344</v>
      </c>
      <c r="T704" s="63">
        <f t="shared" si="120"/>
        <v>0.16114020870665327</v>
      </c>
    </row>
    <row r="705" spans="1:20" x14ac:dyDescent="0.3">
      <c r="A705" s="18" t="s">
        <v>220</v>
      </c>
      <c r="B705" s="18" t="s">
        <v>221</v>
      </c>
      <c r="C705" s="18" t="s">
        <v>206</v>
      </c>
      <c r="D705" s="18" t="s">
        <v>203</v>
      </c>
      <c r="E705" s="61">
        <v>2019</v>
      </c>
      <c r="F705" s="62">
        <v>1083000000</v>
      </c>
      <c r="G705" s="62">
        <v>1077000000</v>
      </c>
      <c r="H705" s="62">
        <v>260699711</v>
      </c>
      <c r="I705" s="62">
        <v>434084752</v>
      </c>
      <c r="J705" s="62">
        <f t="shared" si="110"/>
        <v>4.1542048353095415</v>
      </c>
      <c r="K705" s="62">
        <f t="shared" si="111"/>
        <v>2.4810823117785996</v>
      </c>
      <c r="L705" s="63">
        <f t="shared" si="112"/>
        <v>-5.5401662049861496E-3</v>
      </c>
      <c r="M705" s="63">
        <f t="shared" si="113"/>
        <v>0.66507569316024284</v>
      </c>
      <c r="N705" s="63">
        <f t="shared" si="114"/>
        <v>-0.40275397816445729</v>
      </c>
      <c r="O705" s="62">
        <f t="shared" si="115"/>
        <v>4.1311898500723689</v>
      </c>
      <c r="P705" s="62">
        <f t="shared" si="116"/>
        <v>-2.3014985237172603E-2</v>
      </c>
      <c r="Q705" s="62">
        <f t="shared" si="117"/>
        <v>-1.6501075382937693</v>
      </c>
      <c r="R705" s="63">
        <f t="shared" si="118"/>
        <v>-5.5401662049863005E-3</v>
      </c>
      <c r="S705" s="63">
        <f t="shared" si="119"/>
        <v>-0.39721381195947097</v>
      </c>
      <c r="T705" s="63">
        <f t="shared" si="120"/>
        <v>-0.40275397816445729</v>
      </c>
    </row>
    <row r="706" spans="1:20" x14ac:dyDescent="0.3">
      <c r="A706" s="18" t="s">
        <v>220</v>
      </c>
      <c r="B706" s="18" t="s">
        <v>221</v>
      </c>
      <c r="C706" s="18" t="s">
        <v>206</v>
      </c>
      <c r="D706" s="18" t="s">
        <v>203</v>
      </c>
      <c r="E706" s="61">
        <v>2020</v>
      </c>
      <c r="F706" s="62">
        <v>1077000000</v>
      </c>
      <c r="G706" s="62">
        <v>85000000</v>
      </c>
      <c r="H706" s="62">
        <v>434084752</v>
      </c>
      <c r="I706" s="62">
        <v>435868811</v>
      </c>
      <c r="J706" s="62">
        <f t="shared" si="110"/>
        <v>2.4810823117785996</v>
      </c>
      <c r="K706" s="62">
        <f t="shared" si="111"/>
        <v>0.19501280627303247</v>
      </c>
      <c r="L706" s="63">
        <f t="shared" si="112"/>
        <v>-0.92107706592386263</v>
      </c>
      <c r="M706" s="63">
        <f t="shared" si="113"/>
        <v>4.1099324308908232E-3</v>
      </c>
      <c r="N706" s="63">
        <f t="shared" si="114"/>
        <v>-0.9214001061765521</v>
      </c>
      <c r="O706" s="62">
        <f t="shared" si="115"/>
        <v>0.19581429572997303</v>
      </c>
      <c r="P706" s="62">
        <f t="shared" si="116"/>
        <v>-2.2852680160486267</v>
      </c>
      <c r="Q706" s="62">
        <f t="shared" si="117"/>
        <v>-8.0148945694055729E-4</v>
      </c>
      <c r="R706" s="63">
        <f t="shared" si="118"/>
        <v>-0.92107706592386263</v>
      </c>
      <c r="S706" s="63">
        <f t="shared" si="119"/>
        <v>-3.2304025268956033E-4</v>
      </c>
      <c r="T706" s="63">
        <f t="shared" si="120"/>
        <v>-0.92140010617655221</v>
      </c>
    </row>
    <row r="707" spans="1:20" x14ac:dyDescent="0.3">
      <c r="A707" s="18" t="s">
        <v>220</v>
      </c>
      <c r="B707" s="18" t="s">
        <v>221</v>
      </c>
      <c r="C707" s="18" t="s">
        <v>206</v>
      </c>
      <c r="D707" s="18" t="s">
        <v>203</v>
      </c>
      <c r="E707" s="61">
        <v>2021</v>
      </c>
      <c r="F707" s="62">
        <v>85000000</v>
      </c>
      <c r="G707" s="62">
        <v>1448000000</v>
      </c>
      <c r="H707" s="62">
        <v>435868811</v>
      </c>
      <c r="I707" s="62">
        <v>438815944</v>
      </c>
      <c r="J707" s="62">
        <f t="shared" si="110"/>
        <v>0.19501280627303247</v>
      </c>
      <c r="K707" s="62">
        <f t="shared" si="111"/>
        <v>3.2997889429468863</v>
      </c>
      <c r="L707" s="63">
        <f t="shared" si="112"/>
        <v>16.035294117647059</v>
      </c>
      <c r="M707" s="63">
        <f t="shared" si="113"/>
        <v>6.7615138445865997E-3</v>
      </c>
      <c r="N707" s="63">
        <f t="shared" si="114"/>
        <v>15.920883330743601</v>
      </c>
      <c r="O707" s="62">
        <f t="shared" si="115"/>
        <v>3.3221005115688351</v>
      </c>
      <c r="P707" s="62">
        <f t="shared" si="116"/>
        <v>3.1270877052958026</v>
      </c>
      <c r="Q707" s="62">
        <f t="shared" si="117"/>
        <v>-2.231156862194883E-2</v>
      </c>
      <c r="R707" s="63">
        <f t="shared" si="118"/>
        <v>16.035294117647055</v>
      </c>
      <c r="S707" s="63">
        <f t="shared" si="119"/>
        <v>-0.11441078690345581</v>
      </c>
      <c r="T707" s="63">
        <f t="shared" si="120"/>
        <v>15.9208833307436</v>
      </c>
    </row>
    <row r="708" spans="1:20" x14ac:dyDescent="0.3">
      <c r="A708" s="18" t="s">
        <v>220</v>
      </c>
      <c r="B708" s="18" t="s">
        <v>221</v>
      </c>
      <c r="C708" s="18" t="s">
        <v>206</v>
      </c>
      <c r="D708" s="18" t="s">
        <v>203</v>
      </c>
      <c r="E708" s="61">
        <v>2022</v>
      </c>
      <c r="F708" s="62">
        <v>1448000000</v>
      </c>
      <c r="G708" s="62">
        <v>2152000000</v>
      </c>
      <c r="H708" s="62">
        <v>438815944</v>
      </c>
      <c r="I708" s="62">
        <v>442049822</v>
      </c>
      <c r="J708" s="62">
        <f t="shared" si="110"/>
        <v>3.2997889429468863</v>
      </c>
      <c r="K708" s="62">
        <f t="shared" si="111"/>
        <v>4.8682295363530317</v>
      </c>
      <c r="L708" s="63">
        <f t="shared" si="112"/>
        <v>0.48618784530386738</v>
      </c>
      <c r="M708" s="63">
        <f t="shared" si="113"/>
        <v>7.3695544663254075E-3</v>
      </c>
      <c r="N708" s="63">
        <f t="shared" si="114"/>
        <v>0.47531542790292669</v>
      </c>
      <c r="O708" s="62">
        <f t="shared" si="115"/>
        <v>4.9041062190757589</v>
      </c>
      <c r="P708" s="62">
        <f t="shared" si="116"/>
        <v>1.6043172761288726</v>
      </c>
      <c r="Q708" s="62">
        <f t="shared" si="117"/>
        <v>-3.587668272272726E-2</v>
      </c>
      <c r="R708" s="63">
        <f t="shared" si="118"/>
        <v>0.48618784530386733</v>
      </c>
      <c r="S708" s="63">
        <f t="shared" si="119"/>
        <v>-1.0872417400940644E-2</v>
      </c>
      <c r="T708" s="63">
        <f t="shared" si="120"/>
        <v>0.47531542790292669</v>
      </c>
    </row>
    <row r="709" spans="1:20" x14ac:dyDescent="0.3">
      <c r="A709" s="18" t="s">
        <v>220</v>
      </c>
      <c r="B709" s="18" t="s">
        <v>221</v>
      </c>
      <c r="C709" s="18" t="s">
        <v>206</v>
      </c>
      <c r="D709" s="18" t="s">
        <v>203</v>
      </c>
      <c r="E709" s="61">
        <v>2023</v>
      </c>
      <c r="F709" s="62">
        <v>2152000000</v>
      </c>
      <c r="G709" s="62">
        <v>2289000000</v>
      </c>
      <c r="H709" s="62">
        <v>442049822</v>
      </c>
      <c r="I709" s="62">
        <v>448066944</v>
      </c>
      <c r="J709" s="62">
        <f t="shared" ref="J709:J772" si="121">F709/H709</f>
        <v>4.8682295363530317</v>
      </c>
      <c r="K709" s="62">
        <f t="shared" ref="K709:K772" si="122">G709/I709</f>
        <v>5.1086116274625253</v>
      </c>
      <c r="L709" s="63">
        <f t="shared" ref="L709:L772" si="123">IF(F709=0,"",((G709-F709)/ABS(F709)))</f>
        <v>6.3661710037174718E-2</v>
      </c>
      <c r="M709" s="63">
        <f t="shared" ref="M709:M772" si="124">(I709-H709)/H709</f>
        <v>1.3611863868141089E-2</v>
      </c>
      <c r="N709" s="63">
        <f t="shared" ref="N709:N772" si="125">IF(J709=0,"",((K709-J709)/ABS(J709)))</f>
        <v>4.9377723321068503E-2</v>
      </c>
      <c r="O709" s="62">
        <f t="shared" ref="O709:O772" si="126">G709/H709</f>
        <v>5.1781493534907472</v>
      </c>
      <c r="P709" s="62">
        <f t="shared" ref="P709:P772" si="127">O709-J709</f>
        <v>0.30991981713771555</v>
      </c>
      <c r="Q709" s="62">
        <f t="shared" ref="Q709:Q772" si="128">K709-O709</f>
        <v>-6.9537726028221947E-2</v>
      </c>
      <c r="R709" s="63">
        <f t="shared" ref="R709:R772" si="129">IF(J709=0,"",P709/ABS(J709))</f>
        <v>6.3661710037174579E-2</v>
      </c>
      <c r="S709" s="63">
        <f t="shared" ref="S709:S772" si="130">IF(J709=0,"",Q709/ABS(J709))</f>
        <v>-1.4283986716106076E-2</v>
      </c>
      <c r="T709" s="63">
        <f t="shared" ref="T709:T772" si="131">R709+S709</f>
        <v>4.9377723321068503E-2</v>
      </c>
    </row>
    <row r="710" spans="1:20" x14ac:dyDescent="0.3">
      <c r="A710" s="18" t="s">
        <v>220</v>
      </c>
      <c r="B710" s="18" t="s">
        <v>221</v>
      </c>
      <c r="C710" s="18" t="s">
        <v>206</v>
      </c>
      <c r="D710" s="18" t="s">
        <v>203</v>
      </c>
      <c r="E710" s="61">
        <v>2024</v>
      </c>
      <c r="F710" s="62">
        <v>2289000000</v>
      </c>
      <c r="G710" s="62">
        <v>2359000000</v>
      </c>
      <c r="H710" s="62">
        <v>448066944</v>
      </c>
      <c r="I710" s="62">
        <v>453926761</v>
      </c>
      <c r="J710" s="62">
        <f t="shared" si="121"/>
        <v>5.1086116274625253</v>
      </c>
      <c r="K710" s="62">
        <f t="shared" si="122"/>
        <v>5.1968735987345767</v>
      </c>
      <c r="L710" s="63">
        <f t="shared" si="123"/>
        <v>3.0581039755351681E-2</v>
      </c>
      <c r="M710" s="63">
        <f t="shared" si="124"/>
        <v>1.307799443468876E-2</v>
      </c>
      <c r="N710" s="63">
        <f t="shared" si="125"/>
        <v>1.727709556106765E-2</v>
      </c>
      <c r="O710" s="62">
        <f t="shared" si="126"/>
        <v>5.2648382827366085</v>
      </c>
      <c r="P710" s="62">
        <f t="shared" si="127"/>
        <v>0.15622665527408319</v>
      </c>
      <c r="Q710" s="62">
        <f t="shared" si="128"/>
        <v>-6.7964684002031817E-2</v>
      </c>
      <c r="R710" s="63">
        <f t="shared" si="129"/>
        <v>3.0581039755351654E-2</v>
      </c>
      <c r="S710" s="63">
        <f t="shared" si="130"/>
        <v>-1.3303944194284004E-2</v>
      </c>
      <c r="T710" s="63">
        <f t="shared" si="131"/>
        <v>1.727709556106765E-2</v>
      </c>
    </row>
    <row r="711" spans="1:20" x14ac:dyDescent="0.3">
      <c r="A711" s="18" t="s">
        <v>222</v>
      </c>
      <c r="B711" s="18" t="s">
        <v>223</v>
      </c>
      <c r="C711" s="18" t="s">
        <v>206</v>
      </c>
      <c r="D711" s="18" t="s">
        <v>203</v>
      </c>
      <c r="E711" s="61">
        <v>2016</v>
      </c>
      <c r="F711" s="62">
        <v>6694000000</v>
      </c>
      <c r="G711" s="62">
        <v>7702000000</v>
      </c>
      <c r="H711" s="62">
        <v>1242989279</v>
      </c>
      <c r="I711" s="62">
        <v>1244469997</v>
      </c>
      <c r="J711" s="62">
        <f t="shared" si="121"/>
        <v>5.3854044544820248</v>
      </c>
      <c r="K711" s="62">
        <f t="shared" si="122"/>
        <v>6.1889800626507192</v>
      </c>
      <c r="L711" s="63">
        <f t="shared" si="123"/>
        <v>0.15058261129369585</v>
      </c>
      <c r="M711" s="63">
        <f t="shared" si="124"/>
        <v>1.191255648794699E-3</v>
      </c>
      <c r="N711" s="63">
        <f t="shared" si="125"/>
        <v>0.14921360409614459</v>
      </c>
      <c r="O711" s="62">
        <f t="shared" si="126"/>
        <v>6.196352720110629</v>
      </c>
      <c r="P711" s="62">
        <f t="shared" si="127"/>
        <v>0.81094826562860423</v>
      </c>
      <c r="Q711" s="62">
        <f t="shared" si="128"/>
        <v>-7.3726574599097816E-3</v>
      </c>
      <c r="R711" s="63">
        <f t="shared" si="129"/>
        <v>0.15058261129369574</v>
      </c>
      <c r="S711" s="63">
        <f t="shared" si="130"/>
        <v>-1.369007197551125E-3</v>
      </c>
      <c r="T711" s="63">
        <f t="shared" si="131"/>
        <v>0.14921360409614462</v>
      </c>
    </row>
    <row r="712" spans="1:20" x14ac:dyDescent="0.3">
      <c r="A712" s="18" t="s">
        <v>222</v>
      </c>
      <c r="B712" s="18" t="s">
        <v>223</v>
      </c>
      <c r="C712" s="18" t="s">
        <v>206</v>
      </c>
      <c r="D712" s="18" t="s">
        <v>203</v>
      </c>
      <c r="E712" s="61">
        <v>2017</v>
      </c>
      <c r="F712" s="62">
        <v>7702000000</v>
      </c>
      <c r="G712" s="62">
        <v>7759000000</v>
      </c>
      <c r="H712" s="62">
        <v>1244469997</v>
      </c>
      <c r="I712" s="62">
        <v>1246386807</v>
      </c>
      <c r="J712" s="62">
        <f t="shared" si="121"/>
        <v>6.1889800626507192</v>
      </c>
      <c r="K712" s="62">
        <f t="shared" si="122"/>
        <v>6.2251942626668066</v>
      </c>
      <c r="L712" s="63">
        <f t="shared" si="123"/>
        <v>7.4006751493118673E-3</v>
      </c>
      <c r="M712" s="63">
        <f t="shared" si="124"/>
        <v>1.540262123330242E-3</v>
      </c>
      <c r="N712" s="63">
        <f t="shared" si="125"/>
        <v>5.8514003356761532E-3</v>
      </c>
      <c r="O712" s="62">
        <f t="shared" si="126"/>
        <v>6.2347826935999651</v>
      </c>
      <c r="P712" s="62">
        <f t="shared" si="127"/>
        <v>4.5802630949245859E-2</v>
      </c>
      <c r="Q712" s="62">
        <f t="shared" si="128"/>
        <v>-9.5884309331584205E-3</v>
      </c>
      <c r="R712" s="63">
        <f t="shared" si="129"/>
        <v>7.4006751493118804E-3</v>
      </c>
      <c r="S712" s="63">
        <f t="shared" si="130"/>
        <v>-1.5492748136357265E-3</v>
      </c>
      <c r="T712" s="63">
        <f t="shared" si="131"/>
        <v>5.8514003356761541E-3</v>
      </c>
    </row>
    <row r="713" spans="1:20" x14ac:dyDescent="0.3">
      <c r="A713" s="18" t="s">
        <v>222</v>
      </c>
      <c r="B713" s="18" t="s">
        <v>223</v>
      </c>
      <c r="C713" s="18" t="s">
        <v>206</v>
      </c>
      <c r="D713" s="18" t="s">
        <v>203</v>
      </c>
      <c r="E713" s="61">
        <v>2018</v>
      </c>
      <c r="F713" s="62">
        <v>7759000000</v>
      </c>
      <c r="G713" s="62">
        <v>7526000000</v>
      </c>
      <c r="H713" s="62">
        <v>1246386807</v>
      </c>
      <c r="I713" s="62">
        <v>1248334552</v>
      </c>
      <c r="J713" s="62">
        <f t="shared" si="121"/>
        <v>6.2251942626668066</v>
      </c>
      <c r="K713" s="62">
        <f t="shared" si="122"/>
        <v>6.0288325657111184</v>
      </c>
      <c r="L713" s="63">
        <f t="shared" si="123"/>
        <v>-3.0029642995231344E-2</v>
      </c>
      <c r="M713" s="63">
        <f t="shared" si="124"/>
        <v>1.5627131072480937E-3</v>
      </c>
      <c r="N713" s="63">
        <f t="shared" si="125"/>
        <v>-3.1543063343949213E-2</v>
      </c>
      <c r="O713" s="62">
        <f t="shared" si="126"/>
        <v>6.0382539013829595</v>
      </c>
      <c r="P713" s="62">
        <f t="shared" si="127"/>
        <v>-0.18694036128384717</v>
      </c>
      <c r="Q713" s="62">
        <f t="shared" si="128"/>
        <v>-9.4213356718411134E-3</v>
      </c>
      <c r="R713" s="63">
        <f t="shared" si="129"/>
        <v>-3.0029642995231431E-2</v>
      </c>
      <c r="S713" s="63">
        <f t="shared" si="130"/>
        <v>-1.5134203487177787E-3</v>
      </c>
      <c r="T713" s="63">
        <f t="shared" si="131"/>
        <v>-3.1543063343949213E-2</v>
      </c>
    </row>
    <row r="714" spans="1:20" x14ac:dyDescent="0.3">
      <c r="A714" s="18" t="s">
        <v>222</v>
      </c>
      <c r="B714" s="18" t="s">
        <v>223</v>
      </c>
      <c r="C714" s="18" t="s">
        <v>206</v>
      </c>
      <c r="D714" s="18" t="s">
        <v>203</v>
      </c>
      <c r="E714" s="61">
        <v>2019</v>
      </c>
      <c r="F714" s="62">
        <v>7526000000</v>
      </c>
      <c r="G714" s="62">
        <v>8173000000</v>
      </c>
      <c r="H714" s="62">
        <v>1248334552</v>
      </c>
      <c r="I714" s="62">
        <v>1247993812</v>
      </c>
      <c r="J714" s="62">
        <f t="shared" si="121"/>
        <v>6.0288325657111184</v>
      </c>
      <c r="K714" s="62">
        <f t="shared" si="122"/>
        <v>6.5489106768103111</v>
      </c>
      <c r="L714" s="63">
        <f t="shared" si="123"/>
        <v>8.5968642040924789E-2</v>
      </c>
      <c r="M714" s="63">
        <f t="shared" si="124"/>
        <v>-2.7295567478612896E-4</v>
      </c>
      <c r="N714" s="63">
        <f t="shared" si="125"/>
        <v>8.6265144276377506E-2</v>
      </c>
      <c r="O714" s="62">
        <f t="shared" si="126"/>
        <v>6.547123114477408</v>
      </c>
      <c r="P714" s="62">
        <f t="shared" si="127"/>
        <v>0.51829054876628966</v>
      </c>
      <c r="Q714" s="62">
        <f t="shared" si="128"/>
        <v>1.7875623329031143E-3</v>
      </c>
      <c r="R714" s="63">
        <f t="shared" si="129"/>
        <v>8.5968642040924845E-2</v>
      </c>
      <c r="S714" s="63">
        <f t="shared" si="130"/>
        <v>2.9650223545265534E-4</v>
      </c>
      <c r="T714" s="63">
        <f t="shared" si="131"/>
        <v>8.6265144276377506E-2</v>
      </c>
    </row>
    <row r="715" spans="1:20" x14ac:dyDescent="0.3">
      <c r="A715" s="18" t="s">
        <v>222</v>
      </c>
      <c r="B715" s="18" t="s">
        <v>223</v>
      </c>
      <c r="C715" s="18" t="s">
        <v>206</v>
      </c>
      <c r="D715" s="18" t="s">
        <v>203</v>
      </c>
      <c r="E715" s="61">
        <v>2020</v>
      </c>
      <c r="F715" s="62">
        <v>8173000000</v>
      </c>
      <c r="G715" s="62">
        <v>7067000000</v>
      </c>
      <c r="H715" s="62">
        <v>1247993812</v>
      </c>
      <c r="I715" s="62">
        <v>1247821717</v>
      </c>
      <c r="J715" s="62">
        <f t="shared" si="121"/>
        <v>6.5489106768103111</v>
      </c>
      <c r="K715" s="62">
        <f t="shared" si="122"/>
        <v>5.6634693111371774</v>
      </c>
      <c r="L715" s="63">
        <f t="shared" si="123"/>
        <v>-0.13532362657530894</v>
      </c>
      <c r="M715" s="63">
        <f t="shared" si="124"/>
        <v>-1.3789731835625479E-4</v>
      </c>
      <c r="N715" s="63">
        <f t="shared" si="125"/>
        <v>-0.13520437357749909</v>
      </c>
      <c r="O715" s="62">
        <f t="shared" si="126"/>
        <v>5.662688333906579</v>
      </c>
      <c r="P715" s="62">
        <f t="shared" si="127"/>
        <v>-0.88622234290373214</v>
      </c>
      <c r="Q715" s="62">
        <f t="shared" si="128"/>
        <v>7.8097723059844526E-4</v>
      </c>
      <c r="R715" s="63">
        <f t="shared" si="129"/>
        <v>-0.13532362657530891</v>
      </c>
      <c r="S715" s="63">
        <f t="shared" si="130"/>
        <v>1.1925299780983197E-4</v>
      </c>
      <c r="T715" s="63">
        <f t="shared" si="131"/>
        <v>-0.13520437357749909</v>
      </c>
    </row>
    <row r="716" spans="1:20" x14ac:dyDescent="0.3">
      <c r="A716" s="18" t="s">
        <v>222</v>
      </c>
      <c r="B716" s="18" t="s">
        <v>223</v>
      </c>
      <c r="C716" s="18" t="s">
        <v>206</v>
      </c>
      <c r="D716" s="18" t="s">
        <v>203</v>
      </c>
      <c r="E716" s="61">
        <v>2021</v>
      </c>
      <c r="F716" s="62">
        <v>7067000000</v>
      </c>
      <c r="G716" s="62">
        <v>9488000000</v>
      </c>
      <c r="H716" s="62">
        <v>1247821717</v>
      </c>
      <c r="I716" s="62">
        <v>1247014704</v>
      </c>
      <c r="J716" s="62">
        <f t="shared" si="121"/>
        <v>5.6634693111371774</v>
      </c>
      <c r="K716" s="62">
        <f t="shared" si="122"/>
        <v>7.6085710694234123</v>
      </c>
      <c r="L716" s="63">
        <f t="shared" si="123"/>
        <v>0.34257818027451536</v>
      </c>
      <c r="M716" s="63">
        <f t="shared" si="124"/>
        <v>-6.4673742170493094E-4</v>
      </c>
      <c r="N716" s="63">
        <f t="shared" si="125"/>
        <v>0.34344703774790558</v>
      </c>
      <c r="O716" s="62">
        <f t="shared" si="126"/>
        <v>7.6036503217871143</v>
      </c>
      <c r="P716" s="62">
        <f t="shared" si="127"/>
        <v>1.9401810106499369</v>
      </c>
      <c r="Q716" s="62">
        <f t="shared" si="128"/>
        <v>4.9207476362980174E-3</v>
      </c>
      <c r="R716" s="63">
        <f t="shared" si="129"/>
        <v>0.34257818027451531</v>
      </c>
      <c r="S716" s="63">
        <f t="shared" si="130"/>
        <v>8.6885747339027642E-4</v>
      </c>
      <c r="T716" s="63">
        <f t="shared" si="131"/>
        <v>0.34344703774790558</v>
      </c>
    </row>
    <row r="717" spans="1:20" x14ac:dyDescent="0.3">
      <c r="A717" s="18" t="s">
        <v>222</v>
      </c>
      <c r="B717" s="18" t="s">
        <v>223</v>
      </c>
      <c r="C717" s="18" t="s">
        <v>206</v>
      </c>
      <c r="D717" s="18" t="s">
        <v>203</v>
      </c>
      <c r="E717" s="61">
        <v>2022</v>
      </c>
      <c r="F717" s="62">
        <v>9488000000</v>
      </c>
      <c r="G717" s="62">
        <v>9848000000</v>
      </c>
      <c r="H717" s="62">
        <v>1247014704</v>
      </c>
      <c r="I717" s="62">
        <v>1232991607</v>
      </c>
      <c r="J717" s="62">
        <f t="shared" si="121"/>
        <v>7.6085710694234123</v>
      </c>
      <c r="K717" s="62">
        <f t="shared" si="122"/>
        <v>7.9870778877086064</v>
      </c>
      <c r="L717" s="63">
        <f t="shared" si="123"/>
        <v>3.7942664418212479E-2</v>
      </c>
      <c r="M717" s="63">
        <f t="shared" si="124"/>
        <v>-1.1245334120775531E-2</v>
      </c>
      <c r="N717" s="63">
        <f t="shared" si="125"/>
        <v>4.9747424954246736E-2</v>
      </c>
      <c r="O717" s="62">
        <f t="shared" si="126"/>
        <v>7.8972605282126649</v>
      </c>
      <c r="P717" s="62">
        <f t="shared" si="127"/>
        <v>0.28868945878925256</v>
      </c>
      <c r="Q717" s="62">
        <f t="shared" si="128"/>
        <v>8.9817359495941496E-2</v>
      </c>
      <c r="R717" s="63">
        <f t="shared" si="129"/>
        <v>3.7942664418212479E-2</v>
      </c>
      <c r="S717" s="63">
        <f t="shared" si="130"/>
        <v>1.1804760536034261E-2</v>
      </c>
      <c r="T717" s="63">
        <f t="shared" si="131"/>
        <v>4.9747424954246743E-2</v>
      </c>
    </row>
    <row r="718" spans="1:20" x14ac:dyDescent="0.3">
      <c r="A718" s="18" t="s">
        <v>222</v>
      </c>
      <c r="B718" s="18" t="s">
        <v>223</v>
      </c>
      <c r="C718" s="18" t="s">
        <v>206</v>
      </c>
      <c r="D718" s="18" t="s">
        <v>203</v>
      </c>
      <c r="E718" s="61">
        <v>2023</v>
      </c>
      <c r="F718" s="62">
        <v>9848000000</v>
      </c>
      <c r="G718" s="62">
        <v>10975000000</v>
      </c>
      <c r="H718" s="62">
        <v>1232991607</v>
      </c>
      <c r="I718" s="62">
        <v>1793300946</v>
      </c>
      <c r="J718" s="62">
        <f t="shared" si="121"/>
        <v>7.9870778877086064</v>
      </c>
      <c r="K718" s="62">
        <f t="shared" si="122"/>
        <v>6.1199990021083721</v>
      </c>
      <c r="L718" s="63">
        <f t="shared" si="123"/>
        <v>0.11443948009748173</v>
      </c>
      <c r="M718" s="63">
        <f t="shared" si="124"/>
        <v>0.45443078105234824</v>
      </c>
      <c r="N718" s="63">
        <f t="shared" si="125"/>
        <v>-0.2337624487766046</v>
      </c>
      <c r="O718" s="62">
        <f t="shared" si="126"/>
        <v>8.9011149286760709</v>
      </c>
      <c r="P718" s="62">
        <f t="shared" si="127"/>
        <v>0.91403704096746452</v>
      </c>
      <c r="Q718" s="62">
        <f t="shared" si="128"/>
        <v>-2.7811159265676988</v>
      </c>
      <c r="R718" s="63">
        <f t="shared" si="129"/>
        <v>0.11443948009748162</v>
      </c>
      <c r="S718" s="63">
        <f t="shared" si="130"/>
        <v>-0.34820192887408619</v>
      </c>
      <c r="T718" s="63">
        <f t="shared" si="131"/>
        <v>-0.23376244877660457</v>
      </c>
    </row>
    <row r="719" spans="1:20" x14ac:dyDescent="0.3">
      <c r="A719" s="18" t="s">
        <v>222</v>
      </c>
      <c r="B719" s="18" t="s">
        <v>223</v>
      </c>
      <c r="C719" s="18" t="s">
        <v>206</v>
      </c>
      <c r="D719" s="18" t="s">
        <v>203</v>
      </c>
      <c r="E719" s="61">
        <v>2024</v>
      </c>
      <c r="F719" s="62">
        <v>10975000000</v>
      </c>
      <c r="G719" s="62">
        <v>11688000000</v>
      </c>
      <c r="H719" s="62">
        <v>1793300946</v>
      </c>
      <c r="I719" s="62">
        <v>1133302000</v>
      </c>
      <c r="J719" s="62">
        <f t="shared" si="121"/>
        <v>6.1199990021083721</v>
      </c>
      <c r="K719" s="62">
        <f t="shared" si="122"/>
        <v>10.313226306844953</v>
      </c>
      <c r="L719" s="63">
        <f t="shared" si="123"/>
        <v>6.4965831435079724E-2</v>
      </c>
      <c r="M719" s="63">
        <f t="shared" si="124"/>
        <v>-0.36803579871640796</v>
      </c>
      <c r="N719" s="63">
        <f t="shared" si="125"/>
        <v>0.68516797197058232</v>
      </c>
      <c r="O719" s="62">
        <f t="shared" si="126"/>
        <v>6.5175898256622009</v>
      </c>
      <c r="P719" s="62">
        <f t="shared" si="127"/>
        <v>0.3975908235538288</v>
      </c>
      <c r="Q719" s="62">
        <f t="shared" si="128"/>
        <v>3.7956364811827523</v>
      </c>
      <c r="R719" s="63">
        <f t="shared" si="129"/>
        <v>6.4965831435079752E-2</v>
      </c>
      <c r="S719" s="63">
        <f t="shared" si="130"/>
        <v>0.6202021405355026</v>
      </c>
      <c r="T719" s="63">
        <f t="shared" si="131"/>
        <v>0.68516797197058232</v>
      </c>
    </row>
    <row r="720" spans="1:20" x14ac:dyDescent="0.3">
      <c r="A720" s="18" t="s">
        <v>224</v>
      </c>
      <c r="B720" s="18" t="s">
        <v>225</v>
      </c>
      <c r="C720" s="18" t="s">
        <v>206</v>
      </c>
      <c r="D720" s="18" t="s">
        <v>203</v>
      </c>
      <c r="E720" s="61">
        <v>2016</v>
      </c>
      <c r="F720" s="62">
        <v>5617000000</v>
      </c>
      <c r="G720" s="62">
        <v>5829000000</v>
      </c>
      <c r="H720" s="62">
        <v>2429000000</v>
      </c>
      <c r="I720" s="62">
        <v>2416000000</v>
      </c>
      <c r="J720" s="62">
        <f t="shared" si="121"/>
        <v>2.3124742692466036</v>
      </c>
      <c r="K720" s="62">
        <f t="shared" si="122"/>
        <v>2.4126655629139071</v>
      </c>
      <c r="L720" s="63">
        <f t="shared" si="123"/>
        <v>3.7742567206693965E-2</v>
      </c>
      <c r="M720" s="63">
        <f t="shared" si="124"/>
        <v>-5.3519967064635651E-3</v>
      </c>
      <c r="N720" s="63">
        <f t="shared" si="125"/>
        <v>4.332644691434577E-2</v>
      </c>
      <c r="O720" s="62">
        <f t="shared" si="126"/>
        <v>2.3997529847673942</v>
      </c>
      <c r="P720" s="62">
        <f t="shared" si="127"/>
        <v>8.7278715520790584E-2</v>
      </c>
      <c r="Q720" s="62">
        <f t="shared" si="128"/>
        <v>1.2912578146512921E-2</v>
      </c>
      <c r="R720" s="63">
        <f t="shared" si="129"/>
        <v>3.7742567206694021E-2</v>
      </c>
      <c r="S720" s="63">
        <f t="shared" si="130"/>
        <v>5.5838797076517505E-3</v>
      </c>
      <c r="T720" s="63">
        <f t="shared" si="131"/>
        <v>4.332644691434577E-2</v>
      </c>
    </row>
    <row r="721" spans="1:20" x14ac:dyDescent="0.3">
      <c r="A721" s="18" t="s">
        <v>224</v>
      </c>
      <c r="B721" s="18" t="s">
        <v>225</v>
      </c>
      <c r="C721" s="18" t="s">
        <v>206</v>
      </c>
      <c r="D721" s="18" t="s">
        <v>203</v>
      </c>
      <c r="E721" s="61">
        <v>2017</v>
      </c>
      <c r="F721" s="62">
        <v>5829000000</v>
      </c>
      <c r="G721" s="62">
        <v>6209000000</v>
      </c>
      <c r="H721" s="62">
        <v>2416000000</v>
      </c>
      <c r="I721" s="62">
        <v>2395000000</v>
      </c>
      <c r="J721" s="62">
        <f t="shared" si="121"/>
        <v>2.4126655629139071</v>
      </c>
      <c r="K721" s="62">
        <f t="shared" si="122"/>
        <v>2.5924843423799584</v>
      </c>
      <c r="L721" s="63">
        <f t="shared" si="123"/>
        <v>6.5191284954537659E-2</v>
      </c>
      <c r="M721" s="63">
        <f t="shared" si="124"/>
        <v>-8.6920529801324496E-3</v>
      </c>
      <c r="N721" s="63">
        <f t="shared" si="125"/>
        <v>7.4531166785036879E-2</v>
      </c>
      <c r="O721" s="62">
        <f t="shared" si="126"/>
        <v>2.5699503311258276</v>
      </c>
      <c r="P721" s="62">
        <f t="shared" si="127"/>
        <v>0.1572847682119205</v>
      </c>
      <c r="Q721" s="62">
        <f t="shared" si="128"/>
        <v>2.2534011254130792E-2</v>
      </c>
      <c r="R721" s="63">
        <f t="shared" si="129"/>
        <v>6.5191284954537645E-2</v>
      </c>
      <c r="S721" s="63">
        <f t="shared" si="130"/>
        <v>9.3398818304992279E-3</v>
      </c>
      <c r="T721" s="63">
        <f t="shared" si="131"/>
        <v>7.4531166785036879E-2</v>
      </c>
    </row>
    <row r="722" spans="1:20" x14ac:dyDescent="0.3">
      <c r="A722" s="18" t="s">
        <v>224</v>
      </c>
      <c r="B722" s="18" t="s">
        <v>225</v>
      </c>
      <c r="C722" s="18" t="s">
        <v>206</v>
      </c>
      <c r="D722" s="18" t="s">
        <v>203</v>
      </c>
      <c r="E722" s="61">
        <v>2018</v>
      </c>
      <c r="F722" s="62">
        <v>6209000000</v>
      </c>
      <c r="G722" s="62">
        <v>2140000000</v>
      </c>
      <c r="H722" s="62">
        <v>2395000000</v>
      </c>
      <c r="I722" s="62">
        <v>2383000000</v>
      </c>
      <c r="J722" s="62">
        <f t="shared" si="121"/>
        <v>2.5924843423799584</v>
      </c>
      <c r="K722" s="62">
        <f t="shared" si="122"/>
        <v>0.89802769618128409</v>
      </c>
      <c r="L722" s="63">
        <f t="shared" si="123"/>
        <v>-0.65533902399742305</v>
      </c>
      <c r="M722" s="63">
        <f t="shared" si="124"/>
        <v>-5.0104384133611689E-3</v>
      </c>
      <c r="N722" s="63">
        <f t="shared" si="125"/>
        <v>-0.65360342529325577</v>
      </c>
      <c r="O722" s="62">
        <f t="shared" si="126"/>
        <v>0.89352818371607512</v>
      </c>
      <c r="P722" s="62">
        <f t="shared" si="127"/>
        <v>-1.6989561586638833</v>
      </c>
      <c r="Q722" s="62">
        <f t="shared" si="128"/>
        <v>4.4995124652089658E-3</v>
      </c>
      <c r="R722" s="63">
        <f t="shared" si="129"/>
        <v>-0.65533902399742316</v>
      </c>
      <c r="S722" s="63">
        <f t="shared" si="130"/>
        <v>1.7355987041674137E-3</v>
      </c>
      <c r="T722" s="63">
        <f t="shared" si="131"/>
        <v>-0.65360342529325577</v>
      </c>
    </row>
    <row r="723" spans="1:20" x14ac:dyDescent="0.3">
      <c r="A723" s="18" t="s">
        <v>224</v>
      </c>
      <c r="B723" s="18" t="s">
        <v>225</v>
      </c>
      <c r="C723" s="18" t="s">
        <v>206</v>
      </c>
      <c r="D723" s="18" t="s">
        <v>203</v>
      </c>
      <c r="E723" s="61">
        <v>2019</v>
      </c>
      <c r="F723" s="62">
        <v>2140000000</v>
      </c>
      <c r="G723" s="62">
        <v>3857000000</v>
      </c>
      <c r="H723" s="62">
        <v>2383000000</v>
      </c>
      <c r="I723" s="62">
        <v>2383000000</v>
      </c>
      <c r="J723" s="62">
        <f t="shared" si="121"/>
        <v>0.89802769618128409</v>
      </c>
      <c r="K723" s="62">
        <f t="shared" si="122"/>
        <v>1.6185480486781367</v>
      </c>
      <c r="L723" s="63">
        <f t="shared" si="123"/>
        <v>0.8023364485981308</v>
      </c>
      <c r="M723" s="63">
        <f t="shared" si="124"/>
        <v>0</v>
      </c>
      <c r="N723" s="63">
        <f t="shared" si="125"/>
        <v>0.8023364485981308</v>
      </c>
      <c r="O723" s="62">
        <f t="shared" si="126"/>
        <v>1.6185480486781367</v>
      </c>
      <c r="P723" s="62">
        <f t="shared" si="127"/>
        <v>0.72052035249685265</v>
      </c>
      <c r="Q723" s="62">
        <f t="shared" si="128"/>
        <v>0</v>
      </c>
      <c r="R723" s="63">
        <f t="shared" si="129"/>
        <v>0.8023364485981308</v>
      </c>
      <c r="S723" s="63">
        <f t="shared" si="130"/>
        <v>0</v>
      </c>
      <c r="T723" s="63">
        <f t="shared" si="131"/>
        <v>0.8023364485981308</v>
      </c>
    </row>
    <row r="724" spans="1:20" x14ac:dyDescent="0.3">
      <c r="A724" s="18" t="s">
        <v>224</v>
      </c>
      <c r="B724" s="18" t="s">
        <v>225</v>
      </c>
      <c r="C724" s="18" t="s">
        <v>206</v>
      </c>
      <c r="D724" s="18" t="s">
        <v>203</v>
      </c>
      <c r="E724" s="61">
        <v>2020</v>
      </c>
      <c r="F724" s="62">
        <v>3857000000</v>
      </c>
      <c r="G724" s="62">
        <v>3164000000</v>
      </c>
      <c r="H724" s="62">
        <v>2383000000</v>
      </c>
      <c r="I724" s="62">
        <v>2381000000</v>
      </c>
      <c r="J724" s="62">
        <f t="shared" si="121"/>
        <v>1.6185480486781367</v>
      </c>
      <c r="K724" s="62">
        <f t="shared" si="122"/>
        <v>1.3288534229315414</v>
      </c>
      <c r="L724" s="63">
        <f t="shared" si="123"/>
        <v>-0.17967332123411978</v>
      </c>
      <c r="M724" s="63">
        <f t="shared" si="124"/>
        <v>-8.3927822073017204E-4</v>
      </c>
      <c r="N724" s="63">
        <f t="shared" si="125"/>
        <v>-0.17898426060516895</v>
      </c>
      <c r="O724" s="62">
        <f t="shared" si="126"/>
        <v>1.3277381451951322</v>
      </c>
      <c r="P724" s="62">
        <f t="shared" si="127"/>
        <v>-0.29080990348300451</v>
      </c>
      <c r="Q724" s="62">
        <f t="shared" si="128"/>
        <v>1.1152777364091815E-3</v>
      </c>
      <c r="R724" s="63">
        <f t="shared" si="129"/>
        <v>-0.17967332123411972</v>
      </c>
      <c r="S724" s="63">
        <f t="shared" si="130"/>
        <v>6.8906062895075955E-4</v>
      </c>
      <c r="T724" s="63">
        <f t="shared" si="131"/>
        <v>-0.17898426060516895</v>
      </c>
    </row>
    <row r="725" spans="1:20" x14ac:dyDescent="0.3">
      <c r="A725" s="18" t="s">
        <v>224</v>
      </c>
      <c r="B725" s="18" t="s">
        <v>225</v>
      </c>
      <c r="C725" s="18" t="s">
        <v>206</v>
      </c>
      <c r="D725" s="18" t="s">
        <v>203</v>
      </c>
      <c r="E725" s="61">
        <v>2021</v>
      </c>
      <c r="F725" s="62">
        <v>3164000000</v>
      </c>
      <c r="G725" s="62">
        <v>7294000000</v>
      </c>
      <c r="H725" s="62">
        <v>2381000000</v>
      </c>
      <c r="I725" s="62">
        <v>2380000000</v>
      </c>
      <c r="J725" s="62">
        <f t="shared" si="121"/>
        <v>1.3288534229315414</v>
      </c>
      <c r="K725" s="62">
        <f t="shared" si="122"/>
        <v>3.0647058823529414</v>
      </c>
      <c r="L725" s="63">
        <f t="shared" si="123"/>
        <v>1.3053097345132743</v>
      </c>
      <c r="M725" s="63">
        <f t="shared" si="124"/>
        <v>-4.1999160016799666E-4</v>
      </c>
      <c r="N725" s="63">
        <f t="shared" si="125"/>
        <v>1.3062783520487842</v>
      </c>
      <c r="O725" s="62">
        <f t="shared" si="126"/>
        <v>3.0634187316253674</v>
      </c>
      <c r="P725" s="62">
        <f t="shared" si="127"/>
        <v>1.734565308693826</v>
      </c>
      <c r="Q725" s="62">
        <f t="shared" si="128"/>
        <v>1.2871507275740157E-3</v>
      </c>
      <c r="R725" s="63">
        <f t="shared" si="129"/>
        <v>1.3053097345132743</v>
      </c>
      <c r="S725" s="63">
        <f t="shared" si="130"/>
        <v>9.6861753551002886E-4</v>
      </c>
      <c r="T725" s="63">
        <f t="shared" si="131"/>
        <v>1.3062783520487842</v>
      </c>
    </row>
    <row r="726" spans="1:20" x14ac:dyDescent="0.3">
      <c r="A726" s="18" t="s">
        <v>224</v>
      </c>
      <c r="B726" s="18" t="s">
        <v>225</v>
      </c>
      <c r="C726" s="18" t="s">
        <v>206</v>
      </c>
      <c r="D726" s="18" t="s">
        <v>203</v>
      </c>
      <c r="E726" s="61">
        <v>2022</v>
      </c>
      <c r="F726" s="62">
        <v>7294000000</v>
      </c>
      <c r="G726" s="62">
        <v>6675000000</v>
      </c>
      <c r="H726" s="62">
        <v>2380000000</v>
      </c>
      <c r="I726" s="62">
        <v>2290000000</v>
      </c>
      <c r="J726" s="62">
        <f t="shared" si="121"/>
        <v>3.0647058823529414</v>
      </c>
      <c r="K726" s="62">
        <f t="shared" si="122"/>
        <v>2.9148471615720526</v>
      </c>
      <c r="L726" s="63">
        <f t="shared" si="123"/>
        <v>-8.4864272004387162E-2</v>
      </c>
      <c r="M726" s="63">
        <f t="shared" si="124"/>
        <v>-3.7815126050420166E-2</v>
      </c>
      <c r="N726" s="63">
        <f t="shared" si="125"/>
        <v>-4.8898239026393654E-2</v>
      </c>
      <c r="O726" s="62">
        <f t="shared" si="126"/>
        <v>2.8046218487394956</v>
      </c>
      <c r="P726" s="62">
        <f t="shared" si="127"/>
        <v>-0.26008403361344579</v>
      </c>
      <c r="Q726" s="62">
        <f t="shared" si="128"/>
        <v>0.11022531283255699</v>
      </c>
      <c r="R726" s="63">
        <f t="shared" si="129"/>
        <v>-8.4864272004387301E-2</v>
      </c>
      <c r="S726" s="63">
        <f t="shared" si="130"/>
        <v>3.5966032977993639E-2</v>
      </c>
      <c r="T726" s="63">
        <f t="shared" si="131"/>
        <v>-4.8898239026393661E-2</v>
      </c>
    </row>
    <row r="727" spans="1:20" x14ac:dyDescent="0.3">
      <c r="A727" s="18" t="s">
        <v>224</v>
      </c>
      <c r="B727" s="18" t="s">
        <v>225</v>
      </c>
      <c r="C727" s="18" t="s">
        <v>206</v>
      </c>
      <c r="D727" s="18" t="s">
        <v>203</v>
      </c>
      <c r="E727" s="61">
        <v>2023</v>
      </c>
      <c r="F727" s="62">
        <v>6675000000</v>
      </c>
      <c r="G727" s="62">
        <v>7189000000</v>
      </c>
      <c r="H727" s="62">
        <v>2290000000</v>
      </c>
      <c r="I727" s="62">
        <v>2226204119</v>
      </c>
      <c r="J727" s="62">
        <f t="shared" si="121"/>
        <v>2.9148471615720526</v>
      </c>
      <c r="K727" s="62">
        <f t="shared" si="122"/>
        <v>3.2292636324962256</v>
      </c>
      <c r="L727" s="63">
        <f t="shared" si="123"/>
        <v>7.7003745318352065E-2</v>
      </c>
      <c r="M727" s="63">
        <f t="shared" si="124"/>
        <v>-2.7858463318777293E-2</v>
      </c>
      <c r="N727" s="63">
        <f t="shared" si="125"/>
        <v>0.10786722373278744</v>
      </c>
      <c r="O727" s="62">
        <f t="shared" si="126"/>
        <v>3.1393013100436682</v>
      </c>
      <c r="P727" s="62">
        <f t="shared" si="127"/>
        <v>0.2244541484716156</v>
      </c>
      <c r="Q727" s="62">
        <f t="shared" si="128"/>
        <v>8.9962322452557419E-2</v>
      </c>
      <c r="R727" s="63">
        <f t="shared" si="129"/>
        <v>7.700374531835201E-2</v>
      </c>
      <c r="S727" s="63">
        <f t="shared" si="130"/>
        <v>3.0863478414435427E-2</v>
      </c>
      <c r="T727" s="63">
        <f t="shared" si="131"/>
        <v>0.10786722373278744</v>
      </c>
    </row>
    <row r="728" spans="1:20" x14ac:dyDescent="0.3">
      <c r="A728" s="18" t="s">
        <v>224</v>
      </c>
      <c r="B728" s="18" t="s">
        <v>225</v>
      </c>
      <c r="C728" s="18" t="s">
        <v>206</v>
      </c>
      <c r="D728" s="18" t="s">
        <v>203</v>
      </c>
      <c r="E728" s="61">
        <v>2024</v>
      </c>
      <c r="F728" s="62">
        <v>7189000000</v>
      </c>
      <c r="G728" s="62">
        <v>7886000000</v>
      </c>
      <c r="H728" s="62">
        <v>2226204119</v>
      </c>
      <c r="I728" s="62">
        <v>2253142857</v>
      </c>
      <c r="J728" s="62">
        <f t="shared" si="121"/>
        <v>3.2292636324962256</v>
      </c>
      <c r="K728" s="62">
        <f t="shared" si="122"/>
        <v>3.5000000002219123</v>
      </c>
      <c r="L728" s="63">
        <f t="shared" si="123"/>
        <v>9.695367923216025E-2</v>
      </c>
      <c r="M728" s="63">
        <f t="shared" si="124"/>
        <v>1.2100749329356533E-2</v>
      </c>
      <c r="N728" s="63">
        <f t="shared" si="125"/>
        <v>8.3838422171932436E-2</v>
      </c>
      <c r="O728" s="62">
        <f t="shared" si="126"/>
        <v>3.5423526228773454</v>
      </c>
      <c r="P728" s="62">
        <f t="shared" si="127"/>
        <v>0.31308899038111981</v>
      </c>
      <c r="Q728" s="62">
        <f t="shared" si="128"/>
        <v>-4.2352622655433159E-2</v>
      </c>
      <c r="R728" s="63">
        <f t="shared" si="129"/>
        <v>9.6953679232160292E-2</v>
      </c>
      <c r="S728" s="63">
        <f t="shared" si="130"/>
        <v>-1.311525706022785E-2</v>
      </c>
      <c r="T728" s="63">
        <f t="shared" si="131"/>
        <v>8.3838422171932436E-2</v>
      </c>
    </row>
    <row r="729" spans="1:20" x14ac:dyDescent="0.3">
      <c r="A729" s="18" t="s">
        <v>226</v>
      </c>
      <c r="B729" s="18" t="s">
        <v>227</v>
      </c>
      <c r="C729" s="18" t="s">
        <v>206</v>
      </c>
      <c r="D729" s="18" t="s">
        <v>203</v>
      </c>
      <c r="E729" s="61">
        <v>2016</v>
      </c>
      <c r="F729" s="62">
        <v>972600000</v>
      </c>
      <c r="G729" s="62">
        <v>1100300000</v>
      </c>
      <c r="H729" s="62">
        <v>104395884</v>
      </c>
      <c r="I729" s="62">
        <v>104518900</v>
      </c>
      <c r="J729" s="62">
        <f t="shared" si="121"/>
        <v>9.3164592581063825</v>
      </c>
      <c r="K729" s="62">
        <f t="shared" si="122"/>
        <v>10.527282625439035</v>
      </c>
      <c r="L729" s="63">
        <f t="shared" si="123"/>
        <v>0.13129755295085338</v>
      </c>
      <c r="M729" s="63">
        <f t="shared" si="124"/>
        <v>1.1783606334517939E-3</v>
      </c>
      <c r="N729" s="63">
        <f t="shared" si="125"/>
        <v>0.1299660454457629</v>
      </c>
      <c r="O729" s="62">
        <f t="shared" si="126"/>
        <v>10.539687560862074</v>
      </c>
      <c r="P729" s="62">
        <f t="shared" si="127"/>
        <v>1.2232283027556914</v>
      </c>
      <c r="Q729" s="62">
        <f t="shared" si="128"/>
        <v>-1.2404935423038665E-2</v>
      </c>
      <c r="R729" s="63">
        <f t="shared" si="129"/>
        <v>0.13129755295085344</v>
      </c>
      <c r="S729" s="63">
        <f t="shared" si="130"/>
        <v>-1.3315075050905156E-3</v>
      </c>
      <c r="T729" s="63">
        <f t="shared" si="131"/>
        <v>0.12996604544576293</v>
      </c>
    </row>
    <row r="730" spans="1:20" x14ac:dyDescent="0.3">
      <c r="A730" s="18" t="s">
        <v>226</v>
      </c>
      <c r="B730" s="18" t="s">
        <v>227</v>
      </c>
      <c r="C730" s="18" t="s">
        <v>206</v>
      </c>
      <c r="D730" s="18" t="s">
        <v>203</v>
      </c>
      <c r="E730" s="61">
        <v>2017</v>
      </c>
      <c r="F730" s="62">
        <v>1100300000</v>
      </c>
      <c r="G730" s="62">
        <v>1221500000</v>
      </c>
      <c r="H730" s="62">
        <v>104518900</v>
      </c>
      <c r="I730" s="62">
        <v>104435755</v>
      </c>
      <c r="J730" s="62">
        <f t="shared" si="121"/>
        <v>10.527282625439035</v>
      </c>
      <c r="K730" s="62">
        <f t="shared" si="122"/>
        <v>11.696185851292022</v>
      </c>
      <c r="L730" s="63">
        <f t="shared" si="123"/>
        <v>0.11015177678814869</v>
      </c>
      <c r="M730" s="63">
        <f t="shared" si="124"/>
        <v>-7.9550205752261071E-4</v>
      </c>
      <c r="N730" s="63">
        <f t="shared" si="125"/>
        <v>0.11103560790021422</v>
      </c>
      <c r="O730" s="62">
        <f t="shared" si="126"/>
        <v>11.686881511382152</v>
      </c>
      <c r="P730" s="62">
        <f t="shared" si="127"/>
        <v>1.159598885943117</v>
      </c>
      <c r="Q730" s="62">
        <f t="shared" si="128"/>
        <v>9.3043399098693413E-3</v>
      </c>
      <c r="R730" s="63">
        <f t="shared" si="129"/>
        <v>0.11015177678814873</v>
      </c>
      <c r="S730" s="63">
        <f t="shared" si="130"/>
        <v>8.8383111206547557E-4</v>
      </c>
      <c r="T730" s="63">
        <f t="shared" si="131"/>
        <v>0.1110356079002142</v>
      </c>
    </row>
    <row r="731" spans="1:20" x14ac:dyDescent="0.3">
      <c r="A731" s="18" t="s">
        <v>226</v>
      </c>
      <c r="B731" s="18" t="s">
        <v>227</v>
      </c>
      <c r="C731" s="18" t="s">
        <v>206</v>
      </c>
      <c r="D731" s="18" t="s">
        <v>203</v>
      </c>
      <c r="E731" s="61">
        <v>2018</v>
      </c>
      <c r="F731" s="62">
        <v>1221500000</v>
      </c>
      <c r="G731" s="62">
        <v>1405500000</v>
      </c>
      <c r="H731" s="62">
        <v>104435755</v>
      </c>
      <c r="I731" s="62">
        <v>104227077</v>
      </c>
      <c r="J731" s="62">
        <f t="shared" si="121"/>
        <v>11.696185851292022</v>
      </c>
      <c r="K731" s="62">
        <f t="shared" si="122"/>
        <v>13.484979531758336</v>
      </c>
      <c r="L731" s="63">
        <f t="shared" si="123"/>
        <v>0.15063446582071224</v>
      </c>
      <c r="M731" s="63">
        <f t="shared" si="124"/>
        <v>-1.9981470905246963E-3</v>
      </c>
      <c r="N731" s="63">
        <f t="shared" si="125"/>
        <v>0.15293820594247098</v>
      </c>
      <c r="O731" s="62">
        <f t="shared" si="126"/>
        <v>13.458034559141169</v>
      </c>
      <c r="P731" s="62">
        <f t="shared" si="127"/>
        <v>1.7618487078491469</v>
      </c>
      <c r="Q731" s="62">
        <f t="shared" si="128"/>
        <v>2.6944972617167551E-2</v>
      </c>
      <c r="R731" s="63">
        <f t="shared" si="129"/>
        <v>0.1506344658207123</v>
      </c>
      <c r="S731" s="63">
        <f t="shared" si="130"/>
        <v>2.3037401217586729E-3</v>
      </c>
      <c r="T731" s="63">
        <f t="shared" si="131"/>
        <v>0.15293820594247098</v>
      </c>
    </row>
    <row r="732" spans="1:20" x14ac:dyDescent="0.3">
      <c r="A732" s="18" t="s">
        <v>226</v>
      </c>
      <c r="B732" s="18" t="s">
        <v>227</v>
      </c>
      <c r="C732" s="18" t="s">
        <v>206</v>
      </c>
      <c r="D732" s="18" t="s">
        <v>203</v>
      </c>
      <c r="E732" s="61">
        <v>2019</v>
      </c>
      <c r="F732" s="62">
        <v>1405500000</v>
      </c>
      <c r="G732" s="62">
        <v>1528200000</v>
      </c>
      <c r="H732" s="62">
        <v>104227077</v>
      </c>
      <c r="I732" s="62">
        <v>104233233</v>
      </c>
      <c r="J732" s="62">
        <f t="shared" si="121"/>
        <v>13.484979531758336</v>
      </c>
      <c r="K732" s="62">
        <f t="shared" si="122"/>
        <v>14.661350857264496</v>
      </c>
      <c r="L732" s="63">
        <f t="shared" si="123"/>
        <v>8.7299893276414089E-2</v>
      </c>
      <c r="M732" s="63">
        <f t="shared" si="124"/>
        <v>5.9063346849878558E-5</v>
      </c>
      <c r="N732" s="63">
        <f t="shared" si="125"/>
        <v>8.7235677498486403E-2</v>
      </c>
      <c r="O732" s="62">
        <f t="shared" si="126"/>
        <v>14.662216805715467</v>
      </c>
      <c r="P732" s="62">
        <f t="shared" si="127"/>
        <v>1.1772372739571306</v>
      </c>
      <c r="Q732" s="62">
        <f t="shared" si="128"/>
        <v>-8.6594845097032191E-4</v>
      </c>
      <c r="R732" s="63">
        <f t="shared" si="129"/>
        <v>8.7299893276414048E-2</v>
      </c>
      <c r="S732" s="63">
        <f t="shared" si="130"/>
        <v>-6.4215777927651707E-5</v>
      </c>
      <c r="T732" s="63">
        <f t="shared" si="131"/>
        <v>8.7235677498486403E-2</v>
      </c>
    </row>
    <row r="733" spans="1:20" x14ac:dyDescent="0.3">
      <c r="A733" s="18" t="s">
        <v>226</v>
      </c>
      <c r="B733" s="18" t="s">
        <v>227</v>
      </c>
      <c r="C733" s="18" t="s">
        <v>206</v>
      </c>
      <c r="D733" s="18" t="s">
        <v>203</v>
      </c>
      <c r="E733" s="61">
        <v>2020</v>
      </c>
      <c r="F733" s="62">
        <v>1528200000</v>
      </c>
      <c r="G733" s="62">
        <v>1385000000</v>
      </c>
      <c r="H733" s="62">
        <v>104233233</v>
      </c>
      <c r="I733" s="62">
        <v>104430772</v>
      </c>
      <c r="J733" s="62">
        <f t="shared" si="121"/>
        <v>14.661350857264496</v>
      </c>
      <c r="K733" s="62">
        <f t="shared" si="122"/>
        <v>13.262374427338333</v>
      </c>
      <c r="L733" s="63">
        <f t="shared" si="123"/>
        <v>-9.3705012432927628E-2</v>
      </c>
      <c r="M733" s="63">
        <f t="shared" si="124"/>
        <v>1.8951633208959373E-3</v>
      </c>
      <c r="N733" s="63">
        <f t="shared" si="125"/>
        <v>-9.5419340519566784E-2</v>
      </c>
      <c r="O733" s="62">
        <f t="shared" si="126"/>
        <v>13.287508792901013</v>
      </c>
      <c r="P733" s="62">
        <f t="shared" si="127"/>
        <v>-1.3738420643634832</v>
      </c>
      <c r="Q733" s="62">
        <f t="shared" si="128"/>
        <v>-2.5134365562680117E-2</v>
      </c>
      <c r="R733" s="63">
        <f t="shared" si="129"/>
        <v>-9.3705012432927587E-2</v>
      </c>
      <c r="S733" s="63">
        <f t="shared" si="130"/>
        <v>-1.7143280866391917E-3</v>
      </c>
      <c r="T733" s="63">
        <f t="shared" si="131"/>
        <v>-9.5419340519566784E-2</v>
      </c>
    </row>
    <row r="734" spans="1:20" x14ac:dyDescent="0.3">
      <c r="A734" s="18" t="s">
        <v>226</v>
      </c>
      <c r="B734" s="18" t="s">
        <v>227</v>
      </c>
      <c r="C734" s="18" t="s">
        <v>206</v>
      </c>
      <c r="D734" s="18" t="s">
        <v>203</v>
      </c>
      <c r="E734" s="61">
        <v>2021</v>
      </c>
      <c r="F734" s="62">
        <v>1385000000</v>
      </c>
      <c r="G734" s="62">
        <v>2445000000</v>
      </c>
      <c r="H734" s="62">
        <v>104430772</v>
      </c>
      <c r="I734" s="62">
        <v>104623330</v>
      </c>
      <c r="J734" s="62">
        <f t="shared" si="121"/>
        <v>13.262374427338333</v>
      </c>
      <c r="K734" s="62">
        <f t="shared" si="122"/>
        <v>23.369548646559043</v>
      </c>
      <c r="L734" s="63">
        <f t="shared" si="123"/>
        <v>0.76534296028880866</v>
      </c>
      <c r="M734" s="63">
        <f t="shared" si="124"/>
        <v>1.8438818014291803E-3</v>
      </c>
      <c r="N734" s="63">
        <f t="shared" si="125"/>
        <v>0.76209386747416308</v>
      </c>
      <c r="O734" s="62">
        <f t="shared" si="126"/>
        <v>23.412639332016045</v>
      </c>
      <c r="P734" s="62">
        <f t="shared" si="127"/>
        <v>10.150264904677712</v>
      </c>
      <c r="Q734" s="62">
        <f t="shared" si="128"/>
        <v>-4.3090685457002564E-2</v>
      </c>
      <c r="R734" s="63">
        <f t="shared" si="129"/>
        <v>0.76534296028880855</v>
      </c>
      <c r="S734" s="63">
        <f t="shared" si="130"/>
        <v>-3.2490928146454517E-3</v>
      </c>
      <c r="T734" s="63">
        <f t="shared" si="131"/>
        <v>0.76209386747416308</v>
      </c>
    </row>
    <row r="735" spans="1:20" x14ac:dyDescent="0.3">
      <c r="A735" s="18" t="s">
        <v>226</v>
      </c>
      <c r="B735" s="18" t="s">
        <v>227</v>
      </c>
      <c r="C735" s="18" t="s">
        <v>206</v>
      </c>
      <c r="D735" s="18" t="s">
        <v>203</v>
      </c>
      <c r="E735" s="61">
        <v>2022</v>
      </c>
      <c r="F735" s="62">
        <v>2445000000</v>
      </c>
      <c r="G735" s="62">
        <v>3367000000</v>
      </c>
      <c r="H735" s="62">
        <v>104623330</v>
      </c>
      <c r="I735" s="62">
        <v>104564729</v>
      </c>
      <c r="J735" s="62">
        <f t="shared" si="121"/>
        <v>23.369548646559043</v>
      </c>
      <c r="K735" s="62">
        <f t="shared" si="122"/>
        <v>32.20015039679393</v>
      </c>
      <c r="L735" s="63">
        <f t="shared" si="123"/>
        <v>0.37709611451942743</v>
      </c>
      <c r="M735" s="63">
        <f t="shared" si="124"/>
        <v>-5.6011407780654659E-4</v>
      </c>
      <c r="N735" s="63">
        <f t="shared" si="125"/>
        <v>0.37786787771509289</v>
      </c>
      <c r="O735" s="62">
        <f t="shared" si="126"/>
        <v>32.1821146392492</v>
      </c>
      <c r="P735" s="62">
        <f t="shared" si="127"/>
        <v>8.8125659926901569</v>
      </c>
      <c r="Q735" s="62">
        <f t="shared" si="128"/>
        <v>1.8035757544730302E-2</v>
      </c>
      <c r="R735" s="63">
        <f t="shared" si="129"/>
        <v>0.37709611451942732</v>
      </c>
      <c r="S735" s="63">
        <f t="shared" si="130"/>
        <v>7.7176319566556564E-4</v>
      </c>
      <c r="T735" s="63">
        <f t="shared" si="131"/>
        <v>0.37786787771509289</v>
      </c>
    </row>
    <row r="736" spans="1:20" x14ac:dyDescent="0.3">
      <c r="A736" s="18" t="s">
        <v>226</v>
      </c>
      <c r="B736" s="18" t="s">
        <v>227</v>
      </c>
      <c r="C736" s="18" t="s">
        <v>206</v>
      </c>
      <c r="D736" s="18" t="s">
        <v>203</v>
      </c>
      <c r="E736" s="61">
        <v>2023</v>
      </c>
      <c r="F736" s="62">
        <v>3367000000</v>
      </c>
      <c r="G736" s="62">
        <v>4311000000</v>
      </c>
      <c r="H736" s="62">
        <v>104564729</v>
      </c>
      <c r="I736" s="62">
        <v>104648079</v>
      </c>
      <c r="J736" s="62">
        <f t="shared" si="121"/>
        <v>32.20015039679393</v>
      </c>
      <c r="K736" s="62">
        <f t="shared" si="122"/>
        <v>41.195213913100112</v>
      </c>
      <c r="L736" s="63">
        <f t="shared" si="123"/>
        <v>0.28036828036828038</v>
      </c>
      <c r="M736" s="63">
        <f t="shared" si="124"/>
        <v>7.9711391017902417E-4</v>
      </c>
      <c r="N736" s="63">
        <f t="shared" si="125"/>
        <v>0.27934849388783578</v>
      </c>
      <c r="O736" s="62">
        <f t="shared" si="126"/>
        <v>41.228051191143045</v>
      </c>
      <c r="P736" s="62">
        <f t="shared" si="127"/>
        <v>9.0279007943491152</v>
      </c>
      <c r="Q736" s="62">
        <f t="shared" si="128"/>
        <v>-3.2837278042933349E-2</v>
      </c>
      <c r="R736" s="63">
        <f t="shared" si="129"/>
        <v>0.28036828036828038</v>
      </c>
      <c r="S736" s="63">
        <f t="shared" si="130"/>
        <v>-1.0197864804446025E-3</v>
      </c>
      <c r="T736" s="63">
        <f t="shared" si="131"/>
        <v>0.27934849388783578</v>
      </c>
    </row>
    <row r="737" spans="1:20" x14ac:dyDescent="0.3">
      <c r="A737" s="18" t="s">
        <v>226</v>
      </c>
      <c r="B737" s="18" t="s">
        <v>227</v>
      </c>
      <c r="C737" s="18" t="s">
        <v>206</v>
      </c>
      <c r="D737" s="18" t="s">
        <v>203</v>
      </c>
      <c r="E737" s="61">
        <v>2024</v>
      </c>
      <c r="F737" s="62">
        <v>4311000000</v>
      </c>
      <c r="G737" s="62">
        <v>4603000000</v>
      </c>
      <c r="H737" s="62">
        <v>104648079</v>
      </c>
      <c r="I737" s="62">
        <v>104780332</v>
      </c>
      <c r="J737" s="62">
        <f t="shared" si="121"/>
        <v>41.195213913100112</v>
      </c>
      <c r="K737" s="62">
        <f t="shared" si="122"/>
        <v>43.930000145447146</v>
      </c>
      <c r="L737" s="63">
        <f t="shared" si="123"/>
        <v>6.773370447691951E-2</v>
      </c>
      <c r="M737" s="63">
        <f t="shared" si="124"/>
        <v>1.2637881293549593E-3</v>
      </c>
      <c r="N737" s="63">
        <f t="shared" si="125"/>
        <v>6.6386018485447645E-2</v>
      </c>
      <c r="O737" s="62">
        <f t="shared" si="126"/>
        <v>43.98551835815352</v>
      </c>
      <c r="P737" s="62">
        <f t="shared" si="127"/>
        <v>2.7903044450534082</v>
      </c>
      <c r="Q737" s="62">
        <f t="shared" si="128"/>
        <v>-5.551821270637447E-2</v>
      </c>
      <c r="R737" s="63">
        <f t="shared" si="129"/>
        <v>6.7733704476919565E-2</v>
      </c>
      <c r="S737" s="63">
        <f t="shared" si="130"/>
        <v>-1.3476859914719275E-3</v>
      </c>
      <c r="T737" s="63">
        <f t="shared" si="131"/>
        <v>6.6386018485447632E-2</v>
      </c>
    </row>
    <row r="738" spans="1:20" x14ac:dyDescent="0.3">
      <c r="A738" s="18" t="s">
        <v>228</v>
      </c>
      <c r="B738" s="18" t="s">
        <v>229</v>
      </c>
      <c r="C738" s="18" t="s">
        <v>206</v>
      </c>
      <c r="D738" s="18" t="s">
        <v>203</v>
      </c>
      <c r="E738" s="61">
        <v>2016</v>
      </c>
      <c r="F738" s="62">
        <v>2046000000</v>
      </c>
      <c r="G738" s="62">
        <v>2505000000</v>
      </c>
      <c r="H738" s="62">
        <v>553979808</v>
      </c>
      <c r="I738" s="62">
        <v>554774808</v>
      </c>
      <c r="J738" s="62">
        <f t="shared" si="121"/>
        <v>3.6932754054458243</v>
      </c>
      <c r="K738" s="62">
        <f t="shared" si="122"/>
        <v>4.5153456211010941</v>
      </c>
      <c r="L738" s="63">
        <f t="shared" si="123"/>
        <v>0.22434017595307917</v>
      </c>
      <c r="M738" s="63">
        <f t="shared" si="124"/>
        <v>1.4350703554884801E-3</v>
      </c>
      <c r="N738" s="63">
        <f t="shared" si="125"/>
        <v>0.22258567948740221</v>
      </c>
      <c r="O738" s="62">
        <f t="shared" si="126"/>
        <v>4.5218254597467205</v>
      </c>
      <c r="P738" s="62">
        <f t="shared" si="127"/>
        <v>0.82855005430089612</v>
      </c>
      <c r="Q738" s="62">
        <f t="shared" si="128"/>
        <v>-6.4798386456264012E-3</v>
      </c>
      <c r="R738" s="63">
        <f t="shared" si="129"/>
        <v>0.2243401759530792</v>
      </c>
      <c r="S738" s="63">
        <f t="shared" si="130"/>
        <v>-1.7544964656769765E-3</v>
      </c>
      <c r="T738" s="63">
        <f t="shared" si="131"/>
        <v>0.22258567948740224</v>
      </c>
    </row>
    <row r="739" spans="1:20" x14ac:dyDescent="0.3">
      <c r="A739" s="18" t="s">
        <v>228</v>
      </c>
      <c r="B739" s="18" t="s">
        <v>229</v>
      </c>
      <c r="C739" s="18" t="s">
        <v>206</v>
      </c>
      <c r="D739" s="18" t="s">
        <v>203</v>
      </c>
      <c r="E739" s="61">
        <v>2017</v>
      </c>
      <c r="F739" s="62">
        <v>2505000000</v>
      </c>
      <c r="G739" s="62">
        <v>2747000000</v>
      </c>
      <c r="H739" s="62">
        <v>554774808</v>
      </c>
      <c r="I739" s="62">
        <v>554583515</v>
      </c>
      <c r="J739" s="62">
        <f t="shared" si="121"/>
        <v>4.5153456211010941</v>
      </c>
      <c r="K739" s="62">
        <f t="shared" si="122"/>
        <v>4.9532665968262686</v>
      </c>
      <c r="L739" s="63">
        <f t="shared" si="123"/>
        <v>9.6606786427145708E-2</v>
      </c>
      <c r="M739" s="63">
        <f t="shared" si="124"/>
        <v>-3.4481197999891876E-4</v>
      </c>
      <c r="N739" s="63">
        <f t="shared" si="125"/>
        <v>9.6985040010820894E-2</v>
      </c>
      <c r="O739" s="62">
        <f t="shared" si="126"/>
        <v>4.9515586511635545</v>
      </c>
      <c r="P739" s="62">
        <f t="shared" si="127"/>
        <v>0.43621303006246048</v>
      </c>
      <c r="Q739" s="62">
        <f t="shared" si="128"/>
        <v>1.7079456627140388E-3</v>
      </c>
      <c r="R739" s="63">
        <f t="shared" si="129"/>
        <v>9.6606786427145597E-2</v>
      </c>
      <c r="S739" s="63">
        <f t="shared" si="130"/>
        <v>3.7825358367529484E-4</v>
      </c>
      <c r="T739" s="63">
        <f t="shared" si="131"/>
        <v>9.6985040010820894E-2</v>
      </c>
    </row>
    <row r="740" spans="1:20" x14ac:dyDescent="0.3">
      <c r="A740" s="18" t="s">
        <v>228</v>
      </c>
      <c r="B740" s="18" t="s">
        <v>229</v>
      </c>
      <c r="C740" s="18" t="s">
        <v>206</v>
      </c>
      <c r="D740" s="18" t="s">
        <v>203</v>
      </c>
      <c r="E740" s="61">
        <v>2018</v>
      </c>
      <c r="F740" s="62">
        <v>2747000000</v>
      </c>
      <c r="G740" s="62">
        <v>2983000000</v>
      </c>
      <c r="H740" s="62">
        <v>554583515</v>
      </c>
      <c r="I740" s="62">
        <v>554776489</v>
      </c>
      <c r="J740" s="62">
        <f t="shared" si="121"/>
        <v>4.9532665968262686</v>
      </c>
      <c r="K740" s="62">
        <f t="shared" si="122"/>
        <v>5.3769401896914202</v>
      </c>
      <c r="L740" s="63">
        <f t="shared" si="123"/>
        <v>8.5911903895158348E-2</v>
      </c>
      <c r="M740" s="63">
        <f t="shared" si="124"/>
        <v>3.4796201975098378E-4</v>
      </c>
      <c r="N740" s="63">
        <f t="shared" si="125"/>
        <v>8.5534179229644958E-2</v>
      </c>
      <c r="O740" s="62">
        <f t="shared" si="126"/>
        <v>5.3788111606599056</v>
      </c>
      <c r="P740" s="62">
        <f t="shared" si="127"/>
        <v>0.42554456383363704</v>
      </c>
      <c r="Q740" s="62">
        <f t="shared" si="128"/>
        <v>-1.8709709684854303E-3</v>
      </c>
      <c r="R740" s="63">
        <f t="shared" si="129"/>
        <v>8.5911903895158473E-2</v>
      </c>
      <c r="S740" s="63">
        <f t="shared" si="130"/>
        <v>-3.7772466551350717E-4</v>
      </c>
      <c r="T740" s="63">
        <f t="shared" si="131"/>
        <v>8.5534179229644972E-2</v>
      </c>
    </row>
    <row r="741" spans="1:20" x14ac:dyDescent="0.3">
      <c r="A741" s="18" t="s">
        <v>228</v>
      </c>
      <c r="B741" s="18" t="s">
        <v>229</v>
      </c>
      <c r="C741" s="18" t="s">
        <v>206</v>
      </c>
      <c r="D741" s="18" t="s">
        <v>203</v>
      </c>
      <c r="E741" s="61">
        <v>2019</v>
      </c>
      <c r="F741" s="62">
        <v>2983000000</v>
      </c>
      <c r="G741" s="62">
        <v>3260000000</v>
      </c>
      <c r="H741" s="62">
        <v>554776489</v>
      </c>
      <c r="I741" s="62">
        <v>554542443</v>
      </c>
      <c r="J741" s="62">
        <f t="shared" si="121"/>
        <v>5.3769401896914202</v>
      </c>
      <c r="K741" s="62">
        <f t="shared" si="122"/>
        <v>5.8787204498971057</v>
      </c>
      <c r="L741" s="63">
        <f t="shared" si="123"/>
        <v>9.2859537378478046E-2</v>
      </c>
      <c r="M741" s="63">
        <f t="shared" si="124"/>
        <v>-4.2187440282819916E-4</v>
      </c>
      <c r="N741" s="63">
        <f t="shared" si="125"/>
        <v>9.3320781430243596E-2</v>
      </c>
      <c r="O741" s="62">
        <f t="shared" si="126"/>
        <v>5.8762403682179114</v>
      </c>
      <c r="P741" s="62">
        <f t="shared" si="127"/>
        <v>0.49930017852649122</v>
      </c>
      <c r="Q741" s="62">
        <f t="shared" si="128"/>
        <v>2.4800816791943348E-3</v>
      </c>
      <c r="R741" s="63">
        <f t="shared" si="129"/>
        <v>9.2859537378478033E-2</v>
      </c>
      <c r="S741" s="63">
        <f t="shared" si="130"/>
        <v>4.6124405176555726E-4</v>
      </c>
      <c r="T741" s="63">
        <f t="shared" si="131"/>
        <v>9.3320781430243596E-2</v>
      </c>
    </row>
    <row r="742" spans="1:20" x14ac:dyDescent="0.3">
      <c r="A742" s="18" t="s">
        <v>228</v>
      </c>
      <c r="B742" s="18" t="s">
        <v>229</v>
      </c>
      <c r="C742" s="18" t="s">
        <v>206</v>
      </c>
      <c r="D742" s="18" t="s">
        <v>203</v>
      </c>
      <c r="E742" s="61">
        <v>2020</v>
      </c>
      <c r="F742" s="62">
        <v>3260000000</v>
      </c>
      <c r="G742" s="62">
        <v>1242000000</v>
      </c>
      <c r="H742" s="62">
        <v>554542443</v>
      </c>
      <c r="I742" s="62">
        <v>557552014</v>
      </c>
      <c r="J742" s="62">
        <f t="shared" si="121"/>
        <v>5.8787204498971057</v>
      </c>
      <c r="K742" s="62">
        <f t="shared" si="122"/>
        <v>2.2275948589793813</v>
      </c>
      <c r="L742" s="63">
        <f t="shared" si="123"/>
        <v>-0.61901840490797544</v>
      </c>
      <c r="M742" s="63">
        <f t="shared" si="124"/>
        <v>5.4271247187476328E-3</v>
      </c>
      <c r="N742" s="63">
        <f t="shared" si="125"/>
        <v>-0.6210748787997955</v>
      </c>
      <c r="O742" s="62">
        <f t="shared" si="126"/>
        <v>2.2396842941019033</v>
      </c>
      <c r="P742" s="62">
        <f t="shared" si="127"/>
        <v>-3.6390361557952025</v>
      </c>
      <c r="Q742" s="62">
        <f t="shared" si="128"/>
        <v>-1.208943512252203E-2</v>
      </c>
      <c r="R742" s="63">
        <f t="shared" si="129"/>
        <v>-0.61901840490797544</v>
      </c>
      <c r="S742" s="63">
        <f t="shared" si="130"/>
        <v>-2.0564738918200523E-3</v>
      </c>
      <c r="T742" s="63">
        <f t="shared" si="131"/>
        <v>-0.6210748787997955</v>
      </c>
    </row>
    <row r="743" spans="1:20" x14ac:dyDescent="0.3">
      <c r="A743" s="18" t="s">
        <v>228</v>
      </c>
      <c r="B743" s="18" t="s">
        <v>229</v>
      </c>
      <c r="C743" s="18" t="s">
        <v>206</v>
      </c>
      <c r="D743" s="18" t="s">
        <v>203</v>
      </c>
      <c r="E743" s="61">
        <v>2021</v>
      </c>
      <c r="F743" s="62">
        <v>1242000000</v>
      </c>
      <c r="G743" s="62">
        <v>2597000000</v>
      </c>
      <c r="H743" s="62">
        <v>557552014</v>
      </c>
      <c r="I743" s="62">
        <v>569510302</v>
      </c>
      <c r="J743" s="62">
        <f t="shared" si="121"/>
        <v>2.2275948589793813</v>
      </c>
      <c r="K743" s="62">
        <f t="shared" si="122"/>
        <v>4.5600579846929614</v>
      </c>
      <c r="L743" s="63">
        <f t="shared" si="123"/>
        <v>1.0909822866344605</v>
      </c>
      <c r="M743" s="63">
        <f t="shared" si="124"/>
        <v>2.1447842891300181E-2</v>
      </c>
      <c r="N743" s="63">
        <f t="shared" si="125"/>
        <v>1.0470769028360241</v>
      </c>
      <c r="O743" s="62">
        <f t="shared" si="126"/>
        <v>4.6578613919238752</v>
      </c>
      <c r="P743" s="62">
        <f t="shared" si="127"/>
        <v>2.4302665329444939</v>
      </c>
      <c r="Q743" s="62">
        <f t="shared" si="128"/>
        <v>-9.7803407230913741E-2</v>
      </c>
      <c r="R743" s="63">
        <f t="shared" si="129"/>
        <v>1.0909822866344605</v>
      </c>
      <c r="S743" s="63">
        <f t="shared" si="130"/>
        <v>-4.390538379843649E-2</v>
      </c>
      <c r="T743" s="63">
        <f t="shared" si="131"/>
        <v>1.0470769028360241</v>
      </c>
    </row>
    <row r="744" spans="1:20" x14ac:dyDescent="0.3">
      <c r="A744" s="18" t="s">
        <v>228</v>
      </c>
      <c r="B744" s="18" t="s">
        <v>229</v>
      </c>
      <c r="C744" s="18" t="s">
        <v>206</v>
      </c>
      <c r="D744" s="18" t="s">
        <v>203</v>
      </c>
      <c r="E744" s="61">
        <v>2022</v>
      </c>
      <c r="F744" s="62">
        <v>2597000000</v>
      </c>
      <c r="G744" s="62">
        <v>4259000000</v>
      </c>
      <c r="H744" s="62">
        <v>569510302</v>
      </c>
      <c r="I744" s="62">
        <v>564345439</v>
      </c>
      <c r="J744" s="62">
        <f t="shared" si="121"/>
        <v>4.5600579846929614</v>
      </c>
      <c r="K744" s="62">
        <f t="shared" si="122"/>
        <v>7.5467961742488718</v>
      </c>
      <c r="L744" s="63">
        <f t="shared" si="123"/>
        <v>0.63996919522525997</v>
      </c>
      <c r="M744" s="63">
        <f t="shared" si="124"/>
        <v>-9.0689544716962816E-3</v>
      </c>
      <c r="N744" s="63">
        <f t="shared" si="125"/>
        <v>0.6549781164146784</v>
      </c>
      <c r="O744" s="62">
        <f t="shared" si="126"/>
        <v>7.4783546233374372</v>
      </c>
      <c r="P744" s="62">
        <f t="shared" si="127"/>
        <v>2.9182966386444757</v>
      </c>
      <c r="Q744" s="62">
        <f t="shared" si="128"/>
        <v>6.8441550911434668E-2</v>
      </c>
      <c r="R744" s="63">
        <f t="shared" si="129"/>
        <v>0.63996919522526008</v>
      </c>
      <c r="S744" s="63">
        <f t="shared" si="130"/>
        <v>1.5008921189418382E-2</v>
      </c>
      <c r="T744" s="63">
        <f t="shared" si="131"/>
        <v>0.65497811641467851</v>
      </c>
    </row>
    <row r="745" spans="1:20" x14ac:dyDescent="0.3">
      <c r="A745" s="18" t="s">
        <v>228</v>
      </c>
      <c r="B745" s="18" t="s">
        <v>229</v>
      </c>
      <c r="C745" s="18" t="s">
        <v>206</v>
      </c>
      <c r="D745" s="18" t="s">
        <v>203</v>
      </c>
      <c r="E745" s="61">
        <v>2023</v>
      </c>
      <c r="F745" s="62">
        <v>4259000000</v>
      </c>
      <c r="G745" s="62">
        <v>4702000000</v>
      </c>
      <c r="H745" s="62">
        <v>564345439</v>
      </c>
      <c r="I745" s="62">
        <v>568208021</v>
      </c>
      <c r="J745" s="62">
        <f t="shared" si="121"/>
        <v>7.5467961742488718</v>
      </c>
      <c r="K745" s="62">
        <f t="shared" si="122"/>
        <v>8.2751383757745298</v>
      </c>
      <c r="L745" s="63">
        <f t="shared" si="123"/>
        <v>0.10401502700164358</v>
      </c>
      <c r="M745" s="63">
        <f t="shared" si="124"/>
        <v>6.8443576098432858E-3</v>
      </c>
      <c r="N745" s="63">
        <f t="shared" si="125"/>
        <v>9.6510119620151186E-2</v>
      </c>
      <c r="O745" s="62">
        <f t="shared" si="126"/>
        <v>8.3317763820892683</v>
      </c>
      <c r="P745" s="62">
        <f t="shared" si="127"/>
        <v>0.78498020784039646</v>
      </c>
      <c r="Q745" s="62">
        <f t="shared" si="128"/>
        <v>-5.6638006314738476E-2</v>
      </c>
      <c r="R745" s="63">
        <f t="shared" si="129"/>
        <v>0.10401502700164353</v>
      </c>
      <c r="S745" s="63">
        <f t="shared" si="130"/>
        <v>-7.5049073814923359E-3</v>
      </c>
      <c r="T745" s="63">
        <f t="shared" si="131"/>
        <v>9.6510119620151186E-2</v>
      </c>
    </row>
    <row r="746" spans="1:20" x14ac:dyDescent="0.3">
      <c r="A746" s="18" t="s">
        <v>228</v>
      </c>
      <c r="B746" s="18" t="s">
        <v>229</v>
      </c>
      <c r="C746" s="18" t="s">
        <v>206</v>
      </c>
      <c r="D746" s="18" t="s">
        <v>203</v>
      </c>
      <c r="E746" s="61">
        <v>2024</v>
      </c>
      <c r="F746" s="62">
        <v>4702000000</v>
      </c>
      <c r="G746" s="62">
        <v>4863000000</v>
      </c>
      <c r="H746" s="62">
        <v>568208021</v>
      </c>
      <c r="I746" s="62">
        <v>570142000</v>
      </c>
      <c r="J746" s="62">
        <f t="shared" si="121"/>
        <v>8.2751383757745298</v>
      </c>
      <c r="K746" s="62">
        <f t="shared" si="122"/>
        <v>8.5294540658292153</v>
      </c>
      <c r="L746" s="63">
        <f t="shared" si="123"/>
        <v>3.4240748617609527E-2</v>
      </c>
      <c r="M746" s="63">
        <f t="shared" si="124"/>
        <v>3.4036460741901425E-3</v>
      </c>
      <c r="N746" s="63">
        <f t="shared" si="125"/>
        <v>3.0732499990476864E-2</v>
      </c>
      <c r="O746" s="62">
        <f t="shared" si="126"/>
        <v>8.5584853086753601</v>
      </c>
      <c r="P746" s="62">
        <f t="shared" si="127"/>
        <v>0.28334693290083024</v>
      </c>
      <c r="Q746" s="62">
        <f t="shared" si="128"/>
        <v>-2.9031242846144778E-2</v>
      </c>
      <c r="R746" s="63">
        <f t="shared" si="129"/>
        <v>3.4240748617609645E-2</v>
      </c>
      <c r="S746" s="63">
        <f t="shared" si="130"/>
        <v>-3.50824862713278E-3</v>
      </c>
      <c r="T746" s="63">
        <f t="shared" si="131"/>
        <v>3.0732499990476864E-2</v>
      </c>
    </row>
    <row r="747" spans="1:20" x14ac:dyDescent="0.3">
      <c r="A747" s="18" t="s">
        <v>230</v>
      </c>
      <c r="B747" s="18" t="s">
        <v>231</v>
      </c>
      <c r="C747" s="18" t="s">
        <v>206</v>
      </c>
      <c r="D747" s="18" t="s">
        <v>203</v>
      </c>
      <c r="E747" s="61">
        <v>2016</v>
      </c>
      <c r="F747" s="62">
        <v>1282000000</v>
      </c>
      <c r="G747" s="62">
        <v>1720000000</v>
      </c>
      <c r="H747" s="62">
        <v>609647527</v>
      </c>
      <c r="I747" s="62">
        <v>616442041</v>
      </c>
      <c r="J747" s="62">
        <f t="shared" si="121"/>
        <v>2.1028544252587444</v>
      </c>
      <c r="K747" s="62">
        <f t="shared" si="122"/>
        <v>2.7902055434275614</v>
      </c>
      <c r="L747" s="63">
        <f t="shared" si="123"/>
        <v>0.34165366614664588</v>
      </c>
      <c r="M747" s="63">
        <f t="shared" si="124"/>
        <v>1.1144987388753896E-2</v>
      </c>
      <c r="N747" s="63">
        <f t="shared" si="125"/>
        <v>0.32686576394095485</v>
      </c>
      <c r="O747" s="62">
        <f t="shared" si="126"/>
        <v>2.8213023490210927</v>
      </c>
      <c r="P747" s="62">
        <f t="shared" si="127"/>
        <v>0.71844792376234823</v>
      </c>
      <c r="Q747" s="62">
        <f t="shared" si="128"/>
        <v>-3.1096805593531229E-2</v>
      </c>
      <c r="R747" s="63">
        <f t="shared" si="129"/>
        <v>0.341653666146646</v>
      </c>
      <c r="S747" s="63">
        <f t="shared" si="130"/>
        <v>-1.4787902205691173E-2</v>
      </c>
      <c r="T747" s="63">
        <f t="shared" si="131"/>
        <v>0.32686576394095485</v>
      </c>
    </row>
    <row r="748" spans="1:20" x14ac:dyDescent="0.3">
      <c r="A748" s="18" t="s">
        <v>230</v>
      </c>
      <c r="B748" s="18" t="s">
        <v>231</v>
      </c>
      <c r="C748" s="18" t="s">
        <v>206</v>
      </c>
      <c r="D748" s="18" t="s">
        <v>203</v>
      </c>
      <c r="E748" s="61">
        <v>2017</v>
      </c>
      <c r="F748" s="62">
        <v>1720000000</v>
      </c>
      <c r="G748" s="62">
        <v>2449000000</v>
      </c>
      <c r="H748" s="62">
        <v>616442041</v>
      </c>
      <c r="I748" s="62">
        <v>626954761</v>
      </c>
      <c r="J748" s="62">
        <f t="shared" si="121"/>
        <v>2.7902055434275614</v>
      </c>
      <c r="K748" s="62">
        <f t="shared" si="122"/>
        <v>3.9061829534459824</v>
      </c>
      <c r="L748" s="63">
        <f t="shared" si="123"/>
        <v>0.4238372093023256</v>
      </c>
      <c r="M748" s="63">
        <f t="shared" si="124"/>
        <v>1.7053866058431275E-2</v>
      </c>
      <c r="N748" s="63">
        <f t="shared" si="125"/>
        <v>0.39996243740793558</v>
      </c>
      <c r="O748" s="62">
        <f t="shared" si="126"/>
        <v>3.9727984743337776</v>
      </c>
      <c r="P748" s="62">
        <f t="shared" si="127"/>
        <v>1.1825929309062162</v>
      </c>
      <c r="Q748" s="62">
        <f t="shared" si="128"/>
        <v>-6.661552088779521E-2</v>
      </c>
      <c r="R748" s="63">
        <f t="shared" si="129"/>
        <v>0.42383720930232549</v>
      </c>
      <c r="S748" s="63">
        <f t="shared" si="130"/>
        <v>-2.3874771894389888E-2</v>
      </c>
      <c r="T748" s="63">
        <f t="shared" si="131"/>
        <v>0.39996243740793558</v>
      </c>
    </row>
    <row r="749" spans="1:20" x14ac:dyDescent="0.3">
      <c r="A749" s="18" t="s">
        <v>230</v>
      </c>
      <c r="B749" s="18" t="s">
        <v>231</v>
      </c>
      <c r="C749" s="18" t="s">
        <v>206</v>
      </c>
      <c r="D749" s="18" t="s">
        <v>203</v>
      </c>
      <c r="E749" s="61">
        <v>2018</v>
      </c>
      <c r="F749" s="62">
        <v>2449000000</v>
      </c>
      <c r="G749" s="62">
        <v>2335000000</v>
      </c>
      <c r="H749" s="62">
        <v>626954761</v>
      </c>
      <c r="I749" s="62">
        <v>642721076</v>
      </c>
      <c r="J749" s="62">
        <f t="shared" si="121"/>
        <v>3.9061829534459824</v>
      </c>
      <c r="K749" s="62">
        <f t="shared" si="122"/>
        <v>3.6329911795206167</v>
      </c>
      <c r="L749" s="63">
        <f t="shared" si="123"/>
        <v>-4.6549612086565946E-2</v>
      </c>
      <c r="M749" s="63">
        <f t="shared" si="124"/>
        <v>2.5147452385324499E-2</v>
      </c>
      <c r="N749" s="63">
        <f t="shared" si="125"/>
        <v>-6.9938294540034182E-2</v>
      </c>
      <c r="O749" s="62">
        <f t="shared" si="126"/>
        <v>3.7243516522239153</v>
      </c>
      <c r="P749" s="62">
        <f t="shared" si="127"/>
        <v>-0.18183130122206714</v>
      </c>
      <c r="Q749" s="62">
        <f t="shared" si="128"/>
        <v>-9.1360472703298612E-2</v>
      </c>
      <c r="R749" s="63">
        <f t="shared" si="129"/>
        <v>-4.6549612086565988E-2</v>
      </c>
      <c r="S749" s="63">
        <f t="shared" si="130"/>
        <v>-2.3388682453468194E-2</v>
      </c>
      <c r="T749" s="63">
        <f t="shared" si="131"/>
        <v>-6.9938294540034182E-2</v>
      </c>
    </row>
    <row r="750" spans="1:20" x14ac:dyDescent="0.3">
      <c r="A750" s="18" t="s">
        <v>230</v>
      </c>
      <c r="B750" s="18" t="s">
        <v>231</v>
      </c>
      <c r="C750" s="18" t="s">
        <v>206</v>
      </c>
      <c r="D750" s="18" t="s">
        <v>203</v>
      </c>
      <c r="E750" s="61">
        <v>2019</v>
      </c>
      <c r="F750" s="62">
        <v>2335000000</v>
      </c>
      <c r="G750" s="62">
        <v>1915000000</v>
      </c>
      <c r="H750" s="62">
        <v>642721076</v>
      </c>
      <c r="I750" s="62">
        <v>648250543</v>
      </c>
      <c r="J750" s="62">
        <f t="shared" si="121"/>
        <v>3.6329911795206167</v>
      </c>
      <c r="K750" s="62">
        <f t="shared" si="122"/>
        <v>2.9541047372481724</v>
      </c>
      <c r="L750" s="63">
        <f t="shared" si="123"/>
        <v>-0.17987152034261242</v>
      </c>
      <c r="M750" s="63">
        <f t="shared" si="124"/>
        <v>8.6032140635761561E-3</v>
      </c>
      <c r="N750" s="63">
        <f t="shared" si="125"/>
        <v>-0.18686707694182325</v>
      </c>
      <c r="O750" s="62">
        <f t="shared" si="126"/>
        <v>2.9795195326689425</v>
      </c>
      <c r="P750" s="62">
        <f t="shared" si="127"/>
        <v>-0.65347164685167414</v>
      </c>
      <c r="Q750" s="62">
        <f t="shared" si="128"/>
        <v>-2.5414795420770186E-2</v>
      </c>
      <c r="R750" s="63">
        <f t="shared" si="129"/>
        <v>-0.17987152034261245</v>
      </c>
      <c r="S750" s="63">
        <f t="shared" si="130"/>
        <v>-6.9955565992108294E-3</v>
      </c>
      <c r="T750" s="63">
        <f t="shared" si="131"/>
        <v>-0.18686707694182328</v>
      </c>
    </row>
    <row r="751" spans="1:20" x14ac:dyDescent="0.3">
      <c r="A751" s="18" t="s">
        <v>230</v>
      </c>
      <c r="B751" s="18" t="s">
        <v>231</v>
      </c>
      <c r="C751" s="18" t="s">
        <v>206</v>
      </c>
      <c r="D751" s="18" t="s">
        <v>203</v>
      </c>
      <c r="E751" s="61">
        <v>2020</v>
      </c>
      <c r="F751" s="62">
        <v>1915000000</v>
      </c>
      <c r="G751" s="62">
        <v>1956000000</v>
      </c>
      <c r="H751" s="62">
        <v>648250543</v>
      </c>
      <c r="I751" s="62">
        <v>649331592</v>
      </c>
      <c r="J751" s="62">
        <f t="shared" si="121"/>
        <v>2.9541047372481724</v>
      </c>
      <c r="K751" s="62">
        <f t="shared" si="122"/>
        <v>3.0123284067780274</v>
      </c>
      <c r="L751" s="63">
        <f t="shared" si="123"/>
        <v>2.1409921671018278E-2</v>
      </c>
      <c r="M751" s="63">
        <f t="shared" si="124"/>
        <v>1.6676407164999474E-3</v>
      </c>
      <c r="N751" s="63">
        <f t="shared" si="125"/>
        <v>1.9709412735342598E-2</v>
      </c>
      <c r="O751" s="62">
        <f t="shared" si="126"/>
        <v>3.0173518882806398</v>
      </c>
      <c r="P751" s="62">
        <f t="shared" si="127"/>
        <v>6.3247151032467475E-2</v>
      </c>
      <c r="Q751" s="62">
        <f t="shared" si="128"/>
        <v>-5.023481502612448E-3</v>
      </c>
      <c r="R751" s="63">
        <f t="shared" si="129"/>
        <v>2.1409921671018302E-2</v>
      </c>
      <c r="S751" s="63">
        <f t="shared" si="130"/>
        <v>-1.700508935675705E-3</v>
      </c>
      <c r="T751" s="63">
        <f t="shared" si="131"/>
        <v>1.9709412735342598E-2</v>
      </c>
    </row>
    <row r="752" spans="1:20" x14ac:dyDescent="0.3">
      <c r="A752" s="18" t="s">
        <v>230</v>
      </c>
      <c r="B752" s="18" t="s">
        <v>231</v>
      </c>
      <c r="C752" s="18" t="s">
        <v>206</v>
      </c>
      <c r="D752" s="18" t="s">
        <v>203</v>
      </c>
      <c r="E752" s="61">
        <v>2021</v>
      </c>
      <c r="F752" s="62">
        <v>1956000000</v>
      </c>
      <c r="G752" s="62">
        <v>1924000000</v>
      </c>
      <c r="H752" s="62">
        <v>649331592</v>
      </c>
      <c r="I752" s="62">
        <v>646155699</v>
      </c>
      <c r="J752" s="62">
        <f t="shared" si="121"/>
        <v>3.0123284067780274</v>
      </c>
      <c r="K752" s="62">
        <f t="shared" si="122"/>
        <v>2.977610509320912</v>
      </c>
      <c r="L752" s="63">
        <f t="shared" si="123"/>
        <v>-1.6359918200408999E-2</v>
      </c>
      <c r="M752" s="63">
        <f t="shared" si="124"/>
        <v>-4.8910187631837883E-3</v>
      </c>
      <c r="N752" s="63">
        <f t="shared" si="125"/>
        <v>-1.1525269747812624E-2</v>
      </c>
      <c r="O752" s="62">
        <f t="shared" si="126"/>
        <v>2.9630469604503702</v>
      </c>
      <c r="P752" s="62">
        <f t="shared" si="127"/>
        <v>-4.9281446327657186E-2</v>
      </c>
      <c r="Q752" s="62">
        <f t="shared" si="128"/>
        <v>1.4563548870541787E-2</v>
      </c>
      <c r="R752" s="63">
        <f t="shared" si="129"/>
        <v>-1.6359918200409097E-2</v>
      </c>
      <c r="S752" s="63">
        <f t="shared" si="130"/>
        <v>4.834648452596472E-3</v>
      </c>
      <c r="T752" s="63">
        <f t="shared" si="131"/>
        <v>-1.1525269747812626E-2</v>
      </c>
    </row>
    <row r="753" spans="1:20" x14ac:dyDescent="0.3">
      <c r="A753" s="18" t="s">
        <v>230</v>
      </c>
      <c r="B753" s="18" t="s">
        <v>231</v>
      </c>
      <c r="C753" s="18" t="s">
        <v>206</v>
      </c>
      <c r="D753" s="18" t="s">
        <v>203</v>
      </c>
      <c r="E753" s="61">
        <v>2022</v>
      </c>
      <c r="F753" s="62">
        <v>1924000000</v>
      </c>
      <c r="G753" s="62">
        <v>959000000</v>
      </c>
      <c r="H753" s="62">
        <v>646155699</v>
      </c>
      <c r="I753" s="62">
        <v>639050821</v>
      </c>
      <c r="J753" s="62">
        <f t="shared" si="121"/>
        <v>2.977610509320912</v>
      </c>
      <c r="K753" s="62">
        <f t="shared" si="122"/>
        <v>1.5006631217519397</v>
      </c>
      <c r="L753" s="63">
        <f t="shared" si="123"/>
        <v>-0.50155925155925152</v>
      </c>
      <c r="M753" s="63">
        <f t="shared" si="124"/>
        <v>-1.0995612993889264E-2</v>
      </c>
      <c r="N753" s="63">
        <f t="shared" si="125"/>
        <v>-0.49601765675720022</v>
      </c>
      <c r="O753" s="62">
        <f t="shared" si="126"/>
        <v>1.4841624108309537</v>
      </c>
      <c r="P753" s="62">
        <f t="shared" si="127"/>
        <v>-1.4934480984899583</v>
      </c>
      <c r="Q753" s="62">
        <f t="shared" si="128"/>
        <v>1.6500710920986039E-2</v>
      </c>
      <c r="R753" s="63">
        <f t="shared" si="129"/>
        <v>-0.50155925155925152</v>
      </c>
      <c r="S753" s="63">
        <f t="shared" si="130"/>
        <v>5.5415948020512834E-3</v>
      </c>
      <c r="T753" s="63">
        <f t="shared" si="131"/>
        <v>-0.49601765675720022</v>
      </c>
    </row>
    <row r="754" spans="1:20" x14ac:dyDescent="0.3">
      <c r="A754" s="18" t="s">
        <v>230</v>
      </c>
      <c r="B754" s="18" t="s">
        <v>231</v>
      </c>
      <c r="C754" s="18" t="s">
        <v>206</v>
      </c>
      <c r="D754" s="18" t="s">
        <v>203</v>
      </c>
      <c r="E754" s="61">
        <v>2023</v>
      </c>
      <c r="F754" s="62">
        <v>959000000</v>
      </c>
      <c r="G754" s="62">
        <v>881000000</v>
      </c>
      <c r="H754" s="62">
        <v>639050821</v>
      </c>
      <c r="I754" s="62">
        <v>641030818</v>
      </c>
      <c r="J754" s="62">
        <f t="shared" si="121"/>
        <v>1.5006631217519397</v>
      </c>
      <c r="K754" s="62">
        <f t="shared" si="122"/>
        <v>1.3743489006483305</v>
      </c>
      <c r="L754" s="63">
        <f t="shared" si="123"/>
        <v>-8.1334723670490092E-2</v>
      </c>
      <c r="M754" s="63">
        <f t="shared" si="124"/>
        <v>3.0983404369963248E-3</v>
      </c>
      <c r="N754" s="63">
        <f t="shared" si="125"/>
        <v>-8.4172269760413976E-2</v>
      </c>
      <c r="O754" s="62">
        <f t="shared" si="126"/>
        <v>1.3786071014217507</v>
      </c>
      <c r="P754" s="62">
        <f t="shared" si="127"/>
        <v>-0.12205602033018903</v>
      </c>
      <c r="Q754" s="62">
        <f t="shared" si="128"/>
        <v>-4.2582007734202065E-3</v>
      </c>
      <c r="R754" s="63">
        <f t="shared" si="129"/>
        <v>-8.1334723670490078E-2</v>
      </c>
      <c r="S754" s="63">
        <f t="shared" si="130"/>
        <v>-2.8375460899238976E-3</v>
      </c>
      <c r="T754" s="63">
        <f t="shared" si="131"/>
        <v>-8.4172269760413976E-2</v>
      </c>
    </row>
    <row r="755" spans="1:20" x14ac:dyDescent="0.3">
      <c r="A755" s="18" t="s">
        <v>230</v>
      </c>
      <c r="B755" s="18" t="s">
        <v>231</v>
      </c>
      <c r="C755" s="18" t="s">
        <v>206</v>
      </c>
      <c r="D755" s="18" t="s">
        <v>203</v>
      </c>
      <c r="E755" s="61">
        <v>2024</v>
      </c>
      <c r="F755" s="62">
        <v>881000000</v>
      </c>
      <c r="G755" s="62">
        <v>2021000000</v>
      </c>
      <c r="H755" s="62">
        <v>641030818</v>
      </c>
      <c r="I755" s="62">
        <v>643283916</v>
      </c>
      <c r="J755" s="62">
        <f t="shared" si="121"/>
        <v>1.3743489006483305</v>
      </c>
      <c r="K755" s="62">
        <f t="shared" si="122"/>
        <v>3.1416921047346689</v>
      </c>
      <c r="L755" s="63">
        <f t="shared" si="123"/>
        <v>1.2939841089670829</v>
      </c>
      <c r="M755" s="63">
        <f t="shared" si="124"/>
        <v>3.5148044941577207E-3</v>
      </c>
      <c r="N755" s="63">
        <f t="shared" si="125"/>
        <v>1.2859494435893375</v>
      </c>
      <c r="O755" s="62">
        <f t="shared" si="126"/>
        <v>3.1527345382636502</v>
      </c>
      <c r="P755" s="62">
        <f t="shared" si="127"/>
        <v>1.7783856376153198</v>
      </c>
      <c r="Q755" s="62">
        <f t="shared" si="128"/>
        <v>-1.1042433528981377E-2</v>
      </c>
      <c r="R755" s="63">
        <f t="shared" si="129"/>
        <v>1.2939841089670827</v>
      </c>
      <c r="S755" s="63">
        <f t="shared" si="130"/>
        <v>-8.0346653777452429E-3</v>
      </c>
      <c r="T755" s="63">
        <f t="shared" si="131"/>
        <v>1.2859494435893375</v>
      </c>
    </row>
    <row r="756" spans="1:20" x14ac:dyDescent="0.3">
      <c r="A756" s="18" t="s">
        <v>232</v>
      </c>
      <c r="B756" s="18" t="s">
        <v>233</v>
      </c>
      <c r="C756" s="18" t="s">
        <v>206</v>
      </c>
      <c r="D756" s="18" t="s">
        <v>203</v>
      </c>
      <c r="E756" s="61">
        <v>2016</v>
      </c>
      <c r="F756" s="62">
        <v>4001000000</v>
      </c>
      <c r="G756" s="62">
        <v>3874000000</v>
      </c>
      <c r="H756" s="62">
        <v>792503322</v>
      </c>
      <c r="I756" s="62">
        <v>798767809</v>
      </c>
      <c r="J756" s="62">
        <f t="shared" si="121"/>
        <v>5.0485592790991483</v>
      </c>
      <c r="K756" s="62">
        <f t="shared" si="122"/>
        <v>4.8499701119026941</v>
      </c>
      <c r="L756" s="63">
        <f t="shared" si="123"/>
        <v>-3.1742064483879028E-2</v>
      </c>
      <c r="M756" s="63">
        <f t="shared" si="124"/>
        <v>7.9046823225808506E-3</v>
      </c>
      <c r="N756" s="63">
        <f t="shared" si="125"/>
        <v>-3.9335809726669162E-2</v>
      </c>
      <c r="O756" s="62">
        <f t="shared" si="126"/>
        <v>4.8883075849112974</v>
      </c>
      <c r="P756" s="62">
        <f t="shared" si="127"/>
        <v>-0.1602516941878509</v>
      </c>
      <c r="Q756" s="62">
        <f t="shared" si="128"/>
        <v>-3.833747300860324E-2</v>
      </c>
      <c r="R756" s="63">
        <f t="shared" si="129"/>
        <v>-3.1742064483879014E-2</v>
      </c>
      <c r="S756" s="63">
        <f t="shared" si="130"/>
        <v>-7.5937452427901524E-3</v>
      </c>
      <c r="T756" s="63">
        <f t="shared" si="131"/>
        <v>-3.9335809726669169E-2</v>
      </c>
    </row>
    <row r="757" spans="1:20" x14ac:dyDescent="0.3">
      <c r="A757" s="18" t="s">
        <v>232</v>
      </c>
      <c r="B757" s="18" t="s">
        <v>233</v>
      </c>
      <c r="C757" s="18" t="s">
        <v>206</v>
      </c>
      <c r="D757" s="18" t="s">
        <v>203</v>
      </c>
      <c r="E757" s="61">
        <v>2017</v>
      </c>
      <c r="F757" s="62">
        <v>3874000000</v>
      </c>
      <c r="G757" s="62">
        <v>2806000000</v>
      </c>
      <c r="H757" s="62">
        <v>798767809</v>
      </c>
      <c r="I757" s="62">
        <v>800596132</v>
      </c>
      <c r="J757" s="62">
        <f t="shared" si="121"/>
        <v>4.8499701119026941</v>
      </c>
      <c r="K757" s="62">
        <f t="shared" si="122"/>
        <v>3.5048882799248897</v>
      </c>
      <c r="L757" s="63">
        <f t="shared" si="123"/>
        <v>-0.27568404749612802</v>
      </c>
      <c r="M757" s="63">
        <f t="shared" si="124"/>
        <v>2.2889292475230432E-3</v>
      </c>
      <c r="N757" s="63">
        <f t="shared" si="125"/>
        <v>-0.2773381692964938</v>
      </c>
      <c r="O757" s="62">
        <f t="shared" si="126"/>
        <v>3.5129107212181108</v>
      </c>
      <c r="P757" s="62">
        <f t="shared" si="127"/>
        <v>-1.3370593906845833</v>
      </c>
      <c r="Q757" s="62">
        <f t="shared" si="128"/>
        <v>-8.0224412932210498E-3</v>
      </c>
      <c r="R757" s="63">
        <f t="shared" si="129"/>
        <v>-0.27568404749612796</v>
      </c>
      <c r="S757" s="63">
        <f t="shared" si="130"/>
        <v>-1.6541218003658506E-3</v>
      </c>
      <c r="T757" s="63">
        <f t="shared" si="131"/>
        <v>-0.2773381692964938</v>
      </c>
    </row>
    <row r="758" spans="1:20" x14ac:dyDescent="0.3">
      <c r="A758" s="18" t="s">
        <v>232</v>
      </c>
      <c r="B758" s="18" t="s">
        <v>233</v>
      </c>
      <c r="C758" s="18" t="s">
        <v>206</v>
      </c>
      <c r="D758" s="18" t="s">
        <v>203</v>
      </c>
      <c r="E758" s="61">
        <v>2018</v>
      </c>
      <c r="F758" s="62">
        <v>2806000000</v>
      </c>
      <c r="G758" s="62">
        <v>4121000000</v>
      </c>
      <c r="H758" s="62">
        <v>800596132</v>
      </c>
      <c r="I758" s="62">
        <v>801909473</v>
      </c>
      <c r="J758" s="62">
        <f t="shared" si="121"/>
        <v>3.5048882799248897</v>
      </c>
      <c r="K758" s="62">
        <f t="shared" si="122"/>
        <v>5.1389840608604453</v>
      </c>
      <c r="L758" s="63">
        <f t="shared" si="123"/>
        <v>0.46863863150392016</v>
      </c>
      <c r="M758" s="63">
        <f t="shared" si="124"/>
        <v>1.6404538412134121E-3</v>
      </c>
      <c r="N758" s="63">
        <f t="shared" si="125"/>
        <v>0.46623334338365119</v>
      </c>
      <c r="O758" s="62">
        <f t="shared" si="126"/>
        <v>5.1474143270030188</v>
      </c>
      <c r="P758" s="62">
        <f t="shared" si="127"/>
        <v>1.6425260470781291</v>
      </c>
      <c r="Q758" s="62">
        <f t="shared" si="128"/>
        <v>-8.4302661425734726E-3</v>
      </c>
      <c r="R758" s="63">
        <f t="shared" si="129"/>
        <v>0.46863863150392021</v>
      </c>
      <c r="S758" s="63">
        <f t="shared" si="130"/>
        <v>-2.4052881202690246E-3</v>
      </c>
      <c r="T758" s="63">
        <f t="shared" si="131"/>
        <v>0.46623334338365119</v>
      </c>
    </row>
    <row r="759" spans="1:20" x14ac:dyDescent="0.3">
      <c r="A759" s="18" t="s">
        <v>232</v>
      </c>
      <c r="B759" s="18" t="s">
        <v>233</v>
      </c>
      <c r="C759" s="18" t="s">
        <v>206</v>
      </c>
      <c r="D759" s="18" t="s">
        <v>203</v>
      </c>
      <c r="E759" s="61">
        <v>2019</v>
      </c>
      <c r="F759" s="62">
        <v>4121000000</v>
      </c>
      <c r="G759" s="62">
        <v>3248000000</v>
      </c>
      <c r="H759" s="62">
        <v>801909473</v>
      </c>
      <c r="I759" s="62">
        <v>829901725</v>
      </c>
      <c r="J759" s="62">
        <f t="shared" si="121"/>
        <v>5.1389840608604453</v>
      </c>
      <c r="K759" s="62">
        <f t="shared" si="122"/>
        <v>3.9137164102171256</v>
      </c>
      <c r="L759" s="63">
        <f t="shared" si="123"/>
        <v>-0.21184178597427808</v>
      </c>
      <c r="M759" s="63">
        <f t="shared" si="124"/>
        <v>3.4906997538361788E-2</v>
      </c>
      <c r="N759" s="63">
        <f t="shared" si="125"/>
        <v>-0.23842604610806425</v>
      </c>
      <c r="O759" s="62">
        <f t="shared" si="126"/>
        <v>4.050332499314421</v>
      </c>
      <c r="P759" s="62">
        <f t="shared" si="127"/>
        <v>-1.0886515615460244</v>
      </c>
      <c r="Q759" s="62">
        <f t="shared" si="128"/>
        <v>-0.13661608909729539</v>
      </c>
      <c r="R759" s="63">
        <f t="shared" si="129"/>
        <v>-0.21184178597427797</v>
      </c>
      <c r="S759" s="63">
        <f t="shared" si="130"/>
        <v>-2.6584260133786265E-2</v>
      </c>
      <c r="T759" s="63">
        <f t="shared" si="131"/>
        <v>-0.23842604610806423</v>
      </c>
    </row>
    <row r="760" spans="1:20" x14ac:dyDescent="0.3">
      <c r="A760" s="18" t="s">
        <v>232</v>
      </c>
      <c r="B760" s="18" t="s">
        <v>233</v>
      </c>
      <c r="C760" s="18" t="s">
        <v>206</v>
      </c>
      <c r="D760" s="18" t="s">
        <v>203</v>
      </c>
      <c r="E760" s="61">
        <v>2020</v>
      </c>
      <c r="F760" s="62">
        <v>3248000000</v>
      </c>
      <c r="G760" s="62">
        <v>-258000000</v>
      </c>
      <c r="H760" s="62">
        <v>829901725</v>
      </c>
      <c r="I760" s="62">
        <v>850384674</v>
      </c>
      <c r="J760" s="62">
        <f t="shared" si="121"/>
        <v>3.9137164102171256</v>
      </c>
      <c r="K760" s="62">
        <f t="shared" si="122"/>
        <v>-0.30339210934556426</v>
      </c>
      <c r="L760" s="63">
        <f t="shared" si="123"/>
        <v>-1.0794334975369457</v>
      </c>
      <c r="M760" s="63">
        <f t="shared" si="124"/>
        <v>2.4681174147457036E-2</v>
      </c>
      <c r="N760" s="63">
        <f t="shared" si="125"/>
        <v>-1.0775202077885691</v>
      </c>
      <c r="O760" s="62">
        <f t="shared" si="126"/>
        <v>-0.31088018283128643</v>
      </c>
      <c r="P760" s="62">
        <f t="shared" si="127"/>
        <v>-4.2245965930484122</v>
      </c>
      <c r="Q760" s="62">
        <f t="shared" si="128"/>
        <v>7.4880734857221687E-3</v>
      </c>
      <c r="R760" s="63">
        <f t="shared" si="129"/>
        <v>-1.079433497536946</v>
      </c>
      <c r="S760" s="63">
        <f t="shared" si="130"/>
        <v>1.9132897483767211E-3</v>
      </c>
      <c r="T760" s="63">
        <f t="shared" si="131"/>
        <v>-1.0775202077885693</v>
      </c>
    </row>
    <row r="761" spans="1:20" x14ac:dyDescent="0.3">
      <c r="A761" s="18" t="s">
        <v>232</v>
      </c>
      <c r="B761" s="18" t="s">
        <v>233</v>
      </c>
      <c r="C761" s="18" t="s">
        <v>206</v>
      </c>
      <c r="D761" s="18" t="s">
        <v>203</v>
      </c>
      <c r="E761" s="61">
        <v>2021</v>
      </c>
      <c r="F761" s="62">
        <v>-258000000</v>
      </c>
      <c r="G761" s="62">
        <v>5641000000</v>
      </c>
      <c r="H761" s="62">
        <v>850384674</v>
      </c>
      <c r="I761" s="62">
        <v>846261490</v>
      </c>
      <c r="J761" s="62">
        <f t="shared" si="121"/>
        <v>-0.30339210934556426</v>
      </c>
      <c r="K761" s="62">
        <f t="shared" si="122"/>
        <v>6.6657883723386728</v>
      </c>
      <c r="L761" s="63">
        <f t="shared" si="123"/>
        <v>22.864341085271317</v>
      </c>
      <c r="M761" s="63">
        <f t="shared" si="124"/>
        <v>-4.8486104301545775E-3</v>
      </c>
      <c r="N761" s="63">
        <f t="shared" si="125"/>
        <v>22.970869271179119</v>
      </c>
      <c r="O761" s="62">
        <f t="shared" si="126"/>
        <v>6.6334685613113482</v>
      </c>
      <c r="P761" s="62">
        <f t="shared" si="127"/>
        <v>6.9368606706569125</v>
      </c>
      <c r="Q761" s="62">
        <f t="shared" si="128"/>
        <v>3.2319811027324619E-2</v>
      </c>
      <c r="R761" s="63">
        <f t="shared" si="129"/>
        <v>22.864341085271317</v>
      </c>
      <c r="S761" s="63">
        <f t="shared" si="130"/>
        <v>0.10652818590780251</v>
      </c>
      <c r="T761" s="63">
        <f t="shared" si="131"/>
        <v>22.970869271179119</v>
      </c>
    </row>
    <row r="762" spans="1:20" x14ac:dyDescent="0.3">
      <c r="A762" s="18" t="s">
        <v>232</v>
      </c>
      <c r="B762" s="18" t="s">
        <v>233</v>
      </c>
      <c r="C762" s="18" t="s">
        <v>206</v>
      </c>
      <c r="D762" s="18" t="s">
        <v>203</v>
      </c>
      <c r="E762" s="61">
        <v>2022</v>
      </c>
      <c r="F762" s="62">
        <v>5641000000</v>
      </c>
      <c r="G762" s="62">
        <v>1825000000</v>
      </c>
      <c r="H762" s="62">
        <v>846261490</v>
      </c>
      <c r="I762" s="62">
        <v>822437425</v>
      </c>
      <c r="J762" s="62">
        <f t="shared" si="121"/>
        <v>6.6657883723386728</v>
      </c>
      <c r="K762" s="62">
        <f t="shared" si="122"/>
        <v>2.2190138052144208</v>
      </c>
      <c r="L762" s="63">
        <f t="shared" si="123"/>
        <v>-0.67647580216273706</v>
      </c>
      <c r="M762" s="63">
        <f t="shared" si="124"/>
        <v>-2.8152131795575384E-2</v>
      </c>
      <c r="N762" s="63">
        <f t="shared" si="125"/>
        <v>-0.66710407212704737</v>
      </c>
      <c r="O762" s="62">
        <f t="shared" si="126"/>
        <v>2.1565438361138236</v>
      </c>
      <c r="P762" s="62">
        <f t="shared" si="127"/>
        <v>-4.5092445362248492</v>
      </c>
      <c r="Q762" s="62">
        <f t="shared" si="128"/>
        <v>6.2469969100597211E-2</v>
      </c>
      <c r="R762" s="63">
        <f t="shared" si="129"/>
        <v>-0.67647580216273706</v>
      </c>
      <c r="S762" s="63">
        <f t="shared" si="130"/>
        <v>9.3717300356896578E-3</v>
      </c>
      <c r="T762" s="63">
        <f t="shared" si="131"/>
        <v>-0.66710407212704737</v>
      </c>
    </row>
    <row r="763" spans="1:20" x14ac:dyDescent="0.3">
      <c r="A763" s="18" t="s">
        <v>232</v>
      </c>
      <c r="B763" s="18" t="s">
        <v>233</v>
      </c>
      <c r="C763" s="18" t="s">
        <v>206</v>
      </c>
      <c r="D763" s="18" t="s">
        <v>203</v>
      </c>
      <c r="E763" s="61">
        <v>2023</v>
      </c>
      <c r="F763" s="62">
        <v>1825000000</v>
      </c>
      <c r="G763" s="62">
        <v>2493000000</v>
      </c>
      <c r="H763" s="62">
        <v>822437425</v>
      </c>
      <c r="I763" s="62">
        <v>799315070</v>
      </c>
      <c r="J763" s="62">
        <f t="shared" si="121"/>
        <v>2.2190138052144208</v>
      </c>
      <c r="K763" s="62">
        <f t="shared" si="122"/>
        <v>3.1189203026035779</v>
      </c>
      <c r="L763" s="63">
        <f t="shared" si="123"/>
        <v>0.36602739726027395</v>
      </c>
      <c r="M763" s="63">
        <f t="shared" si="124"/>
        <v>-2.8114424632366408E-2</v>
      </c>
      <c r="N763" s="63">
        <f t="shared" si="125"/>
        <v>0.40554344244027818</v>
      </c>
      <c r="O763" s="62">
        <f t="shared" si="126"/>
        <v>3.0312336528216721</v>
      </c>
      <c r="P763" s="62">
        <f t="shared" si="127"/>
        <v>0.8122198476072513</v>
      </c>
      <c r="Q763" s="62">
        <f t="shared" si="128"/>
        <v>8.7686649781905768E-2</v>
      </c>
      <c r="R763" s="63">
        <f t="shared" si="129"/>
        <v>0.36602739726027411</v>
      </c>
      <c r="S763" s="63">
        <f t="shared" si="130"/>
        <v>3.9516045180004053E-2</v>
      </c>
      <c r="T763" s="63">
        <f t="shared" si="131"/>
        <v>0.40554344244027818</v>
      </c>
    </row>
    <row r="764" spans="1:20" x14ac:dyDescent="0.3">
      <c r="A764" s="18" t="s">
        <v>232</v>
      </c>
      <c r="B764" s="18" t="s">
        <v>233</v>
      </c>
      <c r="C764" s="18" t="s">
        <v>206</v>
      </c>
      <c r="D764" s="18" t="s">
        <v>203</v>
      </c>
      <c r="E764" s="61">
        <v>2024</v>
      </c>
      <c r="F764" s="62">
        <v>2493000000</v>
      </c>
      <c r="G764" s="62">
        <v>4200000000</v>
      </c>
      <c r="H764" s="62">
        <v>799315070</v>
      </c>
      <c r="I764" s="62">
        <v>795169000</v>
      </c>
      <c r="J764" s="62">
        <f t="shared" si="121"/>
        <v>3.1189203026035779</v>
      </c>
      <c r="K764" s="62">
        <f t="shared" si="122"/>
        <v>5.2818960497705518</v>
      </c>
      <c r="L764" s="63">
        <f t="shared" si="123"/>
        <v>0.68471720818291215</v>
      </c>
      <c r="M764" s="63">
        <f t="shared" si="124"/>
        <v>-5.1870284392361073E-3</v>
      </c>
      <c r="N764" s="63">
        <f t="shared" si="125"/>
        <v>0.69350144835742966</v>
      </c>
      <c r="O764" s="62">
        <f t="shared" si="126"/>
        <v>5.2544987047473031</v>
      </c>
      <c r="P764" s="62">
        <f t="shared" si="127"/>
        <v>2.1355784021437252</v>
      </c>
      <c r="Q764" s="62">
        <f t="shared" si="128"/>
        <v>2.7397345023248754E-2</v>
      </c>
      <c r="R764" s="63">
        <f t="shared" si="129"/>
        <v>0.68471720818291204</v>
      </c>
      <c r="S764" s="63">
        <f t="shared" si="130"/>
        <v>8.7842401745175415E-3</v>
      </c>
      <c r="T764" s="63">
        <f t="shared" si="131"/>
        <v>0.69350144835742955</v>
      </c>
    </row>
    <row r="765" spans="1:20" x14ac:dyDescent="0.3">
      <c r="A765" s="18" t="s">
        <v>234</v>
      </c>
      <c r="B765" s="18" t="s">
        <v>235</v>
      </c>
      <c r="C765" s="18" t="s">
        <v>206</v>
      </c>
      <c r="D765" s="18" t="s">
        <v>203</v>
      </c>
      <c r="E765" s="61">
        <v>2016</v>
      </c>
      <c r="F765" s="62">
        <v>-4762000000</v>
      </c>
      <c r="G765" s="62">
        <v>-450000000</v>
      </c>
      <c r="H765" s="62">
        <v>2392000000</v>
      </c>
      <c r="I765" s="62">
        <v>2396000000</v>
      </c>
      <c r="J765" s="62">
        <f t="shared" si="121"/>
        <v>-1.9908026755852843</v>
      </c>
      <c r="K765" s="62">
        <f t="shared" si="122"/>
        <v>-0.18781302170283806</v>
      </c>
      <c r="L765" s="63">
        <f t="shared" si="123"/>
        <v>0.90550188996220071</v>
      </c>
      <c r="M765" s="63">
        <f t="shared" si="124"/>
        <v>1.6722408026755853E-3</v>
      </c>
      <c r="N765" s="63">
        <f t="shared" si="125"/>
        <v>0.9056596497452355</v>
      </c>
      <c r="O765" s="62">
        <f t="shared" si="126"/>
        <v>-0.18812709030100336</v>
      </c>
      <c r="P765" s="62">
        <f t="shared" si="127"/>
        <v>1.8026755852842811</v>
      </c>
      <c r="Q765" s="62">
        <f t="shared" si="128"/>
        <v>3.1406859816529575E-4</v>
      </c>
      <c r="R765" s="63">
        <f t="shared" si="129"/>
        <v>0.90550188996220082</v>
      </c>
      <c r="S765" s="63">
        <f t="shared" si="130"/>
        <v>1.5775978303473066E-4</v>
      </c>
      <c r="T765" s="63">
        <f t="shared" si="131"/>
        <v>0.90565964974523561</v>
      </c>
    </row>
    <row r="766" spans="1:20" x14ac:dyDescent="0.3">
      <c r="A766" s="18" t="s">
        <v>234</v>
      </c>
      <c r="B766" s="18" t="s">
        <v>235</v>
      </c>
      <c r="C766" s="18" t="s">
        <v>206</v>
      </c>
      <c r="D766" s="18" t="s">
        <v>203</v>
      </c>
      <c r="E766" s="61">
        <v>2017</v>
      </c>
      <c r="F766" s="62">
        <v>-450000000</v>
      </c>
      <c r="G766" s="62">
        <v>903000000</v>
      </c>
      <c r="H766" s="62">
        <v>2396000000</v>
      </c>
      <c r="I766" s="62">
        <v>2396000000</v>
      </c>
      <c r="J766" s="62">
        <f t="shared" si="121"/>
        <v>-0.18781302170283806</v>
      </c>
      <c r="K766" s="62">
        <f t="shared" si="122"/>
        <v>0.37687813021702837</v>
      </c>
      <c r="L766" s="63">
        <f t="shared" si="123"/>
        <v>3.0066666666666668</v>
      </c>
      <c r="M766" s="63">
        <f t="shared" si="124"/>
        <v>0</v>
      </c>
      <c r="N766" s="63">
        <f t="shared" si="125"/>
        <v>3.0066666666666664</v>
      </c>
      <c r="O766" s="62">
        <f t="shared" si="126"/>
        <v>0.37687813021702837</v>
      </c>
      <c r="P766" s="62">
        <f t="shared" si="127"/>
        <v>0.56469115191986641</v>
      </c>
      <c r="Q766" s="62">
        <f t="shared" si="128"/>
        <v>0</v>
      </c>
      <c r="R766" s="63">
        <f t="shared" si="129"/>
        <v>3.0066666666666664</v>
      </c>
      <c r="S766" s="63">
        <f t="shared" si="130"/>
        <v>0</v>
      </c>
      <c r="T766" s="63">
        <f t="shared" si="131"/>
        <v>3.0066666666666664</v>
      </c>
    </row>
    <row r="767" spans="1:20" x14ac:dyDescent="0.3">
      <c r="A767" s="18" t="s">
        <v>234</v>
      </c>
      <c r="B767" s="18" t="s">
        <v>235</v>
      </c>
      <c r="C767" s="18" t="s">
        <v>206</v>
      </c>
      <c r="D767" s="18" t="s">
        <v>203</v>
      </c>
      <c r="E767" s="61">
        <v>2018</v>
      </c>
      <c r="F767" s="62">
        <v>903000000</v>
      </c>
      <c r="G767" s="62">
        <v>-157000000</v>
      </c>
      <c r="H767" s="62">
        <v>2396000000</v>
      </c>
      <c r="I767" s="62">
        <v>2396308756</v>
      </c>
      <c r="J767" s="62">
        <f t="shared" si="121"/>
        <v>0.37687813021702837</v>
      </c>
      <c r="K767" s="62">
        <f t="shared" si="122"/>
        <v>-6.5517433680820719E-2</v>
      </c>
      <c r="L767" s="63">
        <f t="shared" si="123"/>
        <v>-1.1738648947951273</v>
      </c>
      <c r="M767" s="63">
        <f t="shared" si="124"/>
        <v>1.2886310517529214E-4</v>
      </c>
      <c r="N767" s="63">
        <f t="shared" si="125"/>
        <v>-1.1738424929116793</v>
      </c>
      <c r="O767" s="62">
        <f t="shared" si="126"/>
        <v>-6.5525876460767948E-2</v>
      </c>
      <c r="P767" s="62">
        <f t="shared" si="127"/>
        <v>-0.44240400667779634</v>
      </c>
      <c r="Q767" s="62">
        <f t="shared" si="128"/>
        <v>8.4427799472291953E-6</v>
      </c>
      <c r="R767" s="63">
        <f t="shared" si="129"/>
        <v>-1.1738648947951273</v>
      </c>
      <c r="S767" s="63">
        <f t="shared" si="130"/>
        <v>2.2401883448018995E-5</v>
      </c>
      <c r="T767" s="63">
        <f t="shared" si="131"/>
        <v>-1.1738424929116793</v>
      </c>
    </row>
    <row r="768" spans="1:20" x14ac:dyDescent="0.3">
      <c r="A768" s="18" t="s">
        <v>234</v>
      </c>
      <c r="B768" s="18" t="s">
        <v>235</v>
      </c>
      <c r="C768" s="18" t="s">
        <v>206</v>
      </c>
      <c r="D768" s="18" t="s">
        <v>203</v>
      </c>
      <c r="E768" s="61">
        <v>2019</v>
      </c>
      <c r="F768" s="62">
        <v>-157000000</v>
      </c>
      <c r="G768" s="62">
        <v>984000000</v>
      </c>
      <c r="H768" s="62">
        <v>2396308756</v>
      </c>
      <c r="I768" s="62">
        <v>2413000000</v>
      </c>
      <c r="J768" s="62">
        <f t="shared" si="121"/>
        <v>-6.5517433680820719E-2</v>
      </c>
      <c r="K768" s="62">
        <f t="shared" si="122"/>
        <v>0.40779113137173645</v>
      </c>
      <c r="L768" s="63">
        <f t="shared" si="123"/>
        <v>7.2675159235668794</v>
      </c>
      <c r="M768" s="63">
        <f t="shared" si="124"/>
        <v>6.9653979096840554E-3</v>
      </c>
      <c r="N768" s="63">
        <f t="shared" si="125"/>
        <v>7.2241621574855941</v>
      </c>
      <c r="O768" s="62">
        <f t="shared" si="126"/>
        <v>0.41063155886578084</v>
      </c>
      <c r="P768" s="62">
        <f t="shared" si="127"/>
        <v>0.47614899254660159</v>
      </c>
      <c r="Q768" s="62">
        <f t="shared" si="128"/>
        <v>-2.8404274940443952E-3</v>
      </c>
      <c r="R768" s="63">
        <f t="shared" si="129"/>
        <v>7.2675159235668803</v>
      </c>
      <c r="S768" s="63">
        <f t="shared" si="130"/>
        <v>-4.3353766081284856E-2</v>
      </c>
      <c r="T768" s="63">
        <f t="shared" si="131"/>
        <v>7.224162157485595</v>
      </c>
    </row>
    <row r="769" spans="1:20" x14ac:dyDescent="0.3">
      <c r="A769" s="18" t="s">
        <v>234</v>
      </c>
      <c r="B769" s="18" t="s">
        <v>235</v>
      </c>
      <c r="C769" s="18" t="s">
        <v>206</v>
      </c>
      <c r="D769" s="18" t="s">
        <v>203</v>
      </c>
      <c r="E769" s="61">
        <v>2020</v>
      </c>
      <c r="F769" s="62">
        <v>984000000</v>
      </c>
      <c r="G769" s="62">
        <v>-1723000000</v>
      </c>
      <c r="H769" s="62">
        <v>2413000000</v>
      </c>
      <c r="I769" s="62">
        <v>2416000000</v>
      </c>
      <c r="J769" s="62">
        <f t="shared" si="121"/>
        <v>0.40779113137173645</v>
      </c>
      <c r="K769" s="62">
        <f t="shared" si="122"/>
        <v>-0.71316225165562919</v>
      </c>
      <c r="L769" s="63">
        <f t="shared" si="123"/>
        <v>-2.7510162601626016</v>
      </c>
      <c r="M769" s="63">
        <f t="shared" si="124"/>
        <v>1.2432656444260257E-3</v>
      </c>
      <c r="N769" s="63">
        <f t="shared" si="125"/>
        <v>-2.7488419850051149</v>
      </c>
      <c r="O769" s="62">
        <f t="shared" si="126"/>
        <v>-0.71404890178201408</v>
      </c>
      <c r="P769" s="62">
        <f t="shared" si="127"/>
        <v>-1.1218400331537506</v>
      </c>
      <c r="Q769" s="62">
        <f t="shared" si="128"/>
        <v>8.8665012638489138E-4</v>
      </c>
      <c r="R769" s="63">
        <f t="shared" si="129"/>
        <v>-2.7510162601626016</v>
      </c>
      <c r="S769" s="63">
        <f t="shared" si="130"/>
        <v>2.1742751574865271E-3</v>
      </c>
      <c r="T769" s="63">
        <f t="shared" si="131"/>
        <v>-2.7488419850051149</v>
      </c>
    </row>
    <row r="770" spans="1:20" x14ac:dyDescent="0.3">
      <c r="A770" s="18" t="s">
        <v>234</v>
      </c>
      <c r="B770" s="18" t="s">
        <v>235</v>
      </c>
      <c r="C770" s="18" t="s">
        <v>206</v>
      </c>
      <c r="D770" s="18" t="s">
        <v>203</v>
      </c>
      <c r="E770" s="61">
        <v>2021</v>
      </c>
      <c r="F770" s="62">
        <v>-1723000000</v>
      </c>
      <c r="G770" s="62">
        <v>3661000000</v>
      </c>
      <c r="H770" s="62">
        <v>2416000000</v>
      </c>
      <c r="I770" s="62">
        <v>2419000000</v>
      </c>
      <c r="J770" s="62">
        <f t="shared" si="121"/>
        <v>-0.71316225165562919</v>
      </c>
      <c r="K770" s="62">
        <f t="shared" si="122"/>
        <v>1.5134353038445638</v>
      </c>
      <c r="L770" s="63">
        <f t="shared" si="123"/>
        <v>3.1247823563551944</v>
      </c>
      <c r="M770" s="63">
        <f t="shared" si="124"/>
        <v>1.2417218543046358E-3</v>
      </c>
      <c r="N770" s="63">
        <f t="shared" si="125"/>
        <v>3.1221472397495447</v>
      </c>
      <c r="O770" s="62">
        <f t="shared" si="126"/>
        <v>1.5153145695364238</v>
      </c>
      <c r="P770" s="62">
        <f t="shared" si="127"/>
        <v>2.2284768211920531</v>
      </c>
      <c r="Q770" s="62">
        <f t="shared" si="128"/>
        <v>-1.8792656918600326E-3</v>
      </c>
      <c r="R770" s="63">
        <f t="shared" si="129"/>
        <v>3.1247823563551944</v>
      </c>
      <c r="S770" s="63">
        <f t="shared" si="130"/>
        <v>-2.6351166056493547E-3</v>
      </c>
      <c r="T770" s="63">
        <f t="shared" si="131"/>
        <v>3.1221472397495451</v>
      </c>
    </row>
    <row r="771" spans="1:20" x14ac:dyDescent="0.3">
      <c r="A771" s="18" t="s">
        <v>234</v>
      </c>
      <c r="B771" s="18" t="s">
        <v>235</v>
      </c>
      <c r="C771" s="18" t="s">
        <v>206</v>
      </c>
      <c r="D771" s="18" t="s">
        <v>203</v>
      </c>
      <c r="E771" s="61">
        <v>2022</v>
      </c>
      <c r="F771" s="62">
        <v>3661000000</v>
      </c>
      <c r="G771" s="62">
        <v>140000000</v>
      </c>
      <c r="H771" s="62">
        <v>2419000000</v>
      </c>
      <c r="I771" s="62">
        <v>2420000000</v>
      </c>
      <c r="J771" s="62">
        <f t="shared" si="121"/>
        <v>1.5134353038445638</v>
      </c>
      <c r="K771" s="62">
        <f t="shared" si="122"/>
        <v>5.7851239669421489E-2</v>
      </c>
      <c r="L771" s="63">
        <f t="shared" si="123"/>
        <v>-0.96175908221797324</v>
      </c>
      <c r="M771" s="63">
        <f t="shared" si="124"/>
        <v>4.1339396444811904E-4</v>
      </c>
      <c r="N771" s="63">
        <f t="shared" si="125"/>
        <v>-0.96177488425011459</v>
      </c>
      <c r="O771" s="62">
        <f t="shared" si="126"/>
        <v>5.7875155022736671E-2</v>
      </c>
      <c r="P771" s="62">
        <f t="shared" si="127"/>
        <v>-1.455560148821827</v>
      </c>
      <c r="Q771" s="62">
        <f t="shared" si="128"/>
        <v>-2.391535331518202E-5</v>
      </c>
      <c r="R771" s="63">
        <f t="shared" si="129"/>
        <v>-0.96175908221797313</v>
      </c>
      <c r="S771" s="63">
        <f t="shared" si="130"/>
        <v>-1.580203214133442E-5</v>
      </c>
      <c r="T771" s="63">
        <f t="shared" si="131"/>
        <v>-0.96177488425011448</v>
      </c>
    </row>
    <row r="772" spans="1:20" x14ac:dyDescent="0.3">
      <c r="A772" s="18" t="s">
        <v>234</v>
      </c>
      <c r="B772" s="18" t="s">
        <v>235</v>
      </c>
      <c r="C772" s="18" t="s">
        <v>206</v>
      </c>
      <c r="D772" s="18" t="s">
        <v>203</v>
      </c>
      <c r="E772" s="61">
        <v>2023</v>
      </c>
      <c r="F772" s="62">
        <v>140000000</v>
      </c>
      <c r="G772" s="62">
        <v>2208000000</v>
      </c>
      <c r="H772" s="62">
        <v>2420000000</v>
      </c>
      <c r="I772" s="62">
        <v>2421449644</v>
      </c>
      <c r="J772" s="62">
        <f t="shared" si="121"/>
        <v>5.7851239669421489E-2</v>
      </c>
      <c r="K772" s="62">
        <f t="shared" si="122"/>
        <v>0.91185047166729349</v>
      </c>
      <c r="L772" s="63">
        <f t="shared" si="123"/>
        <v>14.771428571428572</v>
      </c>
      <c r="M772" s="63">
        <f t="shared" si="124"/>
        <v>5.9902644628099177E-4</v>
      </c>
      <c r="N772" s="63">
        <f t="shared" si="125"/>
        <v>14.761986724534644</v>
      </c>
      <c r="O772" s="62">
        <f t="shared" si="126"/>
        <v>0.91239669421487601</v>
      </c>
      <c r="P772" s="62">
        <f t="shared" si="127"/>
        <v>0.8545454545454545</v>
      </c>
      <c r="Q772" s="62">
        <f t="shared" si="128"/>
        <v>-5.4622254758251998E-4</v>
      </c>
      <c r="R772" s="63">
        <f t="shared" si="129"/>
        <v>14.77142857142857</v>
      </c>
      <c r="S772" s="63">
        <f t="shared" si="130"/>
        <v>-9.4418468939264158E-3</v>
      </c>
      <c r="T772" s="63">
        <f t="shared" si="131"/>
        <v>14.761986724534644</v>
      </c>
    </row>
    <row r="773" spans="1:20" x14ac:dyDescent="0.3">
      <c r="A773" s="18" t="s">
        <v>234</v>
      </c>
      <c r="B773" s="18" t="s">
        <v>235</v>
      </c>
      <c r="C773" s="18" t="s">
        <v>206</v>
      </c>
      <c r="D773" s="18" t="s">
        <v>203</v>
      </c>
      <c r="E773" s="61">
        <v>2024</v>
      </c>
      <c r="F773" s="62">
        <v>2208000000</v>
      </c>
      <c r="G773" s="62">
        <v>4106000000</v>
      </c>
      <c r="H773" s="62">
        <v>2421449644</v>
      </c>
      <c r="I773" s="62">
        <v>2425000000</v>
      </c>
      <c r="J773" s="62">
        <f t="shared" ref="J773:J836" si="132">F773/H773</f>
        <v>0.91185047166729349</v>
      </c>
      <c r="K773" s="62">
        <f t="shared" ref="K773:K836" si="133">G773/I773</f>
        <v>1.6931958762886599</v>
      </c>
      <c r="L773" s="63">
        <f t="shared" ref="L773:L836" si="134">IF(F773=0,"",((G773-F773)/ABS(F773)))</f>
        <v>0.85960144927536231</v>
      </c>
      <c r="M773" s="63">
        <f t="shared" ref="M773:M836" si="135">(I773-H773)/H773</f>
        <v>1.4662109570592417E-3</v>
      </c>
      <c r="N773" s="63">
        <f t="shared" ref="N773:N836" si="136">IF(J773=0,"",((K773-J773)/ABS(J773)))</f>
        <v>0.85687887312565381</v>
      </c>
      <c r="O773" s="62">
        <f t="shared" ref="O773:O836" si="137">G773/H773</f>
        <v>1.6956784586349218</v>
      </c>
      <c r="P773" s="62">
        <f t="shared" ref="P773:P836" si="138">O773-J773</f>
        <v>0.78382798696762834</v>
      </c>
      <c r="Q773" s="62">
        <f t="shared" ref="Q773:Q836" si="139">K773-O773</f>
        <v>-2.4825823462619745E-3</v>
      </c>
      <c r="R773" s="63">
        <f t="shared" ref="R773:R836" si="140">IF(J773=0,"",P773/ABS(J773))</f>
        <v>0.85960144927536253</v>
      </c>
      <c r="S773" s="63">
        <f t="shared" ref="S773:S836" si="141">IF(J773=0,"",Q773/ABS(J773))</f>
        <v>-2.7225761497086699E-3</v>
      </c>
      <c r="T773" s="63">
        <f t="shared" ref="T773:T836" si="142">R773+S773</f>
        <v>0.85687887312565381</v>
      </c>
    </row>
    <row r="774" spans="1:20" x14ac:dyDescent="0.3">
      <c r="A774" s="18" t="s">
        <v>236</v>
      </c>
      <c r="B774" s="18" t="s">
        <v>237</v>
      </c>
      <c r="C774" s="18" t="s">
        <v>206</v>
      </c>
      <c r="D774" s="18" t="s">
        <v>203</v>
      </c>
      <c r="E774" s="61">
        <v>2016</v>
      </c>
      <c r="F774" s="62">
        <v>374000000</v>
      </c>
      <c r="G774" s="62">
        <v>1311000000</v>
      </c>
      <c r="H774" s="62">
        <v>562001188</v>
      </c>
      <c r="I774" s="62">
        <v>554624285</v>
      </c>
      <c r="J774" s="62">
        <f t="shared" si="132"/>
        <v>0.66547902030413497</v>
      </c>
      <c r="K774" s="62">
        <f t="shared" si="133"/>
        <v>2.3637623440884852</v>
      </c>
      <c r="L774" s="63">
        <f t="shared" si="134"/>
        <v>2.5053475935828877</v>
      </c>
      <c r="M774" s="63">
        <f t="shared" si="135"/>
        <v>-1.3126134174648755E-2</v>
      </c>
      <c r="N774" s="63">
        <f t="shared" si="136"/>
        <v>2.5519712447256513</v>
      </c>
      <c r="O774" s="62">
        <f t="shared" si="137"/>
        <v>2.3327352824029974</v>
      </c>
      <c r="P774" s="62">
        <f t="shared" si="138"/>
        <v>1.6672562620988625</v>
      </c>
      <c r="Q774" s="62">
        <f t="shared" si="139"/>
        <v>3.1027061685487745E-2</v>
      </c>
      <c r="R774" s="63">
        <f t="shared" si="140"/>
        <v>2.5053475935828882</v>
      </c>
      <c r="S774" s="63">
        <f t="shared" si="141"/>
        <v>4.6623651142763088E-2</v>
      </c>
      <c r="T774" s="63">
        <f t="shared" si="142"/>
        <v>2.5519712447256513</v>
      </c>
    </row>
    <row r="775" spans="1:20" x14ac:dyDescent="0.3">
      <c r="A775" s="18" t="s">
        <v>236</v>
      </c>
      <c r="B775" s="18" t="s">
        <v>237</v>
      </c>
      <c r="C775" s="18" t="s">
        <v>206</v>
      </c>
      <c r="D775" s="18" t="s">
        <v>203</v>
      </c>
      <c r="E775" s="61">
        <v>2017</v>
      </c>
      <c r="F775" s="62">
        <v>1311000000</v>
      </c>
      <c r="G775" s="62">
        <v>1566000000</v>
      </c>
      <c r="H775" s="62">
        <v>554624285</v>
      </c>
      <c r="I775" s="62">
        <v>553383836</v>
      </c>
      <c r="J775" s="62">
        <f t="shared" si="132"/>
        <v>2.3637623440884852</v>
      </c>
      <c r="K775" s="62">
        <f t="shared" si="133"/>
        <v>2.829862200745596</v>
      </c>
      <c r="L775" s="63">
        <f t="shared" si="134"/>
        <v>0.19450800915331809</v>
      </c>
      <c r="M775" s="63">
        <f t="shared" si="135"/>
        <v>-2.2365573119467715E-3</v>
      </c>
      <c r="N775" s="63">
        <f t="shared" si="136"/>
        <v>0.19718558332345734</v>
      </c>
      <c r="O775" s="62">
        <f t="shared" si="137"/>
        <v>2.8235330517487167</v>
      </c>
      <c r="P775" s="62">
        <f t="shared" si="138"/>
        <v>0.45977070766023154</v>
      </c>
      <c r="Q775" s="62">
        <f t="shared" si="139"/>
        <v>6.329148996879308E-3</v>
      </c>
      <c r="R775" s="63">
        <f t="shared" si="140"/>
        <v>0.19450800915331803</v>
      </c>
      <c r="S775" s="63">
        <f t="shared" si="141"/>
        <v>2.6775741701393235E-3</v>
      </c>
      <c r="T775" s="63">
        <f t="shared" si="142"/>
        <v>0.19718558332345737</v>
      </c>
    </row>
    <row r="776" spans="1:20" x14ac:dyDescent="0.3">
      <c r="A776" s="18" t="s">
        <v>236</v>
      </c>
      <c r="B776" s="18" t="s">
        <v>237</v>
      </c>
      <c r="C776" s="18" t="s">
        <v>206</v>
      </c>
      <c r="D776" s="18" t="s">
        <v>203</v>
      </c>
      <c r="E776" s="61">
        <v>2018</v>
      </c>
      <c r="F776" s="62">
        <v>1566000000</v>
      </c>
      <c r="G776" s="62">
        <v>397000000</v>
      </c>
      <c r="H776" s="62">
        <v>553383836</v>
      </c>
      <c r="I776" s="62">
        <v>547105985</v>
      </c>
      <c r="J776" s="62">
        <f t="shared" si="132"/>
        <v>2.829862200745596</v>
      </c>
      <c r="K776" s="62">
        <f t="shared" si="133"/>
        <v>0.72563636824407984</v>
      </c>
      <c r="L776" s="63">
        <f t="shared" si="134"/>
        <v>-0.74648786717752236</v>
      </c>
      <c r="M776" s="63">
        <f t="shared" si="135"/>
        <v>-1.1344478446240702E-2</v>
      </c>
      <c r="N776" s="63">
        <f t="shared" si="136"/>
        <v>-0.74357890357597867</v>
      </c>
      <c r="O776" s="62">
        <f t="shared" si="137"/>
        <v>0.71740440210472645</v>
      </c>
      <c r="P776" s="62">
        <f t="shared" si="138"/>
        <v>-2.1124577986408695</v>
      </c>
      <c r="Q776" s="62">
        <f t="shared" si="139"/>
        <v>8.2319661393533972E-3</v>
      </c>
      <c r="R776" s="63">
        <f t="shared" si="140"/>
        <v>-0.74648786717752236</v>
      </c>
      <c r="S776" s="63">
        <f t="shared" si="141"/>
        <v>2.9089636015437381E-3</v>
      </c>
      <c r="T776" s="63">
        <f t="shared" si="142"/>
        <v>-0.74357890357597867</v>
      </c>
    </row>
    <row r="777" spans="1:20" x14ac:dyDescent="0.3">
      <c r="A777" s="18" t="s">
        <v>236</v>
      </c>
      <c r="B777" s="18" t="s">
        <v>237</v>
      </c>
      <c r="C777" s="18" t="s">
        <v>206</v>
      </c>
      <c r="D777" s="18" t="s">
        <v>203</v>
      </c>
      <c r="E777" s="61">
        <v>2019</v>
      </c>
      <c r="F777" s="62">
        <v>397000000</v>
      </c>
      <c r="G777" s="62">
        <v>1406000000</v>
      </c>
      <c r="H777" s="62">
        <v>547105985</v>
      </c>
      <c r="I777" s="62">
        <v>542079771</v>
      </c>
      <c r="J777" s="62">
        <f t="shared" si="132"/>
        <v>0.72563636824407984</v>
      </c>
      <c r="K777" s="62">
        <f t="shared" si="133"/>
        <v>2.5937142007831908</v>
      </c>
      <c r="L777" s="63">
        <f t="shared" si="134"/>
        <v>2.5415617128463475</v>
      </c>
      <c r="M777" s="63">
        <f t="shared" si="135"/>
        <v>-9.1869110150567986E-3</v>
      </c>
      <c r="N777" s="63">
        <f t="shared" si="136"/>
        <v>2.57439940208558</v>
      </c>
      <c r="O777" s="62">
        <f t="shared" si="137"/>
        <v>2.5698859792221063</v>
      </c>
      <c r="P777" s="62">
        <f t="shared" si="138"/>
        <v>1.8442496109780264</v>
      </c>
      <c r="Q777" s="62">
        <f t="shared" si="139"/>
        <v>2.382822156108455E-2</v>
      </c>
      <c r="R777" s="63">
        <f t="shared" si="140"/>
        <v>2.5415617128463475</v>
      </c>
      <c r="S777" s="63">
        <f t="shared" si="141"/>
        <v>3.2837689239232748E-2</v>
      </c>
      <c r="T777" s="63">
        <f t="shared" si="142"/>
        <v>2.57439940208558</v>
      </c>
    </row>
    <row r="778" spans="1:20" x14ac:dyDescent="0.3">
      <c r="A778" s="18" t="s">
        <v>236</v>
      </c>
      <c r="B778" s="18" t="s">
        <v>237</v>
      </c>
      <c r="C778" s="18" t="s">
        <v>206</v>
      </c>
      <c r="D778" s="18" t="s">
        <v>203</v>
      </c>
      <c r="E778" s="61">
        <v>2020</v>
      </c>
      <c r="F778" s="62">
        <v>1406000000</v>
      </c>
      <c r="G778" s="62">
        <v>456000000</v>
      </c>
      <c r="H778" s="62">
        <v>542079771</v>
      </c>
      <c r="I778" s="62">
        <v>536452195</v>
      </c>
      <c r="J778" s="62">
        <f t="shared" si="132"/>
        <v>2.5937142007831908</v>
      </c>
      <c r="K778" s="62">
        <f t="shared" si="133"/>
        <v>0.85002914378978356</v>
      </c>
      <c r="L778" s="63">
        <f t="shared" si="134"/>
        <v>-0.67567567567567566</v>
      </c>
      <c r="M778" s="63">
        <f t="shared" si="135"/>
        <v>-1.0381453618198196E-2</v>
      </c>
      <c r="N778" s="63">
        <f t="shared" si="136"/>
        <v>-0.67227339714872547</v>
      </c>
      <c r="O778" s="62">
        <f t="shared" si="137"/>
        <v>0.84120460565941313</v>
      </c>
      <c r="P778" s="62">
        <f t="shared" si="138"/>
        <v>-1.7525095951237777</v>
      </c>
      <c r="Q778" s="62">
        <f t="shared" si="139"/>
        <v>8.8245381303704296E-3</v>
      </c>
      <c r="R778" s="63">
        <f t="shared" si="140"/>
        <v>-0.67567567567567577</v>
      </c>
      <c r="S778" s="63">
        <f t="shared" si="141"/>
        <v>3.4022785269501921E-3</v>
      </c>
      <c r="T778" s="63">
        <f t="shared" si="142"/>
        <v>-0.67227339714872558</v>
      </c>
    </row>
    <row r="779" spans="1:20" x14ac:dyDescent="0.3">
      <c r="A779" s="18" t="s">
        <v>236</v>
      </c>
      <c r="B779" s="18" t="s">
        <v>237</v>
      </c>
      <c r="C779" s="18" t="s">
        <v>206</v>
      </c>
      <c r="D779" s="18" t="s">
        <v>203</v>
      </c>
      <c r="E779" s="61">
        <v>2021</v>
      </c>
      <c r="F779" s="62">
        <v>456000000</v>
      </c>
      <c r="G779" s="62">
        <v>2521000000</v>
      </c>
      <c r="H779" s="62">
        <v>536452195</v>
      </c>
      <c r="I779" s="62">
        <v>526244506</v>
      </c>
      <c r="J779" s="62">
        <f t="shared" si="132"/>
        <v>0.85002914378978356</v>
      </c>
      <c r="K779" s="62">
        <f t="shared" si="133"/>
        <v>4.7905488252261206</v>
      </c>
      <c r="L779" s="63">
        <f t="shared" si="134"/>
        <v>4.5285087719298245</v>
      </c>
      <c r="M779" s="63">
        <f t="shared" si="135"/>
        <v>-1.9028142852505245E-2</v>
      </c>
      <c r="N779" s="63">
        <f t="shared" si="136"/>
        <v>4.6357465626035603</v>
      </c>
      <c r="O779" s="62">
        <f t="shared" si="137"/>
        <v>4.6993935778378164</v>
      </c>
      <c r="P779" s="62">
        <f t="shared" si="138"/>
        <v>3.8493644340480326</v>
      </c>
      <c r="Q779" s="62">
        <f t="shared" si="139"/>
        <v>9.1155247388304161E-2</v>
      </c>
      <c r="R779" s="63">
        <f t="shared" si="140"/>
        <v>4.5285087719298245</v>
      </c>
      <c r="S779" s="63">
        <f t="shared" si="141"/>
        <v>0.10723779067373637</v>
      </c>
      <c r="T779" s="63">
        <f t="shared" si="142"/>
        <v>4.6357465626035612</v>
      </c>
    </row>
    <row r="780" spans="1:20" x14ac:dyDescent="0.3">
      <c r="A780" s="18" t="s">
        <v>236</v>
      </c>
      <c r="B780" s="18" t="s">
        <v>237</v>
      </c>
      <c r="C780" s="18" t="s">
        <v>206</v>
      </c>
      <c r="D780" s="18" t="s">
        <v>203</v>
      </c>
      <c r="E780" s="61">
        <v>2022</v>
      </c>
      <c r="F780" s="62">
        <v>2521000000</v>
      </c>
      <c r="G780" s="62">
        <v>3003000000</v>
      </c>
      <c r="H780" s="62">
        <v>526244506</v>
      </c>
      <c r="I780" s="62">
        <v>514372413</v>
      </c>
      <c r="J780" s="62">
        <f t="shared" si="132"/>
        <v>4.7905488252261206</v>
      </c>
      <c r="K780" s="62">
        <f t="shared" si="133"/>
        <v>5.8381824610022388</v>
      </c>
      <c r="L780" s="63">
        <f t="shared" si="134"/>
        <v>0.19119397064656882</v>
      </c>
      <c r="M780" s="63">
        <f t="shared" si="135"/>
        <v>-2.2560032199177012E-2</v>
      </c>
      <c r="N780" s="63">
        <f t="shared" si="136"/>
        <v>0.21868760219277558</v>
      </c>
      <c r="O780" s="62">
        <f t="shared" si="137"/>
        <v>5.706472876697358</v>
      </c>
      <c r="P780" s="62">
        <f t="shared" si="138"/>
        <v>0.91592405147123745</v>
      </c>
      <c r="Q780" s="62">
        <f t="shared" si="139"/>
        <v>0.13170958430488078</v>
      </c>
      <c r="R780" s="63">
        <f t="shared" si="140"/>
        <v>0.19119397064656879</v>
      </c>
      <c r="S780" s="63">
        <f t="shared" si="141"/>
        <v>2.7493631546206796E-2</v>
      </c>
      <c r="T780" s="63">
        <f t="shared" si="142"/>
        <v>0.21868760219277558</v>
      </c>
    </row>
    <row r="781" spans="1:20" x14ac:dyDescent="0.3">
      <c r="A781" s="18" t="s">
        <v>236</v>
      </c>
      <c r="B781" s="18" t="s">
        <v>237</v>
      </c>
      <c r="C781" s="18" t="s">
        <v>206</v>
      </c>
      <c r="D781" s="18" t="s">
        <v>203</v>
      </c>
      <c r="E781" s="61">
        <v>2023</v>
      </c>
      <c r="F781" s="62">
        <v>3003000000</v>
      </c>
      <c r="G781" s="62">
        <v>2669000000</v>
      </c>
      <c r="H781" s="62">
        <v>514372413</v>
      </c>
      <c r="I781" s="62">
        <v>507282902</v>
      </c>
      <c r="J781" s="62">
        <f t="shared" si="132"/>
        <v>5.8381824610022388</v>
      </c>
      <c r="K781" s="62">
        <f t="shared" si="133"/>
        <v>5.2613640031573548</v>
      </c>
      <c r="L781" s="63">
        <f t="shared" si="134"/>
        <v>-0.11122211122211122</v>
      </c>
      <c r="M781" s="63">
        <f t="shared" si="135"/>
        <v>-1.378283675567181E-2</v>
      </c>
      <c r="N781" s="63">
        <f t="shared" si="136"/>
        <v>-9.88010329752287E-2</v>
      </c>
      <c r="O781" s="62">
        <f t="shared" si="137"/>
        <v>5.1888474819896686</v>
      </c>
      <c r="P781" s="62">
        <f t="shared" si="138"/>
        <v>-0.6493349790125702</v>
      </c>
      <c r="Q781" s="62">
        <f t="shared" si="139"/>
        <v>7.2516521167686143E-2</v>
      </c>
      <c r="R781" s="63">
        <f t="shared" si="140"/>
        <v>-0.11122211122211126</v>
      </c>
      <c r="S781" s="63">
        <f t="shared" si="141"/>
        <v>1.2421078246882551E-2</v>
      </c>
      <c r="T781" s="63">
        <f t="shared" si="142"/>
        <v>-9.8801032975228714E-2</v>
      </c>
    </row>
    <row r="782" spans="1:20" x14ac:dyDescent="0.3">
      <c r="A782" s="18" t="s">
        <v>236</v>
      </c>
      <c r="B782" s="18" t="s">
        <v>237</v>
      </c>
      <c r="C782" s="18" t="s">
        <v>206</v>
      </c>
      <c r="D782" s="18" t="s">
        <v>203</v>
      </c>
      <c r="E782" s="61">
        <v>2024</v>
      </c>
      <c r="F782" s="62">
        <v>2669000000</v>
      </c>
      <c r="G782" s="62">
        <v>2844000000</v>
      </c>
      <c r="H782" s="62">
        <v>507282902</v>
      </c>
      <c r="I782" s="62">
        <v>499715108</v>
      </c>
      <c r="J782" s="62">
        <f t="shared" si="132"/>
        <v>5.2613640031573548</v>
      </c>
      <c r="K782" s="62">
        <f t="shared" si="133"/>
        <v>5.6912427790756333</v>
      </c>
      <c r="L782" s="63">
        <f t="shared" si="134"/>
        <v>6.5567628325215441E-2</v>
      </c>
      <c r="M782" s="63">
        <f t="shared" si="135"/>
        <v>-1.4918291095882431E-2</v>
      </c>
      <c r="N782" s="63">
        <f t="shared" si="136"/>
        <v>8.1704815644822792E-2</v>
      </c>
      <c r="O782" s="62">
        <f t="shared" si="137"/>
        <v>5.6063391626000438</v>
      </c>
      <c r="P782" s="62">
        <f t="shared" si="138"/>
        <v>0.34497515944268908</v>
      </c>
      <c r="Q782" s="62">
        <f t="shared" si="139"/>
        <v>8.4903616475589416E-2</v>
      </c>
      <c r="R782" s="63">
        <f t="shared" si="140"/>
        <v>6.5567628325215441E-2</v>
      </c>
      <c r="S782" s="63">
        <f t="shared" si="141"/>
        <v>1.6137187319607348E-2</v>
      </c>
      <c r="T782" s="63">
        <f t="shared" si="142"/>
        <v>8.1704815644822792E-2</v>
      </c>
    </row>
    <row r="783" spans="1:20" x14ac:dyDescent="0.3">
      <c r="A783" s="18" t="s">
        <v>238</v>
      </c>
      <c r="B783" s="18" t="s">
        <v>239</v>
      </c>
      <c r="C783" s="18" t="s">
        <v>206</v>
      </c>
      <c r="D783" s="18" t="s">
        <v>203</v>
      </c>
      <c r="E783" s="61">
        <v>2016</v>
      </c>
      <c r="F783" s="62">
        <v>550600000</v>
      </c>
      <c r="G783" s="62">
        <v>628500000</v>
      </c>
      <c r="H783" s="62">
        <v>266375725</v>
      </c>
      <c r="I783" s="62">
        <v>266395359</v>
      </c>
      <c r="J783" s="62">
        <f t="shared" si="132"/>
        <v>2.0670051672313607</v>
      </c>
      <c r="K783" s="62">
        <f t="shared" si="133"/>
        <v>2.3592753355736953</v>
      </c>
      <c r="L783" s="63">
        <f t="shared" si="134"/>
        <v>0.14148201961496548</v>
      </c>
      <c r="M783" s="63">
        <f t="shared" si="135"/>
        <v>7.3707917641519321E-5</v>
      </c>
      <c r="N783" s="63">
        <f t="shared" si="136"/>
        <v>0.14139788955332622</v>
      </c>
      <c r="O783" s="62">
        <f t="shared" si="137"/>
        <v>2.3594492328458232</v>
      </c>
      <c r="P783" s="62">
        <f t="shared" si="138"/>
        <v>0.29244406561446246</v>
      </c>
      <c r="Q783" s="62">
        <f t="shared" si="139"/>
        <v>-1.7389727212790973E-4</v>
      </c>
      <c r="R783" s="63">
        <f t="shared" si="140"/>
        <v>0.14148201961496551</v>
      </c>
      <c r="S783" s="63">
        <f t="shared" si="141"/>
        <v>-8.4130061639292136E-5</v>
      </c>
      <c r="T783" s="63">
        <f t="shared" si="142"/>
        <v>0.14139788955332622</v>
      </c>
    </row>
    <row r="784" spans="1:20" x14ac:dyDescent="0.3">
      <c r="A784" s="18" t="s">
        <v>238</v>
      </c>
      <c r="B784" s="18" t="s">
        <v>239</v>
      </c>
      <c r="C784" s="18" t="s">
        <v>206</v>
      </c>
      <c r="D784" s="18" t="s">
        <v>203</v>
      </c>
      <c r="E784" s="61">
        <v>2017</v>
      </c>
      <c r="F784" s="62">
        <v>628500000</v>
      </c>
      <c r="G784" s="62">
        <v>711200000</v>
      </c>
      <c r="H784" s="62">
        <v>266395359</v>
      </c>
      <c r="I784" s="62">
        <v>266432980</v>
      </c>
      <c r="J784" s="62">
        <f t="shared" si="132"/>
        <v>2.3592753355736953</v>
      </c>
      <c r="K784" s="62">
        <f t="shared" si="133"/>
        <v>2.6693392086820484</v>
      </c>
      <c r="L784" s="63">
        <f t="shared" si="134"/>
        <v>0.13158313444709627</v>
      </c>
      <c r="M784" s="63">
        <f t="shared" si="135"/>
        <v>1.4122243023010023E-4</v>
      </c>
      <c r="N784" s="63">
        <f t="shared" si="136"/>
        <v>0.13142335209169478</v>
      </c>
      <c r="O784" s="62">
        <f t="shared" si="137"/>
        <v>2.6697161792522071</v>
      </c>
      <c r="P784" s="62">
        <f t="shared" si="138"/>
        <v>0.31044084367851177</v>
      </c>
      <c r="Q784" s="62">
        <f t="shared" si="139"/>
        <v>-3.7697057015861901E-4</v>
      </c>
      <c r="R784" s="63">
        <f t="shared" si="140"/>
        <v>0.13158313444709629</v>
      </c>
      <c r="S784" s="63">
        <f t="shared" si="141"/>
        <v>-1.5978235540149561E-4</v>
      </c>
      <c r="T784" s="63">
        <f t="shared" si="142"/>
        <v>0.13142335209169481</v>
      </c>
    </row>
    <row r="785" spans="1:20" x14ac:dyDescent="0.3">
      <c r="A785" s="18" t="s">
        <v>238</v>
      </c>
      <c r="B785" s="18" t="s">
        <v>239</v>
      </c>
      <c r="C785" s="18" t="s">
        <v>206</v>
      </c>
      <c r="D785" s="18" t="s">
        <v>203</v>
      </c>
      <c r="E785" s="61">
        <v>2018</v>
      </c>
      <c r="F785" s="62">
        <v>711200000</v>
      </c>
      <c r="G785" s="62">
        <v>771700000</v>
      </c>
      <c r="H785" s="62">
        <v>266432980</v>
      </c>
      <c r="I785" s="62">
        <v>266878862</v>
      </c>
      <c r="J785" s="62">
        <f t="shared" si="132"/>
        <v>2.6693392086820484</v>
      </c>
      <c r="K785" s="62">
        <f t="shared" si="133"/>
        <v>2.8915740805279664</v>
      </c>
      <c r="L785" s="63">
        <f t="shared" si="134"/>
        <v>8.5067491563554559E-2</v>
      </c>
      <c r="M785" s="63">
        <f t="shared" si="135"/>
        <v>1.6735240509639609E-3</v>
      </c>
      <c r="N785" s="63">
        <f t="shared" si="136"/>
        <v>8.3254638872083828E-2</v>
      </c>
      <c r="O785" s="62">
        <f t="shared" si="137"/>
        <v>2.896413199296874</v>
      </c>
      <c r="P785" s="62">
        <f t="shared" si="138"/>
        <v>0.22707399061482558</v>
      </c>
      <c r="Q785" s="62">
        <f t="shared" si="139"/>
        <v>-4.8391187689076354E-3</v>
      </c>
      <c r="R785" s="63">
        <f t="shared" si="140"/>
        <v>8.5067491563554573E-2</v>
      </c>
      <c r="S785" s="63">
        <f t="shared" si="141"/>
        <v>-1.8128526914707433E-3</v>
      </c>
      <c r="T785" s="63">
        <f t="shared" si="142"/>
        <v>8.3254638872083828E-2</v>
      </c>
    </row>
    <row r="786" spans="1:20" x14ac:dyDescent="0.3">
      <c r="A786" s="18" t="s">
        <v>238</v>
      </c>
      <c r="B786" s="18" t="s">
        <v>239</v>
      </c>
      <c r="C786" s="18" t="s">
        <v>206</v>
      </c>
      <c r="D786" s="18" t="s">
        <v>203</v>
      </c>
      <c r="E786" s="61">
        <v>2019</v>
      </c>
      <c r="F786" s="62">
        <v>771700000</v>
      </c>
      <c r="G786" s="62">
        <v>834800000</v>
      </c>
      <c r="H786" s="62">
        <v>266878862</v>
      </c>
      <c r="I786" s="62">
        <v>266833977</v>
      </c>
      <c r="J786" s="62">
        <f t="shared" si="132"/>
        <v>2.8915740805279664</v>
      </c>
      <c r="K786" s="62">
        <f t="shared" si="133"/>
        <v>3.1285371127980452</v>
      </c>
      <c r="L786" s="63">
        <f t="shared" si="134"/>
        <v>8.1767526240767135E-2</v>
      </c>
      <c r="M786" s="63">
        <f t="shared" si="135"/>
        <v>-1.6818491979331057E-4</v>
      </c>
      <c r="N786" s="63">
        <f t="shared" si="136"/>
        <v>8.1949493829607256E-2</v>
      </c>
      <c r="O786" s="62">
        <f t="shared" si="137"/>
        <v>3.1280109400346587</v>
      </c>
      <c r="P786" s="62">
        <f t="shared" si="138"/>
        <v>0.23643685950669235</v>
      </c>
      <c r="Q786" s="62">
        <f t="shared" si="139"/>
        <v>5.2617276338651209E-4</v>
      </c>
      <c r="R786" s="63">
        <f t="shared" si="140"/>
        <v>8.1767526240767052E-2</v>
      </c>
      <c r="S786" s="63">
        <f t="shared" si="141"/>
        <v>1.8196758884020682E-4</v>
      </c>
      <c r="T786" s="63">
        <f t="shared" si="142"/>
        <v>8.1949493829607256E-2</v>
      </c>
    </row>
    <row r="787" spans="1:20" x14ac:dyDescent="0.3">
      <c r="A787" s="18" t="s">
        <v>238</v>
      </c>
      <c r="B787" s="18" t="s">
        <v>239</v>
      </c>
      <c r="C787" s="18" t="s">
        <v>206</v>
      </c>
      <c r="D787" s="18" t="s">
        <v>203</v>
      </c>
      <c r="E787" s="61">
        <v>2020</v>
      </c>
      <c r="F787" s="62">
        <v>834800000</v>
      </c>
      <c r="G787" s="62">
        <v>681200000</v>
      </c>
      <c r="H787" s="62">
        <v>266833977</v>
      </c>
      <c r="I787" s="62">
        <v>267172454</v>
      </c>
      <c r="J787" s="62">
        <f t="shared" si="132"/>
        <v>3.1285371127980452</v>
      </c>
      <c r="K787" s="62">
        <f t="shared" si="133"/>
        <v>2.5496640458301139</v>
      </c>
      <c r="L787" s="63">
        <f t="shared" si="134"/>
        <v>-0.18399616674652611</v>
      </c>
      <c r="M787" s="63">
        <f t="shared" si="135"/>
        <v>1.2684928801252324E-3</v>
      </c>
      <c r="N787" s="63">
        <f t="shared" si="136"/>
        <v>-0.18502995045189322</v>
      </c>
      <c r="O787" s="62">
        <f t="shared" si="137"/>
        <v>2.5528982765189605</v>
      </c>
      <c r="P787" s="62">
        <f t="shared" si="138"/>
        <v>-0.57563883627908474</v>
      </c>
      <c r="Q787" s="62">
        <f t="shared" si="139"/>
        <v>-3.234230688846651E-3</v>
      </c>
      <c r="R787" s="63">
        <f t="shared" si="140"/>
        <v>-0.18399616674652619</v>
      </c>
      <c r="S787" s="63">
        <f t="shared" si="141"/>
        <v>-1.0337837053670358E-3</v>
      </c>
      <c r="T787" s="63">
        <f t="shared" si="142"/>
        <v>-0.18502995045189322</v>
      </c>
    </row>
    <row r="788" spans="1:20" x14ac:dyDescent="0.3">
      <c r="A788" s="18" t="s">
        <v>238</v>
      </c>
      <c r="B788" s="18" t="s">
        <v>239</v>
      </c>
      <c r="C788" s="18" t="s">
        <v>206</v>
      </c>
      <c r="D788" s="18" t="s">
        <v>203</v>
      </c>
      <c r="E788" s="61">
        <v>2021</v>
      </c>
      <c r="F788" s="62">
        <v>681200000</v>
      </c>
      <c r="G788" s="62">
        <v>904500000</v>
      </c>
      <c r="H788" s="62">
        <v>267172454</v>
      </c>
      <c r="I788" s="62">
        <v>266896342</v>
      </c>
      <c r="J788" s="62">
        <f t="shared" si="132"/>
        <v>2.5496640458301139</v>
      </c>
      <c r="K788" s="62">
        <f t="shared" si="133"/>
        <v>3.3889561513735544</v>
      </c>
      <c r="L788" s="63">
        <f t="shared" si="134"/>
        <v>0.32780387551379919</v>
      </c>
      <c r="M788" s="63">
        <f t="shared" si="135"/>
        <v>-1.0334598341489201E-3</v>
      </c>
      <c r="N788" s="63">
        <f t="shared" si="136"/>
        <v>0.3291775271005109</v>
      </c>
      <c r="O788" s="62">
        <f t="shared" si="137"/>
        <v>3.3854538013114182</v>
      </c>
      <c r="P788" s="62">
        <f t="shared" si="138"/>
        <v>0.8357897554813043</v>
      </c>
      <c r="Q788" s="62">
        <f t="shared" si="139"/>
        <v>3.5023500621362835E-3</v>
      </c>
      <c r="R788" s="63">
        <f t="shared" si="140"/>
        <v>0.32780387551379919</v>
      </c>
      <c r="S788" s="63">
        <f t="shared" si="141"/>
        <v>1.3736515867116901E-3</v>
      </c>
      <c r="T788" s="63">
        <f t="shared" si="142"/>
        <v>0.3291775271005109</v>
      </c>
    </row>
    <row r="789" spans="1:20" x14ac:dyDescent="0.3">
      <c r="A789" s="18" t="s">
        <v>238</v>
      </c>
      <c r="B789" s="18" t="s">
        <v>239</v>
      </c>
      <c r="C789" s="18" t="s">
        <v>206</v>
      </c>
      <c r="D789" s="18" t="s">
        <v>203</v>
      </c>
      <c r="E789" s="61">
        <v>2022</v>
      </c>
      <c r="F789" s="62">
        <v>904500000</v>
      </c>
      <c r="G789" s="62">
        <v>999500000</v>
      </c>
      <c r="H789" s="62">
        <v>266896342</v>
      </c>
      <c r="I789" s="62">
        <v>266608414</v>
      </c>
      <c r="J789" s="62">
        <f t="shared" si="132"/>
        <v>3.3889561513735544</v>
      </c>
      <c r="K789" s="62">
        <f t="shared" si="133"/>
        <v>3.7489439474329567</v>
      </c>
      <c r="L789" s="63">
        <f t="shared" si="134"/>
        <v>0.10503040353786622</v>
      </c>
      <c r="M789" s="63">
        <f t="shared" si="135"/>
        <v>-1.0788008477088831E-3</v>
      </c>
      <c r="N789" s="63">
        <f t="shared" si="136"/>
        <v>0.10622379870966996</v>
      </c>
      <c r="O789" s="62">
        <f t="shared" si="137"/>
        <v>3.744899583524453</v>
      </c>
      <c r="P789" s="62">
        <f t="shared" si="138"/>
        <v>0.35594343215089852</v>
      </c>
      <c r="Q789" s="62">
        <f t="shared" si="139"/>
        <v>4.044363908503712E-3</v>
      </c>
      <c r="R789" s="63">
        <f t="shared" si="140"/>
        <v>0.10503040353786623</v>
      </c>
      <c r="S789" s="63">
        <f t="shared" si="141"/>
        <v>1.1933951718037187E-3</v>
      </c>
      <c r="T789" s="63">
        <f t="shared" si="142"/>
        <v>0.10622379870966996</v>
      </c>
    </row>
    <row r="790" spans="1:20" x14ac:dyDescent="0.3">
      <c r="A790" s="18" t="s">
        <v>238</v>
      </c>
      <c r="B790" s="18" t="s">
        <v>239</v>
      </c>
      <c r="C790" s="18" t="s">
        <v>206</v>
      </c>
      <c r="D790" s="18" t="s">
        <v>203</v>
      </c>
      <c r="E790" s="61">
        <v>2023</v>
      </c>
      <c r="F790" s="62">
        <v>999500000</v>
      </c>
      <c r="G790" s="62">
        <v>1148500000</v>
      </c>
      <c r="H790" s="62">
        <v>266608414</v>
      </c>
      <c r="I790" s="62">
        <v>265083085</v>
      </c>
      <c r="J790" s="62">
        <f t="shared" si="132"/>
        <v>3.7489439474329567</v>
      </c>
      <c r="K790" s="62">
        <f t="shared" si="133"/>
        <v>4.332603870216766</v>
      </c>
      <c r="L790" s="63">
        <f t="shared" si="134"/>
        <v>0.14907453726863432</v>
      </c>
      <c r="M790" s="63">
        <f t="shared" si="135"/>
        <v>-5.7212335391635463E-3</v>
      </c>
      <c r="N790" s="63">
        <f t="shared" si="136"/>
        <v>0.15568648957354064</v>
      </c>
      <c r="O790" s="62">
        <f t="shared" si="137"/>
        <v>4.307816031642572</v>
      </c>
      <c r="P790" s="62">
        <f t="shared" si="138"/>
        <v>0.55887208420961532</v>
      </c>
      <c r="Q790" s="62">
        <f t="shared" si="139"/>
        <v>2.4787838574193977E-2</v>
      </c>
      <c r="R790" s="63">
        <f t="shared" si="140"/>
        <v>0.14907453726863432</v>
      </c>
      <c r="S790" s="63">
        <f t="shared" si="141"/>
        <v>6.611952304906331E-3</v>
      </c>
      <c r="T790" s="63">
        <f t="shared" si="142"/>
        <v>0.15568648957354064</v>
      </c>
    </row>
    <row r="791" spans="1:20" x14ac:dyDescent="0.3">
      <c r="A791" s="18" t="s">
        <v>238</v>
      </c>
      <c r="B791" s="18" t="s">
        <v>239</v>
      </c>
      <c r="C791" s="18" t="s">
        <v>206</v>
      </c>
      <c r="D791" s="18" t="s">
        <v>203</v>
      </c>
      <c r="E791" s="61">
        <v>2024</v>
      </c>
      <c r="F791" s="62">
        <v>1148500000</v>
      </c>
      <c r="G791" s="62">
        <v>1166400000</v>
      </c>
      <c r="H791" s="62">
        <v>265083085</v>
      </c>
      <c r="I791" s="62">
        <v>261976092</v>
      </c>
      <c r="J791" s="62">
        <f t="shared" si="132"/>
        <v>4.332603870216766</v>
      </c>
      <c r="K791" s="62">
        <f t="shared" si="133"/>
        <v>4.4523146791578219</v>
      </c>
      <c r="L791" s="63">
        <f t="shared" si="134"/>
        <v>1.5585546364823684E-2</v>
      </c>
      <c r="M791" s="63">
        <f t="shared" si="135"/>
        <v>-1.1720827075782673E-2</v>
      </c>
      <c r="N791" s="63">
        <f t="shared" si="136"/>
        <v>2.7630222500601379E-2</v>
      </c>
      <c r="O791" s="62">
        <f t="shared" si="137"/>
        <v>4.4001298687164443</v>
      </c>
      <c r="P791" s="62">
        <f t="shared" si="138"/>
        <v>6.752599849967833E-2</v>
      </c>
      <c r="Q791" s="62">
        <f t="shared" si="139"/>
        <v>5.2184810441377572E-2</v>
      </c>
      <c r="R791" s="63">
        <f t="shared" si="140"/>
        <v>1.5585546364823774E-2</v>
      </c>
      <c r="S791" s="63">
        <f t="shared" si="141"/>
        <v>1.2044676135777605E-2</v>
      </c>
      <c r="T791" s="63">
        <f t="shared" si="142"/>
        <v>2.7630222500601379E-2</v>
      </c>
    </row>
    <row r="792" spans="1:20" x14ac:dyDescent="0.3">
      <c r="A792" s="18" t="s">
        <v>240</v>
      </c>
      <c r="B792" s="18" t="s">
        <v>241</v>
      </c>
      <c r="C792" s="18" t="s">
        <v>206</v>
      </c>
      <c r="D792" s="18" t="s">
        <v>203</v>
      </c>
      <c r="E792" s="61">
        <v>2016</v>
      </c>
      <c r="F792" s="62">
        <v>2652000000</v>
      </c>
      <c r="G792" s="62">
        <v>2813000000</v>
      </c>
      <c r="H792" s="62">
        <v>2648620953</v>
      </c>
      <c r="I792" s="62">
        <v>2654045007</v>
      </c>
      <c r="J792" s="62">
        <f t="shared" si="132"/>
        <v>1.0012757759830349</v>
      </c>
      <c r="K792" s="62">
        <f t="shared" si="133"/>
        <v>1.0598915966310891</v>
      </c>
      <c r="L792" s="63">
        <f t="shared" si="134"/>
        <v>6.0708898944193061E-2</v>
      </c>
      <c r="M792" s="63">
        <f t="shared" si="135"/>
        <v>2.0478785361326859E-3</v>
      </c>
      <c r="N792" s="63">
        <f t="shared" si="136"/>
        <v>5.8541135273652539E-2</v>
      </c>
      <c r="O792" s="62">
        <f t="shared" si="137"/>
        <v>1.0620621258824572</v>
      </c>
      <c r="P792" s="62">
        <f t="shared" si="138"/>
        <v>6.0786349899422332E-2</v>
      </c>
      <c r="Q792" s="62">
        <f t="shared" si="139"/>
        <v>-2.1705292513680696E-3</v>
      </c>
      <c r="R792" s="63">
        <f t="shared" si="140"/>
        <v>6.0708898944192839E-2</v>
      </c>
      <c r="S792" s="63">
        <f t="shared" si="141"/>
        <v>-2.1677636705402987E-3</v>
      </c>
      <c r="T792" s="63">
        <f t="shared" si="142"/>
        <v>5.8541135273652539E-2</v>
      </c>
    </row>
    <row r="793" spans="1:20" x14ac:dyDescent="0.3">
      <c r="A793" s="18" t="s">
        <v>240</v>
      </c>
      <c r="B793" s="18" t="s">
        <v>241</v>
      </c>
      <c r="C793" s="18" t="s">
        <v>206</v>
      </c>
      <c r="D793" s="18" t="s">
        <v>203</v>
      </c>
      <c r="E793" s="61">
        <v>2017</v>
      </c>
      <c r="F793" s="62">
        <v>2813000000</v>
      </c>
      <c r="G793" s="62">
        <v>1843000000</v>
      </c>
      <c r="H793" s="62">
        <v>2654045007</v>
      </c>
      <c r="I793" s="62">
        <v>2659421767</v>
      </c>
      <c r="J793" s="62">
        <f t="shared" si="132"/>
        <v>1.0598915966310891</v>
      </c>
      <c r="K793" s="62">
        <f t="shared" si="133"/>
        <v>0.69300778946358077</v>
      </c>
      <c r="L793" s="63">
        <f t="shared" si="134"/>
        <v>-0.34482758620689657</v>
      </c>
      <c r="M793" s="63">
        <f t="shared" si="135"/>
        <v>2.0258737081770973E-3</v>
      </c>
      <c r="N793" s="63">
        <f t="shared" si="136"/>
        <v>-0.3461521992755337</v>
      </c>
      <c r="O793" s="62">
        <f t="shared" si="137"/>
        <v>0.69441173572381698</v>
      </c>
      <c r="P793" s="62">
        <f t="shared" si="138"/>
        <v>-0.36547986090727214</v>
      </c>
      <c r="Q793" s="62">
        <f t="shared" si="139"/>
        <v>-1.4039462602362107E-3</v>
      </c>
      <c r="R793" s="63">
        <f t="shared" si="140"/>
        <v>-0.34482758620689657</v>
      </c>
      <c r="S793" s="63">
        <f t="shared" si="141"/>
        <v>-1.3246130686371267E-3</v>
      </c>
      <c r="T793" s="63">
        <f t="shared" si="142"/>
        <v>-0.3461521992755337</v>
      </c>
    </row>
    <row r="794" spans="1:20" x14ac:dyDescent="0.3">
      <c r="A794" s="18" t="s">
        <v>240</v>
      </c>
      <c r="B794" s="18" t="s">
        <v>241</v>
      </c>
      <c r="C794" s="18" t="s">
        <v>206</v>
      </c>
      <c r="D794" s="18" t="s">
        <v>203</v>
      </c>
      <c r="E794" s="61">
        <v>2018</v>
      </c>
      <c r="F794" s="62">
        <v>1843000000</v>
      </c>
      <c r="G794" s="62">
        <v>1954000000</v>
      </c>
      <c r="H794" s="62">
        <v>2659421767</v>
      </c>
      <c r="I794" s="62">
        <v>2656683856</v>
      </c>
      <c r="J794" s="62">
        <f t="shared" si="132"/>
        <v>0.69300778946358077</v>
      </c>
      <c r="K794" s="62">
        <f t="shared" si="133"/>
        <v>0.73550339668266496</v>
      </c>
      <c r="L794" s="63">
        <f t="shared" si="134"/>
        <v>6.0227889310906134E-2</v>
      </c>
      <c r="M794" s="63">
        <f t="shared" si="135"/>
        <v>-1.0295136461519381E-3</v>
      </c>
      <c r="N794" s="63">
        <f t="shared" si="136"/>
        <v>6.1320533282862084E-2</v>
      </c>
      <c r="O794" s="62">
        <f t="shared" si="137"/>
        <v>0.7347461858989891</v>
      </c>
      <c r="P794" s="62">
        <f t="shared" si="138"/>
        <v>4.1738396435408331E-2</v>
      </c>
      <c r="Q794" s="62">
        <f t="shared" si="139"/>
        <v>7.5721078367585459E-4</v>
      </c>
      <c r="R794" s="63">
        <f t="shared" si="140"/>
        <v>6.0227889310906203E-2</v>
      </c>
      <c r="S794" s="63">
        <f t="shared" si="141"/>
        <v>1.092643971955885E-3</v>
      </c>
      <c r="T794" s="63">
        <f t="shared" si="142"/>
        <v>6.1320533282862091E-2</v>
      </c>
    </row>
    <row r="795" spans="1:20" x14ac:dyDescent="0.3">
      <c r="A795" s="18" t="s">
        <v>240</v>
      </c>
      <c r="B795" s="18" t="s">
        <v>241</v>
      </c>
      <c r="C795" s="18" t="s">
        <v>206</v>
      </c>
      <c r="D795" s="18" t="s">
        <v>203</v>
      </c>
      <c r="E795" s="61">
        <v>2019</v>
      </c>
      <c r="F795" s="62">
        <v>1954000000</v>
      </c>
      <c r="G795" s="62">
        <v>3004000000</v>
      </c>
      <c r="H795" s="62">
        <v>2656683856</v>
      </c>
      <c r="I795" s="62">
        <v>2652532564</v>
      </c>
      <c r="J795" s="62">
        <f t="shared" si="132"/>
        <v>0.73550339668266496</v>
      </c>
      <c r="K795" s="62">
        <f t="shared" si="133"/>
        <v>1.1325025904564163</v>
      </c>
      <c r="L795" s="63">
        <f t="shared" si="134"/>
        <v>0.53735926305015358</v>
      </c>
      <c r="M795" s="63">
        <f t="shared" si="135"/>
        <v>-1.5625841180253704E-3</v>
      </c>
      <c r="N795" s="63">
        <f t="shared" si="136"/>
        <v>0.53976527581562994</v>
      </c>
      <c r="O795" s="62">
        <f t="shared" si="137"/>
        <v>1.1307329598949465</v>
      </c>
      <c r="P795" s="62">
        <f t="shared" si="138"/>
        <v>0.39522956321228153</v>
      </c>
      <c r="Q795" s="62">
        <f t="shared" si="139"/>
        <v>1.7696305614698371E-3</v>
      </c>
      <c r="R795" s="63">
        <f t="shared" si="140"/>
        <v>0.53735926305015347</v>
      </c>
      <c r="S795" s="63">
        <f t="shared" si="141"/>
        <v>2.4060127654765263E-3</v>
      </c>
      <c r="T795" s="63">
        <f t="shared" si="142"/>
        <v>0.53976527581562994</v>
      </c>
    </row>
    <row r="796" spans="1:20" x14ac:dyDescent="0.3">
      <c r="A796" s="18" t="s">
        <v>240</v>
      </c>
      <c r="B796" s="18" t="s">
        <v>241</v>
      </c>
      <c r="C796" s="18" t="s">
        <v>206</v>
      </c>
      <c r="D796" s="18" t="s">
        <v>203</v>
      </c>
      <c r="E796" s="61">
        <v>2020</v>
      </c>
      <c r="F796" s="62">
        <v>3004000000</v>
      </c>
      <c r="G796" s="62">
        <v>4822000000</v>
      </c>
      <c r="H796" s="62">
        <v>2652532564</v>
      </c>
      <c r="I796" s="62">
        <v>2656122534</v>
      </c>
      <c r="J796" s="62">
        <f t="shared" si="132"/>
        <v>1.1325025904564163</v>
      </c>
      <c r="K796" s="62">
        <f t="shared" si="133"/>
        <v>1.8154282937912081</v>
      </c>
      <c r="L796" s="63">
        <f t="shared" si="134"/>
        <v>0.60519307589880156</v>
      </c>
      <c r="M796" s="63">
        <f t="shared" si="135"/>
        <v>1.3534122252532694E-3</v>
      </c>
      <c r="N796" s="63">
        <f t="shared" si="136"/>
        <v>0.60302352426369454</v>
      </c>
      <c r="O796" s="62">
        <f t="shared" si="137"/>
        <v>1.8178853166380957</v>
      </c>
      <c r="P796" s="62">
        <f t="shared" si="138"/>
        <v>0.68538272618167939</v>
      </c>
      <c r="Q796" s="62">
        <f t="shared" si="139"/>
        <v>-2.4570228468876465E-3</v>
      </c>
      <c r="R796" s="63">
        <f t="shared" si="140"/>
        <v>0.60519307589880156</v>
      </c>
      <c r="S796" s="63">
        <f t="shared" si="141"/>
        <v>-2.1695516351070135E-3</v>
      </c>
      <c r="T796" s="63">
        <f t="shared" si="142"/>
        <v>0.60302352426369454</v>
      </c>
    </row>
    <row r="797" spans="1:20" x14ac:dyDescent="0.3">
      <c r="A797" s="18" t="s">
        <v>240</v>
      </c>
      <c r="B797" s="18" t="s">
        <v>241</v>
      </c>
      <c r="C797" s="18" t="s">
        <v>206</v>
      </c>
      <c r="D797" s="18" t="s">
        <v>203</v>
      </c>
      <c r="E797" s="61">
        <v>2021</v>
      </c>
      <c r="F797" s="62">
        <v>4822000000</v>
      </c>
      <c r="G797" s="62">
        <v>233000000</v>
      </c>
      <c r="H797" s="62">
        <v>2656122534</v>
      </c>
      <c r="I797" s="62">
        <v>2656981542</v>
      </c>
      <c r="J797" s="62">
        <f t="shared" si="132"/>
        <v>1.8154282937912081</v>
      </c>
      <c r="K797" s="62">
        <f t="shared" si="133"/>
        <v>8.7693495915147759E-2</v>
      </c>
      <c r="L797" s="63">
        <f t="shared" si="134"/>
        <v>-0.9516798009124845</v>
      </c>
      <c r="M797" s="63">
        <f t="shared" si="135"/>
        <v>3.2340676644400623E-4</v>
      </c>
      <c r="N797" s="63">
        <f t="shared" si="136"/>
        <v>-0.951695422939556</v>
      </c>
      <c r="O797" s="62">
        <f t="shared" si="137"/>
        <v>8.7721856585099844E-2</v>
      </c>
      <c r="P797" s="62">
        <f t="shared" si="138"/>
        <v>-1.7277064372061082</v>
      </c>
      <c r="Q797" s="62">
        <f t="shared" si="139"/>
        <v>-2.8360669952084971E-5</v>
      </c>
      <c r="R797" s="63">
        <f t="shared" si="140"/>
        <v>-0.95167980091248439</v>
      </c>
      <c r="S797" s="63">
        <f t="shared" si="141"/>
        <v>-1.5622027071561508E-5</v>
      </c>
      <c r="T797" s="63">
        <f t="shared" si="142"/>
        <v>-0.951695422939556</v>
      </c>
    </row>
    <row r="798" spans="1:20" x14ac:dyDescent="0.3">
      <c r="A798" s="18" t="s">
        <v>240</v>
      </c>
      <c r="B798" s="18" t="s">
        <v>241</v>
      </c>
      <c r="C798" s="18" t="s">
        <v>206</v>
      </c>
      <c r="D798" s="18" t="s">
        <v>203</v>
      </c>
      <c r="E798" s="61">
        <v>2022</v>
      </c>
      <c r="F798" s="62">
        <v>233000000</v>
      </c>
      <c r="G798" s="62">
        <v>2146000000</v>
      </c>
      <c r="H798" s="62">
        <v>2656981542</v>
      </c>
      <c r="I798" s="62">
        <v>2658328369</v>
      </c>
      <c r="J798" s="62">
        <f t="shared" si="132"/>
        <v>8.7693495915147759E-2</v>
      </c>
      <c r="K798" s="62">
        <f t="shared" si="133"/>
        <v>0.8072742348257278</v>
      </c>
      <c r="L798" s="63">
        <f t="shared" si="134"/>
        <v>8.2103004291845494</v>
      </c>
      <c r="M798" s="63">
        <f t="shared" si="135"/>
        <v>5.0690115031292154E-4</v>
      </c>
      <c r="N798" s="63">
        <f t="shared" si="136"/>
        <v>8.2056340826786798</v>
      </c>
      <c r="O798" s="62">
        <f t="shared" si="137"/>
        <v>0.80768344306397899</v>
      </c>
      <c r="P798" s="62">
        <f t="shared" si="138"/>
        <v>0.71998994714883124</v>
      </c>
      <c r="Q798" s="62">
        <f t="shared" si="139"/>
        <v>-4.0920823825119079E-4</v>
      </c>
      <c r="R798" s="63">
        <f t="shared" si="140"/>
        <v>8.2103004291845494</v>
      </c>
      <c r="S798" s="63">
        <f t="shared" si="141"/>
        <v>-4.6663465058701817E-3</v>
      </c>
      <c r="T798" s="63">
        <f t="shared" si="142"/>
        <v>8.2056340826786798</v>
      </c>
    </row>
    <row r="799" spans="1:20" x14ac:dyDescent="0.3">
      <c r="A799" s="18" t="s">
        <v>240</v>
      </c>
      <c r="B799" s="18" t="s">
        <v>241</v>
      </c>
      <c r="C799" s="18" t="s">
        <v>206</v>
      </c>
      <c r="D799" s="18" t="s">
        <v>203</v>
      </c>
      <c r="E799" s="61">
        <v>2023</v>
      </c>
      <c r="F799" s="62">
        <v>2146000000</v>
      </c>
      <c r="G799" s="62">
        <v>2440000000</v>
      </c>
      <c r="H799" s="62">
        <v>2658328369</v>
      </c>
      <c r="I799" s="62">
        <v>2659184216</v>
      </c>
      <c r="J799" s="62">
        <f t="shared" si="132"/>
        <v>0.8072742348257278</v>
      </c>
      <c r="K799" s="62">
        <f t="shared" si="133"/>
        <v>0.91757464011662138</v>
      </c>
      <c r="L799" s="63">
        <f t="shared" si="134"/>
        <v>0.1369990680335508</v>
      </c>
      <c r="M799" s="63">
        <f t="shared" si="135"/>
        <v>3.2194931596127432E-4</v>
      </c>
      <c r="N799" s="63">
        <f t="shared" si="136"/>
        <v>0.13663312977492084</v>
      </c>
      <c r="O799" s="62">
        <f t="shared" si="137"/>
        <v>0.9178700526443504</v>
      </c>
      <c r="P799" s="62">
        <f t="shared" si="138"/>
        <v>0.1105958178186226</v>
      </c>
      <c r="Q799" s="62">
        <f t="shared" si="139"/>
        <v>-2.9541252772902205E-4</v>
      </c>
      <c r="R799" s="63">
        <f t="shared" si="140"/>
        <v>0.13699906803355086</v>
      </c>
      <c r="S799" s="63">
        <f t="shared" si="141"/>
        <v>-3.6593825863003655E-4</v>
      </c>
      <c r="T799" s="63">
        <f t="shared" si="142"/>
        <v>0.13663312977492081</v>
      </c>
    </row>
    <row r="800" spans="1:20" x14ac:dyDescent="0.3">
      <c r="A800" s="18" t="s">
        <v>240</v>
      </c>
      <c r="B800" s="18" t="s">
        <v>241</v>
      </c>
      <c r="C800" s="18" t="s">
        <v>206</v>
      </c>
      <c r="D800" s="18" t="s">
        <v>203</v>
      </c>
      <c r="E800" s="61">
        <v>2024</v>
      </c>
      <c r="F800" s="62">
        <v>2440000000</v>
      </c>
      <c r="G800" s="62">
        <v>2350000000</v>
      </c>
      <c r="H800" s="62">
        <v>2659184216</v>
      </c>
      <c r="I800" s="62">
        <v>2658606000</v>
      </c>
      <c r="J800" s="62">
        <f t="shared" si="132"/>
        <v>0.91757464011662138</v>
      </c>
      <c r="K800" s="62">
        <f t="shared" si="133"/>
        <v>0.88392187484719431</v>
      </c>
      <c r="L800" s="63">
        <f t="shared" si="134"/>
        <v>-3.6885245901639344E-2</v>
      </c>
      <c r="M800" s="63">
        <f t="shared" si="135"/>
        <v>-2.1744112217609522E-4</v>
      </c>
      <c r="N800" s="63">
        <f t="shared" si="136"/>
        <v>-3.6675779602136659E-2</v>
      </c>
      <c r="O800" s="62">
        <f t="shared" si="137"/>
        <v>0.88372967388281154</v>
      </c>
      <c r="P800" s="62">
        <f t="shared" si="138"/>
        <v>-3.3844966233809837E-2</v>
      </c>
      <c r="Q800" s="62">
        <f t="shared" si="139"/>
        <v>1.9220096438277157E-4</v>
      </c>
      <c r="R800" s="63">
        <f t="shared" si="140"/>
        <v>-3.6885245901639378E-2</v>
      </c>
      <c r="S800" s="63">
        <f t="shared" si="141"/>
        <v>2.0946629950272308E-4</v>
      </c>
      <c r="T800" s="63">
        <f t="shared" si="142"/>
        <v>-3.6675779602136659E-2</v>
      </c>
    </row>
    <row r="801" spans="1:20" x14ac:dyDescent="0.3">
      <c r="A801" s="18" t="s">
        <v>242</v>
      </c>
      <c r="B801" s="18" t="s">
        <v>243</v>
      </c>
      <c r="C801" s="18" t="s">
        <v>206</v>
      </c>
      <c r="D801" s="18" t="s">
        <v>203</v>
      </c>
      <c r="E801" s="61">
        <v>2016</v>
      </c>
      <c r="F801" s="62">
        <v>696000000</v>
      </c>
      <c r="G801" s="62">
        <v>813500000</v>
      </c>
      <c r="H801" s="62">
        <v>125996327</v>
      </c>
      <c r="I801" s="62">
        <v>126000194</v>
      </c>
      <c r="J801" s="62">
        <f t="shared" si="132"/>
        <v>5.523970551935216</v>
      </c>
      <c r="K801" s="62">
        <f t="shared" si="133"/>
        <v>6.4563392656363687</v>
      </c>
      <c r="L801" s="63">
        <f t="shared" si="134"/>
        <v>0.16882183908045978</v>
      </c>
      <c r="M801" s="63">
        <f t="shared" si="135"/>
        <v>3.0691370868295229E-5</v>
      </c>
      <c r="N801" s="63">
        <f t="shared" si="136"/>
        <v>0.16878596743686755</v>
      </c>
      <c r="O801" s="62">
        <f t="shared" si="137"/>
        <v>6.456537419539222</v>
      </c>
      <c r="P801" s="62">
        <f t="shared" si="138"/>
        <v>0.93256686760400598</v>
      </c>
      <c r="Q801" s="62">
        <f t="shared" si="139"/>
        <v>-1.9815390285327084E-4</v>
      </c>
      <c r="R801" s="63">
        <f t="shared" si="140"/>
        <v>0.16882183908045983</v>
      </c>
      <c r="S801" s="63">
        <f t="shared" si="141"/>
        <v>-3.5871643592280099E-5</v>
      </c>
      <c r="T801" s="63">
        <f t="shared" si="142"/>
        <v>0.16878596743686755</v>
      </c>
    </row>
    <row r="802" spans="1:20" x14ac:dyDescent="0.3">
      <c r="A802" s="18" t="s">
        <v>242</v>
      </c>
      <c r="B802" s="18" t="s">
        <v>243</v>
      </c>
      <c r="C802" s="18" t="s">
        <v>206</v>
      </c>
      <c r="D802" s="18" t="s">
        <v>203</v>
      </c>
      <c r="E802" s="61">
        <v>2017</v>
      </c>
      <c r="F802" s="62">
        <v>813500000</v>
      </c>
      <c r="G802" s="62">
        <v>1785600000</v>
      </c>
      <c r="H802" s="62">
        <v>126000194</v>
      </c>
      <c r="I802" s="62">
        <v>125999511</v>
      </c>
      <c r="J802" s="62">
        <f t="shared" si="132"/>
        <v>6.4563392656363687</v>
      </c>
      <c r="K802" s="62">
        <f t="shared" si="133"/>
        <v>14.171483570281476</v>
      </c>
      <c r="L802" s="63">
        <f t="shared" si="134"/>
        <v>1.1949600491702519</v>
      </c>
      <c r="M802" s="63">
        <f t="shared" si="135"/>
        <v>-5.4206265745908295E-6</v>
      </c>
      <c r="N802" s="63">
        <f t="shared" si="136"/>
        <v>1.1949719472935201</v>
      </c>
      <c r="O802" s="62">
        <f t="shared" si="137"/>
        <v>14.171406751961033</v>
      </c>
      <c r="P802" s="62">
        <f t="shared" si="138"/>
        <v>7.7150674863246644</v>
      </c>
      <c r="Q802" s="62">
        <f t="shared" si="139"/>
        <v>7.6818320442484378E-5</v>
      </c>
      <c r="R802" s="63">
        <f t="shared" si="140"/>
        <v>1.1949600491702521</v>
      </c>
      <c r="S802" s="63">
        <f t="shared" si="141"/>
        <v>1.1898123267986722E-5</v>
      </c>
      <c r="T802" s="63">
        <f t="shared" si="142"/>
        <v>1.1949719472935201</v>
      </c>
    </row>
    <row r="803" spans="1:20" x14ac:dyDescent="0.3">
      <c r="A803" s="18" t="s">
        <v>242</v>
      </c>
      <c r="B803" s="18" t="s">
        <v>243</v>
      </c>
      <c r="C803" s="18" t="s">
        <v>206</v>
      </c>
      <c r="D803" s="18" t="s">
        <v>203</v>
      </c>
      <c r="E803" s="61">
        <v>2018</v>
      </c>
      <c r="F803" s="62">
        <v>1785600000</v>
      </c>
      <c r="G803" s="62">
        <v>2646400000</v>
      </c>
      <c r="H803" s="62">
        <v>125999511</v>
      </c>
      <c r="I803" s="62">
        <v>125956038</v>
      </c>
      <c r="J803" s="62">
        <f t="shared" si="132"/>
        <v>14.171483570281476</v>
      </c>
      <c r="K803" s="62">
        <f t="shared" si="133"/>
        <v>21.010505268512812</v>
      </c>
      <c r="L803" s="63">
        <f t="shared" si="134"/>
        <v>0.48207885304659498</v>
      </c>
      <c r="M803" s="63">
        <f t="shared" si="135"/>
        <v>-3.4502514854998129E-4</v>
      </c>
      <c r="N803" s="63">
        <f t="shared" si="136"/>
        <v>0.48259038401407817</v>
      </c>
      <c r="O803" s="62">
        <f t="shared" si="137"/>
        <v>21.003256115811432</v>
      </c>
      <c r="P803" s="62">
        <f t="shared" si="138"/>
        <v>6.8317725455299563</v>
      </c>
      <c r="Q803" s="62">
        <f t="shared" si="139"/>
        <v>7.2491527013802681E-3</v>
      </c>
      <c r="R803" s="63">
        <f t="shared" si="140"/>
        <v>0.48207885304659481</v>
      </c>
      <c r="S803" s="63">
        <f t="shared" si="141"/>
        <v>5.1153096748333493E-4</v>
      </c>
      <c r="T803" s="63">
        <f t="shared" si="142"/>
        <v>0.48259038401407817</v>
      </c>
    </row>
    <row r="804" spans="1:20" x14ac:dyDescent="0.3">
      <c r="A804" s="18" t="s">
        <v>242</v>
      </c>
      <c r="B804" s="18" t="s">
        <v>243</v>
      </c>
      <c r="C804" s="18" t="s">
        <v>206</v>
      </c>
      <c r="D804" s="18" t="s">
        <v>203</v>
      </c>
      <c r="E804" s="61">
        <v>2019</v>
      </c>
      <c r="F804" s="62">
        <v>2646400000</v>
      </c>
      <c r="G804" s="62">
        <v>2308600000</v>
      </c>
      <c r="H804" s="62">
        <v>125956038</v>
      </c>
      <c r="I804" s="62">
        <v>125498766</v>
      </c>
      <c r="J804" s="62">
        <f t="shared" si="132"/>
        <v>21.010505268512812</v>
      </c>
      <c r="K804" s="62">
        <f t="shared" si="133"/>
        <v>18.39539999939123</v>
      </c>
      <c r="L804" s="63">
        <f t="shared" si="134"/>
        <v>-0.12764510278113664</v>
      </c>
      <c r="M804" s="63">
        <f t="shared" si="135"/>
        <v>-3.6304095243135546E-3</v>
      </c>
      <c r="N804" s="63">
        <f t="shared" si="136"/>
        <v>-0.12446655783384152</v>
      </c>
      <c r="O804" s="62">
        <f t="shared" si="137"/>
        <v>18.328617164029883</v>
      </c>
      <c r="P804" s="62">
        <f t="shared" si="138"/>
        <v>-2.6818881044829297</v>
      </c>
      <c r="Q804" s="62">
        <f t="shared" si="139"/>
        <v>6.6782835361347992E-2</v>
      </c>
      <c r="R804" s="63">
        <f t="shared" si="140"/>
        <v>-0.12764510278113658</v>
      </c>
      <c r="S804" s="63">
        <f t="shared" si="141"/>
        <v>3.1785449472950767E-3</v>
      </c>
      <c r="T804" s="63">
        <f t="shared" si="142"/>
        <v>-0.1244665578338415</v>
      </c>
    </row>
    <row r="805" spans="1:20" x14ac:dyDescent="0.3">
      <c r="A805" s="18" t="s">
        <v>242</v>
      </c>
      <c r="B805" s="18" t="s">
        <v>243</v>
      </c>
      <c r="C805" s="18" t="s">
        <v>206</v>
      </c>
      <c r="D805" s="18" t="s">
        <v>203</v>
      </c>
      <c r="E805" s="61">
        <v>2020</v>
      </c>
      <c r="F805" s="62">
        <v>2308600000</v>
      </c>
      <c r="G805" s="62">
        <v>2150400000</v>
      </c>
      <c r="H805" s="62">
        <v>125498766</v>
      </c>
      <c r="I805" s="62">
        <v>125011945</v>
      </c>
      <c r="J805" s="62">
        <f t="shared" si="132"/>
        <v>18.39539999939123</v>
      </c>
      <c r="K805" s="62">
        <f t="shared" si="133"/>
        <v>17.201556219287685</v>
      </c>
      <c r="L805" s="63">
        <f t="shared" si="134"/>
        <v>-6.8526379624014561E-2</v>
      </c>
      <c r="M805" s="63">
        <f t="shared" si="135"/>
        <v>-3.8790899346372856E-3</v>
      </c>
      <c r="N805" s="63">
        <f t="shared" si="136"/>
        <v>-6.4899038897933942E-2</v>
      </c>
      <c r="O805" s="62">
        <f t="shared" si="137"/>
        <v>17.134829835697349</v>
      </c>
      <c r="P805" s="62">
        <f t="shared" si="138"/>
        <v>-1.2605701636938811</v>
      </c>
      <c r="Q805" s="62">
        <f t="shared" si="139"/>
        <v>6.6726383590335558E-2</v>
      </c>
      <c r="R805" s="63">
        <f t="shared" si="140"/>
        <v>-6.8526379624014588E-2</v>
      </c>
      <c r="S805" s="63">
        <f t="shared" si="141"/>
        <v>3.6273407260806381E-3</v>
      </c>
      <c r="T805" s="63">
        <f t="shared" si="142"/>
        <v>-6.4899038897933956E-2</v>
      </c>
    </row>
    <row r="806" spans="1:20" x14ac:dyDescent="0.3">
      <c r="A806" s="18" t="s">
        <v>242</v>
      </c>
      <c r="B806" s="18" t="s">
        <v>243</v>
      </c>
      <c r="C806" s="18" t="s">
        <v>206</v>
      </c>
      <c r="D806" s="18" t="s">
        <v>203</v>
      </c>
      <c r="E806" s="61">
        <v>2021</v>
      </c>
      <c r="F806" s="62">
        <v>2150400000</v>
      </c>
      <c r="G806" s="62">
        <v>3176000000</v>
      </c>
      <c r="H806" s="62">
        <v>125011945</v>
      </c>
      <c r="I806" s="62">
        <v>124584509</v>
      </c>
      <c r="J806" s="62">
        <f t="shared" si="132"/>
        <v>17.201556219287685</v>
      </c>
      <c r="K806" s="62">
        <f t="shared" si="133"/>
        <v>25.49273601905033</v>
      </c>
      <c r="L806" s="63">
        <f t="shared" si="134"/>
        <v>0.47693452380952384</v>
      </c>
      <c r="M806" s="63">
        <f t="shared" si="135"/>
        <v>-3.4191612649495215E-3</v>
      </c>
      <c r="N806" s="63">
        <f t="shared" si="136"/>
        <v>0.48200172670807234</v>
      </c>
      <c r="O806" s="62">
        <f t="shared" si="137"/>
        <v>25.40557224351641</v>
      </c>
      <c r="P806" s="62">
        <f t="shared" si="138"/>
        <v>8.204016024228725</v>
      </c>
      <c r="Q806" s="62">
        <f t="shared" si="139"/>
        <v>8.7163775533920074E-2</v>
      </c>
      <c r="R806" s="63">
        <f t="shared" si="140"/>
        <v>0.47693452380952384</v>
      </c>
      <c r="S806" s="63">
        <f t="shared" si="141"/>
        <v>5.0672028985485314E-3</v>
      </c>
      <c r="T806" s="63">
        <f t="shared" si="142"/>
        <v>0.48200172670807234</v>
      </c>
    </row>
    <row r="807" spans="1:20" x14ac:dyDescent="0.3">
      <c r="A807" s="18" t="s">
        <v>242</v>
      </c>
      <c r="B807" s="18" t="s">
        <v>243</v>
      </c>
      <c r="C807" s="18" t="s">
        <v>206</v>
      </c>
      <c r="D807" s="18" t="s">
        <v>203</v>
      </c>
      <c r="E807" s="61">
        <v>2022</v>
      </c>
      <c r="F807" s="62">
        <v>3176000000</v>
      </c>
      <c r="G807" s="62">
        <v>3614000000</v>
      </c>
      <c r="H807" s="62">
        <v>124584509</v>
      </c>
      <c r="I807" s="62">
        <v>123159116</v>
      </c>
      <c r="J807" s="62">
        <f t="shared" si="132"/>
        <v>25.49273601905033</v>
      </c>
      <c r="K807" s="62">
        <f t="shared" si="133"/>
        <v>29.344153460796196</v>
      </c>
      <c r="L807" s="63">
        <f t="shared" si="134"/>
        <v>0.13790931989924432</v>
      </c>
      <c r="M807" s="63">
        <f t="shared" si="135"/>
        <v>-1.1441173637406236E-2</v>
      </c>
      <c r="N807" s="63">
        <f t="shared" si="136"/>
        <v>0.15107901477769045</v>
      </c>
      <c r="O807" s="62">
        <f t="shared" si="137"/>
        <v>29.008421905808529</v>
      </c>
      <c r="P807" s="62">
        <f t="shared" si="138"/>
        <v>3.5156858867581988</v>
      </c>
      <c r="Q807" s="62">
        <f t="shared" si="139"/>
        <v>0.33573155498766738</v>
      </c>
      <c r="R807" s="63">
        <f t="shared" si="140"/>
        <v>0.13790931989924426</v>
      </c>
      <c r="S807" s="63">
        <f t="shared" si="141"/>
        <v>1.3169694878446171E-2</v>
      </c>
      <c r="T807" s="63">
        <f t="shared" si="142"/>
        <v>0.15107901477769042</v>
      </c>
    </row>
    <row r="808" spans="1:20" x14ac:dyDescent="0.3">
      <c r="A808" s="18" t="s">
        <v>242</v>
      </c>
      <c r="B808" s="18" t="s">
        <v>243</v>
      </c>
      <c r="C808" s="18" t="s">
        <v>206</v>
      </c>
      <c r="D808" s="18" t="s">
        <v>203</v>
      </c>
      <c r="E808" s="61">
        <v>2023</v>
      </c>
      <c r="F808" s="62">
        <v>3614000000</v>
      </c>
      <c r="G808" s="62">
        <v>2983000000</v>
      </c>
      <c r="H808" s="62">
        <v>123159116</v>
      </c>
      <c r="I808" s="62">
        <v>122382930</v>
      </c>
      <c r="J808" s="62">
        <f t="shared" si="132"/>
        <v>29.344153460796196</v>
      </c>
      <c r="K808" s="62">
        <f t="shared" si="133"/>
        <v>24.374314293668242</v>
      </c>
      <c r="L808" s="63">
        <f t="shared" si="134"/>
        <v>-0.17459878251245159</v>
      </c>
      <c r="M808" s="63">
        <f t="shared" si="135"/>
        <v>-6.3023024621254994E-3</v>
      </c>
      <c r="N808" s="63">
        <f t="shared" si="136"/>
        <v>-0.16936386233692727</v>
      </c>
      <c r="O808" s="62">
        <f t="shared" si="137"/>
        <v>24.220699992682636</v>
      </c>
      <c r="P808" s="62">
        <f t="shared" si="138"/>
        <v>-5.1234534681135599</v>
      </c>
      <c r="Q808" s="62">
        <f t="shared" si="139"/>
        <v>0.15361430098560547</v>
      </c>
      <c r="R808" s="63">
        <f t="shared" si="140"/>
        <v>-0.17459878251245164</v>
      </c>
      <c r="S808" s="63">
        <f t="shared" si="141"/>
        <v>5.2349201755243768E-3</v>
      </c>
      <c r="T808" s="63">
        <f t="shared" si="142"/>
        <v>-0.16936386233692727</v>
      </c>
    </row>
    <row r="809" spans="1:20" x14ac:dyDescent="0.3">
      <c r="A809" s="18" t="s">
        <v>242</v>
      </c>
      <c r="B809" s="18" t="s">
        <v>243</v>
      </c>
      <c r="C809" s="18" t="s">
        <v>206</v>
      </c>
      <c r="D809" s="18" t="s">
        <v>203</v>
      </c>
      <c r="E809" s="61">
        <v>2024</v>
      </c>
      <c r="F809" s="62">
        <v>2983000000</v>
      </c>
      <c r="G809" s="62">
        <v>1133000000</v>
      </c>
      <c r="H809" s="62">
        <v>122382930</v>
      </c>
      <c r="I809" s="62">
        <v>122619048</v>
      </c>
      <c r="J809" s="62">
        <f t="shared" si="132"/>
        <v>24.374314293668242</v>
      </c>
      <c r="K809" s="62">
        <f t="shared" si="133"/>
        <v>9.2399999712932033</v>
      </c>
      <c r="L809" s="63">
        <f t="shared" si="134"/>
        <v>-0.62018102581293999</v>
      </c>
      <c r="M809" s="63">
        <f t="shared" si="135"/>
        <v>1.9293376943990473E-3</v>
      </c>
      <c r="N809" s="63">
        <f t="shared" si="136"/>
        <v>-0.62091241378250817</v>
      </c>
      <c r="O809" s="62">
        <f t="shared" si="137"/>
        <v>9.2578270515340666</v>
      </c>
      <c r="P809" s="62">
        <f t="shared" si="138"/>
        <v>-15.116487242134175</v>
      </c>
      <c r="Q809" s="62">
        <f t="shared" si="139"/>
        <v>-1.7827080240863324E-2</v>
      </c>
      <c r="R809" s="63">
        <f t="shared" si="140"/>
        <v>-0.62018102581293999</v>
      </c>
      <c r="S809" s="63">
        <f t="shared" si="141"/>
        <v>-7.3138796956820633E-4</v>
      </c>
      <c r="T809" s="63">
        <f t="shared" si="142"/>
        <v>-0.62091241378250817</v>
      </c>
    </row>
    <row r="810" spans="1:20" x14ac:dyDescent="0.3">
      <c r="A810" s="18" t="s">
        <v>244</v>
      </c>
      <c r="B810" s="18" t="s">
        <v>245</v>
      </c>
      <c r="C810" s="18" t="s">
        <v>206</v>
      </c>
      <c r="D810" s="18" t="s">
        <v>203</v>
      </c>
      <c r="E810" s="61">
        <v>2016</v>
      </c>
      <c r="F810" s="62">
        <v>901000000</v>
      </c>
      <c r="G810" s="62">
        <v>-527000000</v>
      </c>
      <c r="H810" s="62">
        <v>222677137</v>
      </c>
      <c r="I810" s="62">
        <v>223305084</v>
      </c>
      <c r="J810" s="62">
        <f t="shared" si="132"/>
        <v>4.0462169225752174</v>
      </c>
      <c r="K810" s="62">
        <f t="shared" si="133"/>
        <v>-2.3600000078815939</v>
      </c>
      <c r="L810" s="63">
        <f t="shared" si="134"/>
        <v>-1.5849056603773586</v>
      </c>
      <c r="M810" s="63">
        <f t="shared" si="135"/>
        <v>2.8199886546951608E-3</v>
      </c>
      <c r="N810" s="63">
        <f t="shared" si="136"/>
        <v>-1.5832608713374592</v>
      </c>
      <c r="O810" s="62">
        <f t="shared" si="137"/>
        <v>-2.3666551811289005</v>
      </c>
      <c r="P810" s="62">
        <f t="shared" si="138"/>
        <v>-6.4128721037041174</v>
      </c>
      <c r="Q810" s="62">
        <f t="shared" si="139"/>
        <v>6.6551732473065783E-3</v>
      </c>
      <c r="R810" s="63">
        <f t="shared" si="140"/>
        <v>-1.5849056603773584</v>
      </c>
      <c r="S810" s="63">
        <f t="shared" si="141"/>
        <v>1.6447890398992471E-3</v>
      </c>
      <c r="T810" s="63">
        <f t="shared" si="142"/>
        <v>-1.5832608713374592</v>
      </c>
    </row>
    <row r="811" spans="1:20" x14ac:dyDescent="0.3">
      <c r="A811" s="18" t="s">
        <v>244</v>
      </c>
      <c r="B811" s="18" t="s">
        <v>245</v>
      </c>
      <c r="C811" s="18" t="s">
        <v>206</v>
      </c>
      <c r="D811" s="18" t="s">
        <v>203</v>
      </c>
      <c r="E811" s="61">
        <v>2017</v>
      </c>
      <c r="F811" s="62">
        <v>-527000000</v>
      </c>
      <c r="G811" s="62">
        <v>862000000</v>
      </c>
      <c r="H811" s="62">
        <v>223305084</v>
      </c>
      <c r="I811" s="62">
        <v>226384707</v>
      </c>
      <c r="J811" s="62">
        <f t="shared" si="132"/>
        <v>-2.3600000078815939</v>
      </c>
      <c r="K811" s="62">
        <f t="shared" si="133"/>
        <v>3.8076776979462661</v>
      </c>
      <c r="L811" s="63">
        <f t="shared" si="134"/>
        <v>2.6356736242884251</v>
      </c>
      <c r="M811" s="63">
        <f t="shared" si="135"/>
        <v>1.3791101146626827E-2</v>
      </c>
      <c r="N811" s="63">
        <f t="shared" si="136"/>
        <v>2.6134227479787806</v>
      </c>
      <c r="O811" s="62">
        <f t="shared" si="137"/>
        <v>3.8601897662123985</v>
      </c>
      <c r="P811" s="62">
        <f t="shared" si="138"/>
        <v>6.220189774093992</v>
      </c>
      <c r="Q811" s="62">
        <f t="shared" si="139"/>
        <v>-5.2512068266132417E-2</v>
      </c>
      <c r="R811" s="63">
        <f t="shared" si="140"/>
        <v>2.6356736242884251</v>
      </c>
      <c r="S811" s="63">
        <f t="shared" si="141"/>
        <v>-2.2250876309644087E-2</v>
      </c>
      <c r="T811" s="63">
        <f t="shared" si="142"/>
        <v>2.613422747978781</v>
      </c>
    </row>
    <row r="812" spans="1:20" x14ac:dyDescent="0.3">
      <c r="A812" s="18" t="s">
        <v>244</v>
      </c>
      <c r="B812" s="18" t="s">
        <v>245</v>
      </c>
      <c r="C812" s="18" t="s">
        <v>206</v>
      </c>
      <c r="D812" s="18" t="s">
        <v>203</v>
      </c>
      <c r="E812" s="61">
        <v>2018</v>
      </c>
      <c r="F812" s="62">
        <v>862000000</v>
      </c>
      <c r="G812" s="62">
        <v>919000000</v>
      </c>
      <c r="H812" s="62">
        <v>226384707</v>
      </c>
      <c r="I812" s="62">
        <v>229231677</v>
      </c>
      <c r="J812" s="62">
        <f t="shared" si="132"/>
        <v>3.8076776979462661</v>
      </c>
      <c r="K812" s="62">
        <f t="shared" si="133"/>
        <v>4.0090445265991752</v>
      </c>
      <c r="L812" s="63">
        <f t="shared" si="134"/>
        <v>6.612529002320186E-2</v>
      </c>
      <c r="M812" s="63">
        <f t="shared" si="135"/>
        <v>1.2575805308262276E-2</v>
      </c>
      <c r="N812" s="63">
        <f t="shared" si="136"/>
        <v>5.2884420538408396E-2</v>
      </c>
      <c r="O812" s="62">
        <f t="shared" si="137"/>
        <v>4.0594614900378412</v>
      </c>
      <c r="P812" s="62">
        <f t="shared" si="138"/>
        <v>0.25178379209157509</v>
      </c>
      <c r="Q812" s="62">
        <f t="shared" si="139"/>
        <v>-5.0416963438665974E-2</v>
      </c>
      <c r="R812" s="63">
        <f t="shared" si="140"/>
        <v>6.6125290023202027E-2</v>
      </c>
      <c r="S812" s="63">
        <f t="shared" si="141"/>
        <v>-1.3240869484793631E-2</v>
      </c>
      <c r="T812" s="63">
        <f t="shared" si="142"/>
        <v>5.2884420538408396E-2</v>
      </c>
    </row>
    <row r="813" spans="1:20" x14ac:dyDescent="0.3">
      <c r="A813" s="18" t="s">
        <v>244</v>
      </c>
      <c r="B813" s="18" t="s">
        <v>245</v>
      </c>
      <c r="C813" s="18" t="s">
        <v>206</v>
      </c>
      <c r="D813" s="18" t="s">
        <v>203</v>
      </c>
      <c r="E813" s="61">
        <v>2019</v>
      </c>
      <c r="F813" s="62">
        <v>919000000</v>
      </c>
      <c r="G813" s="62">
        <v>841000000</v>
      </c>
      <c r="H813" s="62">
        <v>229231677</v>
      </c>
      <c r="I813" s="62">
        <v>234293034</v>
      </c>
      <c r="J813" s="62">
        <f t="shared" si="132"/>
        <v>4.0090445265991752</v>
      </c>
      <c r="K813" s="62">
        <f t="shared" si="133"/>
        <v>3.5895220000437571</v>
      </c>
      <c r="L813" s="63">
        <f t="shared" si="134"/>
        <v>-8.4874863982589768E-2</v>
      </c>
      <c r="M813" s="63">
        <f t="shared" si="135"/>
        <v>2.2079657865086422E-2</v>
      </c>
      <c r="N813" s="63">
        <f t="shared" si="136"/>
        <v>-0.10464401773838468</v>
      </c>
      <c r="O813" s="62">
        <f t="shared" si="137"/>
        <v>3.6687774177039238</v>
      </c>
      <c r="P813" s="62">
        <f t="shared" si="138"/>
        <v>-0.34026710889525136</v>
      </c>
      <c r="Q813" s="62">
        <f t="shared" si="139"/>
        <v>-7.9255417660166749E-2</v>
      </c>
      <c r="R813" s="63">
        <f t="shared" si="140"/>
        <v>-8.4874863982589865E-2</v>
      </c>
      <c r="S813" s="63">
        <f t="shared" si="141"/>
        <v>-1.976915375579482E-2</v>
      </c>
      <c r="T813" s="63">
        <f t="shared" si="142"/>
        <v>-0.10464401773838469</v>
      </c>
    </row>
    <row r="814" spans="1:20" x14ac:dyDescent="0.3">
      <c r="A814" s="18" t="s">
        <v>244</v>
      </c>
      <c r="B814" s="18" t="s">
        <v>245</v>
      </c>
      <c r="C814" s="18" t="s">
        <v>206</v>
      </c>
      <c r="D814" s="18" t="s">
        <v>203</v>
      </c>
      <c r="E814" s="61">
        <v>2020</v>
      </c>
      <c r="F814" s="62">
        <v>841000000</v>
      </c>
      <c r="G814" s="62">
        <v>576000000</v>
      </c>
      <c r="H814" s="62">
        <v>234293034</v>
      </c>
      <c r="I814" s="62">
        <v>239838347</v>
      </c>
      <c r="J814" s="62">
        <f t="shared" si="132"/>
        <v>3.5895220000437571</v>
      </c>
      <c r="K814" s="62">
        <f t="shared" si="133"/>
        <v>2.4016176195543908</v>
      </c>
      <c r="L814" s="63">
        <f t="shared" si="134"/>
        <v>-0.31510107015457789</v>
      </c>
      <c r="M814" s="63">
        <f t="shared" si="135"/>
        <v>2.3668279441888998E-2</v>
      </c>
      <c r="N814" s="63">
        <f t="shared" si="136"/>
        <v>-0.3309366485216933</v>
      </c>
      <c r="O814" s="62">
        <f t="shared" si="137"/>
        <v>2.4584597764865683</v>
      </c>
      <c r="P814" s="62">
        <f t="shared" si="138"/>
        <v>-1.1310622235571888</v>
      </c>
      <c r="Q814" s="62">
        <f t="shared" si="139"/>
        <v>-5.6842156932177534E-2</v>
      </c>
      <c r="R814" s="63">
        <f t="shared" si="140"/>
        <v>-0.31510107015457794</v>
      </c>
      <c r="S814" s="63">
        <f t="shared" si="141"/>
        <v>-1.5835578367115348E-2</v>
      </c>
      <c r="T814" s="63">
        <f t="shared" si="142"/>
        <v>-0.3309366485216933</v>
      </c>
    </row>
    <row r="815" spans="1:20" x14ac:dyDescent="0.3">
      <c r="A815" s="18" t="s">
        <v>244</v>
      </c>
      <c r="B815" s="18" t="s">
        <v>245</v>
      </c>
      <c r="C815" s="18" t="s">
        <v>206</v>
      </c>
      <c r="D815" s="18" t="s">
        <v>203</v>
      </c>
      <c r="E815" s="61">
        <v>2021</v>
      </c>
      <c r="F815" s="62">
        <v>576000000</v>
      </c>
      <c r="G815" s="62">
        <v>1027000000</v>
      </c>
      <c r="H815" s="62">
        <v>239838347</v>
      </c>
      <c r="I815" s="62">
        <v>248620158</v>
      </c>
      <c r="J815" s="62">
        <f t="shared" si="132"/>
        <v>2.4016176195543908</v>
      </c>
      <c r="K815" s="62">
        <f t="shared" si="133"/>
        <v>4.1307994020340058</v>
      </c>
      <c r="L815" s="63">
        <f t="shared" si="134"/>
        <v>0.78298611111111116</v>
      </c>
      <c r="M815" s="63">
        <f t="shared" si="135"/>
        <v>3.6615541717355149E-2</v>
      </c>
      <c r="N815" s="63">
        <f t="shared" si="136"/>
        <v>0.72000711870212575</v>
      </c>
      <c r="O815" s="62">
        <f t="shared" si="137"/>
        <v>4.2820508598652074</v>
      </c>
      <c r="P815" s="62">
        <f t="shared" si="138"/>
        <v>1.8804332403108166</v>
      </c>
      <c r="Q815" s="62">
        <f t="shared" si="139"/>
        <v>-0.15125145783120164</v>
      </c>
      <c r="R815" s="63">
        <f t="shared" si="140"/>
        <v>0.78298611111111116</v>
      </c>
      <c r="S815" s="63">
        <f t="shared" si="141"/>
        <v>-6.2978992408985426E-2</v>
      </c>
      <c r="T815" s="63">
        <f t="shared" si="142"/>
        <v>0.72000711870212575</v>
      </c>
    </row>
    <row r="816" spans="1:20" x14ac:dyDescent="0.3">
      <c r="A816" s="18" t="s">
        <v>244</v>
      </c>
      <c r="B816" s="18" t="s">
        <v>245</v>
      </c>
      <c r="C816" s="18" t="s">
        <v>206</v>
      </c>
      <c r="D816" s="18" t="s">
        <v>203</v>
      </c>
      <c r="E816" s="61">
        <v>2022</v>
      </c>
      <c r="F816" s="62">
        <v>1027000000</v>
      </c>
      <c r="G816" s="62">
        <v>1222000000</v>
      </c>
      <c r="H816" s="62">
        <v>248620158</v>
      </c>
      <c r="I816" s="62">
        <v>250972110</v>
      </c>
      <c r="J816" s="62">
        <f t="shared" si="132"/>
        <v>4.1307994020340058</v>
      </c>
      <c r="K816" s="62">
        <f t="shared" si="133"/>
        <v>4.8690669254045797</v>
      </c>
      <c r="L816" s="63">
        <f t="shared" si="134"/>
        <v>0.189873417721519</v>
      </c>
      <c r="M816" s="63">
        <f t="shared" si="135"/>
        <v>9.4600213390581139E-3</v>
      </c>
      <c r="N816" s="63">
        <f t="shared" si="136"/>
        <v>0.17872267605322376</v>
      </c>
      <c r="O816" s="62">
        <f t="shared" si="137"/>
        <v>4.9151284024202093</v>
      </c>
      <c r="P816" s="62">
        <f t="shared" si="138"/>
        <v>0.78432900038620357</v>
      </c>
      <c r="Q816" s="62">
        <f t="shared" si="139"/>
        <v>-4.6061477015629571E-2</v>
      </c>
      <c r="R816" s="63">
        <f t="shared" si="140"/>
        <v>0.18987341772151897</v>
      </c>
      <c r="S816" s="63">
        <f t="shared" si="141"/>
        <v>-1.1150741668295222E-2</v>
      </c>
      <c r="T816" s="63">
        <f t="shared" si="142"/>
        <v>0.17872267605322376</v>
      </c>
    </row>
    <row r="817" spans="1:20" x14ac:dyDescent="0.3">
      <c r="A817" s="18" t="s">
        <v>244</v>
      </c>
      <c r="B817" s="18" t="s">
        <v>245</v>
      </c>
      <c r="C817" s="18" t="s">
        <v>206</v>
      </c>
      <c r="D817" s="18" t="s">
        <v>203</v>
      </c>
      <c r="E817" s="61">
        <v>2023</v>
      </c>
      <c r="F817" s="62">
        <v>1222000000</v>
      </c>
      <c r="G817" s="62">
        <v>1312000000</v>
      </c>
      <c r="H817" s="62">
        <v>250972110</v>
      </c>
      <c r="I817" s="62">
        <v>250706485</v>
      </c>
      <c r="J817" s="62">
        <f t="shared" si="132"/>
        <v>4.8690669254045797</v>
      </c>
      <c r="K817" s="62">
        <f t="shared" si="133"/>
        <v>5.233211258974813</v>
      </c>
      <c r="L817" s="63">
        <f t="shared" si="134"/>
        <v>7.3649754500818329E-2</v>
      </c>
      <c r="M817" s="63">
        <f t="shared" si="135"/>
        <v>-1.0583845352377999E-3</v>
      </c>
      <c r="N817" s="63">
        <f t="shared" si="136"/>
        <v>7.4787292750135251E-2</v>
      </c>
      <c r="O817" s="62">
        <f t="shared" si="137"/>
        <v>5.2276725091086815</v>
      </c>
      <c r="P817" s="62">
        <f t="shared" si="138"/>
        <v>0.35860558370410178</v>
      </c>
      <c r="Q817" s="62">
        <f t="shared" si="139"/>
        <v>5.5387498661314538E-3</v>
      </c>
      <c r="R817" s="63">
        <f t="shared" si="140"/>
        <v>7.3649754500818371E-2</v>
      </c>
      <c r="S817" s="63">
        <f t="shared" si="141"/>
        <v>1.1375382493168809E-3</v>
      </c>
      <c r="T817" s="63">
        <f t="shared" si="142"/>
        <v>7.4787292750135251E-2</v>
      </c>
    </row>
    <row r="818" spans="1:20" x14ac:dyDescent="0.3">
      <c r="A818" s="18" t="s">
        <v>244</v>
      </c>
      <c r="B818" s="18" t="s">
        <v>245</v>
      </c>
      <c r="C818" s="18" t="s">
        <v>206</v>
      </c>
      <c r="D818" s="18" t="s">
        <v>203</v>
      </c>
      <c r="E818" s="61">
        <v>2024</v>
      </c>
      <c r="F818" s="62">
        <v>1312000000</v>
      </c>
      <c r="G818" s="62">
        <v>1658000000</v>
      </c>
      <c r="H818" s="62">
        <v>250706485</v>
      </c>
      <c r="I818" s="62">
        <v>250677462</v>
      </c>
      <c r="J818" s="62">
        <f t="shared" si="132"/>
        <v>5.233211258974813</v>
      </c>
      <c r="K818" s="62">
        <f t="shared" si="133"/>
        <v>6.6140768570570581</v>
      </c>
      <c r="L818" s="63">
        <f t="shared" si="134"/>
        <v>0.26371951219512196</v>
      </c>
      <c r="M818" s="63">
        <f t="shared" si="135"/>
        <v>-1.1576485546434908E-4</v>
      </c>
      <c r="N818" s="63">
        <f t="shared" si="136"/>
        <v>0.26386582343949877</v>
      </c>
      <c r="O818" s="62">
        <f t="shared" si="137"/>
        <v>6.6133111794056703</v>
      </c>
      <c r="P818" s="62">
        <f t="shared" si="138"/>
        <v>1.3800999204308573</v>
      </c>
      <c r="Q818" s="62">
        <f t="shared" si="139"/>
        <v>7.656776513877972E-4</v>
      </c>
      <c r="R818" s="63">
        <f t="shared" si="140"/>
        <v>0.26371951219512185</v>
      </c>
      <c r="S818" s="63">
        <f t="shared" si="141"/>
        <v>1.4631124437689786E-4</v>
      </c>
      <c r="T818" s="63">
        <f t="shared" si="142"/>
        <v>0.26386582343949877</v>
      </c>
    </row>
    <row r="819" spans="1:20" x14ac:dyDescent="0.3">
      <c r="A819" s="18" t="s">
        <v>246</v>
      </c>
      <c r="B819" s="18" t="s">
        <v>247</v>
      </c>
      <c r="C819" s="18" t="s">
        <v>206</v>
      </c>
      <c r="D819" s="18" t="s">
        <v>203</v>
      </c>
      <c r="E819" s="61">
        <v>2016</v>
      </c>
      <c r="F819" s="62">
        <v>765100000</v>
      </c>
      <c r="G819" s="62">
        <v>946400000</v>
      </c>
      <c r="H819" s="62">
        <v>208112000</v>
      </c>
      <c r="I819" s="62">
        <v>210872000</v>
      </c>
      <c r="J819" s="62">
        <f t="shared" si="132"/>
        <v>3.6763857922657031</v>
      </c>
      <c r="K819" s="62">
        <f t="shared" si="133"/>
        <v>4.4880306536666792</v>
      </c>
      <c r="L819" s="63">
        <f t="shared" si="134"/>
        <v>0.23696248856358645</v>
      </c>
      <c r="M819" s="63">
        <f t="shared" si="135"/>
        <v>1.3262089644037826E-2</v>
      </c>
      <c r="N819" s="63">
        <f t="shared" si="136"/>
        <v>0.22077249430908372</v>
      </c>
      <c r="O819" s="62">
        <f t="shared" si="137"/>
        <v>4.5475513185207967</v>
      </c>
      <c r="P819" s="62">
        <f t="shared" si="138"/>
        <v>0.87116552625509369</v>
      </c>
      <c r="Q819" s="62">
        <f t="shared" si="139"/>
        <v>-5.9520664854117555E-2</v>
      </c>
      <c r="R819" s="63">
        <f t="shared" si="140"/>
        <v>0.23696248856358654</v>
      </c>
      <c r="S819" s="63">
        <f t="shared" si="141"/>
        <v>-1.6189994254502828E-2</v>
      </c>
      <c r="T819" s="63">
        <f t="shared" si="142"/>
        <v>0.22077249430908372</v>
      </c>
    </row>
    <row r="820" spans="1:20" x14ac:dyDescent="0.3">
      <c r="A820" s="18" t="s">
        <v>246</v>
      </c>
      <c r="B820" s="18" t="s">
        <v>247</v>
      </c>
      <c r="C820" s="18" t="s">
        <v>206</v>
      </c>
      <c r="D820" s="18" t="s">
        <v>203</v>
      </c>
      <c r="E820" s="61">
        <v>2017</v>
      </c>
      <c r="F820" s="62">
        <v>946400000</v>
      </c>
      <c r="G820" s="62">
        <v>679800000</v>
      </c>
      <c r="H820" s="62">
        <v>210872000</v>
      </c>
      <c r="I820" s="62">
        <v>212438000</v>
      </c>
      <c r="J820" s="62">
        <f t="shared" si="132"/>
        <v>4.4880306536666792</v>
      </c>
      <c r="K820" s="62">
        <f t="shared" si="133"/>
        <v>3.1999924683907777</v>
      </c>
      <c r="L820" s="63">
        <f t="shared" si="134"/>
        <v>-0.28169907016060863</v>
      </c>
      <c r="M820" s="63">
        <f t="shared" si="135"/>
        <v>7.426306005538905E-3</v>
      </c>
      <c r="N820" s="63">
        <f t="shared" si="136"/>
        <v>-0.28699407037774716</v>
      </c>
      <c r="O820" s="62">
        <f t="shared" si="137"/>
        <v>3.2237565916764672</v>
      </c>
      <c r="P820" s="62">
        <f t="shared" si="138"/>
        <v>-1.264274061990212</v>
      </c>
      <c r="Q820" s="62">
        <f t="shared" si="139"/>
        <v>-2.3764123285689553E-2</v>
      </c>
      <c r="R820" s="63">
        <f t="shared" si="140"/>
        <v>-0.28169907016060863</v>
      </c>
      <c r="S820" s="63">
        <f t="shared" si="141"/>
        <v>-5.2950002171385539E-3</v>
      </c>
      <c r="T820" s="63">
        <f t="shared" si="142"/>
        <v>-0.28699407037774721</v>
      </c>
    </row>
    <row r="821" spans="1:20" x14ac:dyDescent="0.3">
      <c r="A821" s="18" t="s">
        <v>246</v>
      </c>
      <c r="B821" s="18" t="s">
        <v>247</v>
      </c>
      <c r="C821" s="18" t="s">
        <v>206</v>
      </c>
      <c r="D821" s="18" t="s">
        <v>203</v>
      </c>
      <c r="E821" s="61">
        <v>2018</v>
      </c>
      <c r="F821" s="62">
        <v>679800000</v>
      </c>
      <c r="G821" s="62">
        <v>981800000</v>
      </c>
      <c r="H821" s="62">
        <v>212438000</v>
      </c>
      <c r="I821" s="62">
        <v>212438000</v>
      </c>
      <c r="J821" s="62">
        <f t="shared" si="132"/>
        <v>3.1999924683907777</v>
      </c>
      <c r="K821" s="62">
        <f t="shared" si="133"/>
        <v>4.6215837091292515</v>
      </c>
      <c r="L821" s="63">
        <f t="shared" si="134"/>
        <v>0.44424830832597823</v>
      </c>
      <c r="M821" s="63">
        <f t="shared" si="135"/>
        <v>0</v>
      </c>
      <c r="N821" s="63">
        <f t="shared" si="136"/>
        <v>0.44424830832597806</v>
      </c>
      <c r="O821" s="62">
        <f t="shared" si="137"/>
        <v>4.6215837091292515</v>
      </c>
      <c r="P821" s="62">
        <f t="shared" si="138"/>
        <v>1.4215912407384739</v>
      </c>
      <c r="Q821" s="62">
        <f t="shared" si="139"/>
        <v>0</v>
      </c>
      <c r="R821" s="63">
        <f t="shared" si="140"/>
        <v>0.44424830832597806</v>
      </c>
      <c r="S821" s="63">
        <f t="shared" si="141"/>
        <v>0</v>
      </c>
      <c r="T821" s="63">
        <f t="shared" si="142"/>
        <v>0.44424830832597806</v>
      </c>
    </row>
    <row r="822" spans="1:20" x14ac:dyDescent="0.3">
      <c r="A822" s="18" t="s">
        <v>246</v>
      </c>
      <c r="B822" s="18" t="s">
        <v>247</v>
      </c>
      <c r="C822" s="18" t="s">
        <v>206</v>
      </c>
      <c r="D822" s="18" t="s">
        <v>203</v>
      </c>
      <c r="E822" s="61">
        <v>2019</v>
      </c>
      <c r="F822" s="62">
        <v>981800000</v>
      </c>
      <c r="G822" s="62">
        <v>1121900000</v>
      </c>
      <c r="H822" s="62">
        <v>212438000</v>
      </c>
      <c r="I822" s="62">
        <v>212502000</v>
      </c>
      <c r="J822" s="62">
        <f t="shared" si="132"/>
        <v>4.6215837091292515</v>
      </c>
      <c r="K822" s="62">
        <f t="shared" si="133"/>
        <v>5.2794797225437877</v>
      </c>
      <c r="L822" s="63">
        <f t="shared" si="134"/>
        <v>0.14269708698309228</v>
      </c>
      <c r="M822" s="63">
        <f t="shared" si="135"/>
        <v>3.0126436889821973E-4</v>
      </c>
      <c r="N822" s="63">
        <f t="shared" si="136"/>
        <v>0.14235293674654437</v>
      </c>
      <c r="O822" s="62">
        <f t="shared" si="137"/>
        <v>5.2810702416705109</v>
      </c>
      <c r="P822" s="62">
        <f t="shared" si="138"/>
        <v>0.65948653254125933</v>
      </c>
      <c r="Q822" s="62">
        <f t="shared" si="139"/>
        <v>-1.5905191267231444E-3</v>
      </c>
      <c r="R822" s="63">
        <f t="shared" si="140"/>
        <v>0.14269708698309233</v>
      </c>
      <c r="S822" s="63">
        <f t="shared" si="141"/>
        <v>-3.4415023654798469E-4</v>
      </c>
      <c r="T822" s="63">
        <f t="shared" si="142"/>
        <v>0.14235293674654434</v>
      </c>
    </row>
    <row r="823" spans="1:20" x14ac:dyDescent="0.3">
      <c r="A823" s="18" t="s">
        <v>246</v>
      </c>
      <c r="B823" s="18" t="s">
        <v>247</v>
      </c>
      <c r="C823" s="18" t="s">
        <v>206</v>
      </c>
      <c r="D823" s="18" t="s">
        <v>203</v>
      </c>
      <c r="E823" s="61">
        <v>2020</v>
      </c>
      <c r="F823" s="62">
        <v>1121900000</v>
      </c>
      <c r="G823" s="62">
        <v>483400000</v>
      </c>
      <c r="H823" s="62">
        <v>212502000</v>
      </c>
      <c r="I823" s="62">
        <v>212704000</v>
      </c>
      <c r="J823" s="62">
        <f t="shared" si="132"/>
        <v>5.2794797225437877</v>
      </c>
      <c r="K823" s="62">
        <f t="shared" si="133"/>
        <v>2.2726417932902061</v>
      </c>
      <c r="L823" s="63">
        <f t="shared" si="134"/>
        <v>-0.56912380782600946</v>
      </c>
      <c r="M823" s="63">
        <f t="shared" si="135"/>
        <v>9.5057928866551847E-4</v>
      </c>
      <c r="N823" s="63">
        <f t="shared" si="136"/>
        <v>-0.56953300083986502</v>
      </c>
      <c r="O823" s="62">
        <f t="shared" si="137"/>
        <v>2.2748021195094634</v>
      </c>
      <c r="P823" s="62">
        <f t="shared" si="138"/>
        <v>-3.0046776030343243</v>
      </c>
      <c r="Q823" s="62">
        <f t="shared" si="139"/>
        <v>-2.1603262192573247E-3</v>
      </c>
      <c r="R823" s="63">
        <f t="shared" si="140"/>
        <v>-0.56912380782600946</v>
      </c>
      <c r="S823" s="63">
        <f t="shared" si="141"/>
        <v>-4.0919301385561996E-4</v>
      </c>
      <c r="T823" s="63">
        <f t="shared" si="142"/>
        <v>-0.56953300083986513</v>
      </c>
    </row>
    <row r="824" spans="1:20" x14ac:dyDescent="0.3">
      <c r="A824" s="18" t="s">
        <v>246</v>
      </c>
      <c r="B824" s="18" t="s">
        <v>247</v>
      </c>
      <c r="C824" s="18" t="s">
        <v>206</v>
      </c>
      <c r="D824" s="18" t="s">
        <v>203</v>
      </c>
      <c r="E824" s="61">
        <v>2021</v>
      </c>
      <c r="F824" s="62">
        <v>483400000</v>
      </c>
      <c r="G824" s="62">
        <v>1088800000</v>
      </c>
      <c r="H824" s="62">
        <v>212704000</v>
      </c>
      <c r="I824" s="62">
        <v>212852000</v>
      </c>
      <c r="J824" s="62">
        <f t="shared" si="132"/>
        <v>2.2726417932902061</v>
      </c>
      <c r="K824" s="62">
        <f t="shared" si="133"/>
        <v>5.1152913761674776</v>
      </c>
      <c r="L824" s="63">
        <f t="shared" si="134"/>
        <v>1.2523789822093505</v>
      </c>
      <c r="M824" s="63">
        <f t="shared" si="135"/>
        <v>6.9580261772228069E-4</v>
      </c>
      <c r="N824" s="63">
        <f t="shared" si="136"/>
        <v>1.2508128607288522</v>
      </c>
      <c r="O824" s="62">
        <f t="shared" si="137"/>
        <v>5.1188506092974277</v>
      </c>
      <c r="P824" s="62">
        <f t="shared" si="138"/>
        <v>2.8462088160072216</v>
      </c>
      <c r="Q824" s="62">
        <f t="shared" si="139"/>
        <v>-3.5592331299501012E-3</v>
      </c>
      <c r="R824" s="63">
        <f t="shared" si="140"/>
        <v>1.2523789822093505</v>
      </c>
      <c r="S824" s="63">
        <f t="shared" si="141"/>
        <v>-1.5661214804983581E-3</v>
      </c>
      <c r="T824" s="63">
        <f t="shared" si="142"/>
        <v>1.2508128607288522</v>
      </c>
    </row>
    <row r="825" spans="1:20" x14ac:dyDescent="0.3">
      <c r="A825" s="18" t="s">
        <v>246</v>
      </c>
      <c r="B825" s="18" t="s">
        <v>247</v>
      </c>
      <c r="C825" s="18" t="s">
        <v>206</v>
      </c>
      <c r="D825" s="18" t="s">
        <v>203</v>
      </c>
      <c r="E825" s="61">
        <v>2022</v>
      </c>
      <c r="F825" s="62">
        <v>1088800000</v>
      </c>
      <c r="G825" s="62">
        <v>1120600000</v>
      </c>
      <c r="H825" s="62">
        <v>212852000</v>
      </c>
      <c r="I825" s="62">
        <v>211833000</v>
      </c>
      <c r="J825" s="62">
        <f t="shared" si="132"/>
        <v>5.1152913761674776</v>
      </c>
      <c r="K825" s="62">
        <f t="shared" si="133"/>
        <v>5.2900161920003024</v>
      </c>
      <c r="L825" s="63">
        <f t="shared" si="134"/>
        <v>2.9206465833945629E-2</v>
      </c>
      <c r="M825" s="63">
        <f t="shared" si="135"/>
        <v>-4.7873639900024431E-3</v>
      </c>
      <c r="N825" s="63">
        <f t="shared" si="136"/>
        <v>3.4157353508126757E-2</v>
      </c>
      <c r="O825" s="62">
        <f t="shared" si="137"/>
        <v>5.2646909589761899</v>
      </c>
      <c r="P825" s="62">
        <f t="shared" si="138"/>
        <v>0.14939958280871224</v>
      </c>
      <c r="Q825" s="62">
        <f t="shared" si="139"/>
        <v>2.5325233024112492E-2</v>
      </c>
      <c r="R825" s="63">
        <f t="shared" si="140"/>
        <v>2.9206465833945646E-2</v>
      </c>
      <c r="S825" s="63">
        <f t="shared" si="141"/>
        <v>4.9508876741811095E-3</v>
      </c>
      <c r="T825" s="63">
        <f t="shared" si="142"/>
        <v>3.4157353508126757E-2</v>
      </c>
    </row>
    <row r="826" spans="1:20" x14ac:dyDescent="0.3">
      <c r="A826" s="18" t="s">
        <v>246</v>
      </c>
      <c r="B826" s="18" t="s">
        <v>247</v>
      </c>
      <c r="C826" s="18" t="s">
        <v>206</v>
      </c>
      <c r="D826" s="18" t="s">
        <v>203</v>
      </c>
      <c r="E826" s="61">
        <v>2023</v>
      </c>
      <c r="F826" s="62">
        <v>1120600000</v>
      </c>
      <c r="G826" s="62">
        <v>1023400000</v>
      </c>
      <c r="H826" s="62">
        <v>211833000</v>
      </c>
      <c r="I826" s="62">
        <v>208507000</v>
      </c>
      <c r="J826" s="62">
        <f t="shared" si="132"/>
        <v>5.2900161920003024</v>
      </c>
      <c r="K826" s="62">
        <f t="shared" si="133"/>
        <v>4.9082285007217985</v>
      </c>
      <c r="L826" s="63">
        <f t="shared" si="134"/>
        <v>-8.6739246832054251E-2</v>
      </c>
      <c r="M826" s="63">
        <f t="shared" si="135"/>
        <v>-1.5701047523284852E-2</v>
      </c>
      <c r="N826" s="63">
        <f t="shared" si="136"/>
        <v>-7.2171365345885516E-2</v>
      </c>
      <c r="O826" s="62">
        <f t="shared" si="137"/>
        <v>4.8311641717768241</v>
      </c>
      <c r="P826" s="62">
        <f t="shared" si="138"/>
        <v>-0.45885202022347826</v>
      </c>
      <c r="Q826" s="62">
        <f t="shared" si="139"/>
        <v>7.7064328944974392E-2</v>
      </c>
      <c r="R826" s="63">
        <f t="shared" si="140"/>
        <v>-8.673924683205432E-2</v>
      </c>
      <c r="S826" s="63">
        <f t="shared" si="141"/>
        <v>1.4567881486168803E-2</v>
      </c>
      <c r="T826" s="63">
        <f t="shared" si="142"/>
        <v>-7.2171365345885516E-2</v>
      </c>
    </row>
    <row r="827" spans="1:20" x14ac:dyDescent="0.3">
      <c r="A827" s="18" t="s">
        <v>246</v>
      </c>
      <c r="B827" s="18" t="s">
        <v>247</v>
      </c>
      <c r="C827" s="18" t="s">
        <v>206</v>
      </c>
      <c r="D827" s="18" t="s">
        <v>203</v>
      </c>
      <c r="E827" s="61">
        <v>2024</v>
      </c>
      <c r="F827" s="62">
        <v>1023400000</v>
      </c>
      <c r="G827" s="62">
        <v>1419500000</v>
      </c>
      <c r="H827" s="62">
        <v>208507000</v>
      </c>
      <c r="I827" s="62">
        <v>205523000</v>
      </c>
      <c r="J827" s="62">
        <f t="shared" si="132"/>
        <v>4.9082285007217985</v>
      </c>
      <c r="K827" s="62">
        <f t="shared" si="133"/>
        <v>6.9067695586382056</v>
      </c>
      <c r="L827" s="63">
        <f t="shared" si="134"/>
        <v>0.38704318936877075</v>
      </c>
      <c r="M827" s="63">
        <f t="shared" si="135"/>
        <v>-1.4311270125223614E-2</v>
      </c>
      <c r="N827" s="63">
        <f t="shared" si="136"/>
        <v>0.40718174747212849</v>
      </c>
      <c r="O827" s="62">
        <f t="shared" si="137"/>
        <v>6.8079249137918634</v>
      </c>
      <c r="P827" s="62">
        <f t="shared" si="138"/>
        <v>1.8996964130700649</v>
      </c>
      <c r="Q827" s="62">
        <f t="shared" si="139"/>
        <v>9.8844644846342256E-2</v>
      </c>
      <c r="R827" s="63">
        <f t="shared" si="140"/>
        <v>0.38704318936877075</v>
      </c>
      <c r="S827" s="63">
        <f t="shared" si="141"/>
        <v>2.0138558103357712E-2</v>
      </c>
      <c r="T827" s="63">
        <f t="shared" si="142"/>
        <v>0.40718174747212843</v>
      </c>
    </row>
    <row r="828" spans="1:20" x14ac:dyDescent="0.3">
      <c r="A828" s="18" t="s">
        <v>248</v>
      </c>
      <c r="B828" s="18" t="s">
        <v>249</v>
      </c>
      <c r="C828" s="18" t="s">
        <v>206</v>
      </c>
      <c r="D828" s="18" t="s">
        <v>203</v>
      </c>
      <c r="E828" s="61">
        <v>2016</v>
      </c>
      <c r="F828" s="62">
        <v>1124000000</v>
      </c>
      <c r="G828" s="62">
        <v>921000000</v>
      </c>
      <c r="H828" s="62">
        <v>177633311</v>
      </c>
      <c r="I828" s="62">
        <v>175274630</v>
      </c>
      <c r="J828" s="62">
        <f t="shared" si="132"/>
        <v>6.3276420040383075</v>
      </c>
      <c r="K828" s="62">
        <f t="shared" si="133"/>
        <v>5.2546110067383971</v>
      </c>
      <c r="L828" s="63">
        <f t="shared" si="134"/>
        <v>-0.1806049822064057</v>
      </c>
      <c r="M828" s="63">
        <f t="shared" si="135"/>
        <v>-1.3278370969508079E-2</v>
      </c>
      <c r="N828" s="63">
        <f t="shared" si="136"/>
        <v>-0.16957833528115226</v>
      </c>
      <c r="O828" s="62">
        <f t="shared" si="137"/>
        <v>5.1848383324904637</v>
      </c>
      <c r="P828" s="62">
        <f t="shared" si="138"/>
        <v>-1.1428036715478438</v>
      </c>
      <c r="Q828" s="62">
        <f t="shared" si="139"/>
        <v>6.9772674247933431E-2</v>
      </c>
      <c r="R828" s="63">
        <f t="shared" si="140"/>
        <v>-0.1806049822064057</v>
      </c>
      <c r="S828" s="63">
        <f t="shared" si="141"/>
        <v>1.1026646925253427E-2</v>
      </c>
      <c r="T828" s="63">
        <f t="shared" si="142"/>
        <v>-0.16957833528115226</v>
      </c>
    </row>
    <row r="829" spans="1:20" x14ac:dyDescent="0.3">
      <c r="A829" s="18" t="s">
        <v>248</v>
      </c>
      <c r="B829" s="18" t="s">
        <v>249</v>
      </c>
      <c r="C829" s="18" t="s">
        <v>206</v>
      </c>
      <c r="D829" s="18" t="s">
        <v>203</v>
      </c>
      <c r="E829" s="61">
        <v>2017</v>
      </c>
      <c r="F829" s="62">
        <v>921000000</v>
      </c>
      <c r="G829" s="62">
        <v>820000000</v>
      </c>
      <c r="H829" s="62">
        <v>175274630</v>
      </c>
      <c r="I829" s="62">
        <v>168057561</v>
      </c>
      <c r="J829" s="62">
        <f t="shared" si="132"/>
        <v>5.2546110067383971</v>
      </c>
      <c r="K829" s="62">
        <f t="shared" si="133"/>
        <v>4.8792806174308341</v>
      </c>
      <c r="L829" s="63">
        <f t="shared" si="134"/>
        <v>-0.10966340933767643</v>
      </c>
      <c r="M829" s="63">
        <f t="shared" si="135"/>
        <v>-4.1175776551346875E-2</v>
      </c>
      <c r="N829" s="63">
        <f t="shared" si="136"/>
        <v>-7.1428767767251961E-2</v>
      </c>
      <c r="O829" s="62">
        <f t="shared" si="137"/>
        <v>4.6783724489961838</v>
      </c>
      <c r="P829" s="62">
        <f t="shared" si="138"/>
        <v>-0.57623855774221333</v>
      </c>
      <c r="Q829" s="62">
        <f t="shared" si="139"/>
        <v>0.20090816843465031</v>
      </c>
      <c r="R829" s="63">
        <f t="shared" si="140"/>
        <v>-0.10966340933767652</v>
      </c>
      <c r="S829" s="63">
        <f t="shared" si="141"/>
        <v>3.8234641570424548E-2</v>
      </c>
      <c r="T829" s="63">
        <f t="shared" si="142"/>
        <v>-7.1428767767251961E-2</v>
      </c>
    </row>
    <row r="830" spans="1:20" x14ac:dyDescent="0.3">
      <c r="A830" s="18" t="s">
        <v>248</v>
      </c>
      <c r="B830" s="18" t="s">
        <v>249</v>
      </c>
      <c r="C830" s="18" t="s">
        <v>206</v>
      </c>
      <c r="D830" s="18" t="s">
        <v>203</v>
      </c>
      <c r="E830" s="61">
        <v>2018</v>
      </c>
      <c r="F830" s="62">
        <v>820000000</v>
      </c>
      <c r="G830" s="62">
        <v>730000000</v>
      </c>
      <c r="H830" s="62">
        <v>168057561</v>
      </c>
      <c r="I830" s="62">
        <v>167088363</v>
      </c>
      <c r="J830" s="62">
        <f t="shared" si="132"/>
        <v>4.8792806174308341</v>
      </c>
      <c r="K830" s="62">
        <f t="shared" si="133"/>
        <v>4.3689457894802644</v>
      </c>
      <c r="L830" s="63">
        <f t="shared" si="134"/>
        <v>-0.10975609756097561</v>
      </c>
      <c r="M830" s="63">
        <f t="shared" si="135"/>
        <v>-5.7670597754301573E-3</v>
      </c>
      <c r="N830" s="63">
        <f t="shared" si="136"/>
        <v>-0.10459222741308216</v>
      </c>
      <c r="O830" s="62">
        <f t="shared" si="137"/>
        <v>4.3437498179567182</v>
      </c>
      <c r="P830" s="62">
        <f t="shared" si="138"/>
        <v>-0.53553079947411586</v>
      </c>
      <c r="Q830" s="62">
        <f t="shared" si="139"/>
        <v>2.5195971523546135E-2</v>
      </c>
      <c r="R830" s="63">
        <f t="shared" si="140"/>
        <v>-0.1097560975609756</v>
      </c>
      <c r="S830" s="63">
        <f t="shared" si="141"/>
        <v>5.1638701478934354E-3</v>
      </c>
      <c r="T830" s="63">
        <f t="shared" si="142"/>
        <v>-0.10459222741308216</v>
      </c>
    </row>
    <row r="831" spans="1:20" x14ac:dyDescent="0.3">
      <c r="A831" s="18" t="s">
        <v>248</v>
      </c>
      <c r="B831" s="18" t="s">
        <v>249</v>
      </c>
      <c r="C831" s="18" t="s">
        <v>206</v>
      </c>
      <c r="D831" s="18" t="s">
        <v>203</v>
      </c>
      <c r="E831" s="61">
        <v>2019</v>
      </c>
      <c r="F831" s="62">
        <v>730000000</v>
      </c>
      <c r="G831" s="62">
        <v>856000000</v>
      </c>
      <c r="H831" s="62">
        <v>167088363</v>
      </c>
      <c r="I831" s="62">
        <v>166171198</v>
      </c>
      <c r="J831" s="62">
        <f t="shared" si="132"/>
        <v>4.3689457894802644</v>
      </c>
      <c r="K831" s="62">
        <f t="shared" si="133"/>
        <v>5.1513138877412441</v>
      </c>
      <c r="L831" s="63">
        <f t="shared" si="134"/>
        <v>0.17260273972602741</v>
      </c>
      <c r="M831" s="63">
        <f t="shared" si="135"/>
        <v>-5.4891015959022829E-3</v>
      </c>
      <c r="N831" s="63">
        <f t="shared" si="136"/>
        <v>0.179074801098425</v>
      </c>
      <c r="O831" s="62">
        <f t="shared" si="137"/>
        <v>5.1230378024590495</v>
      </c>
      <c r="P831" s="62">
        <f t="shared" si="138"/>
        <v>0.75409201297878514</v>
      </c>
      <c r="Q831" s="62">
        <f t="shared" si="139"/>
        <v>2.8276085282194607E-2</v>
      </c>
      <c r="R831" s="63">
        <f t="shared" si="140"/>
        <v>0.17260273972602735</v>
      </c>
      <c r="S831" s="63">
        <f t="shared" si="141"/>
        <v>6.4720613723976573E-3</v>
      </c>
      <c r="T831" s="63">
        <f t="shared" si="142"/>
        <v>0.17907480109842502</v>
      </c>
    </row>
    <row r="832" spans="1:20" x14ac:dyDescent="0.3">
      <c r="A832" s="18" t="s">
        <v>248</v>
      </c>
      <c r="B832" s="18" t="s">
        <v>249</v>
      </c>
      <c r="C832" s="18" t="s">
        <v>206</v>
      </c>
      <c r="D832" s="18" t="s">
        <v>203</v>
      </c>
      <c r="E832" s="61">
        <v>2020</v>
      </c>
      <c r="F832" s="62">
        <v>856000000</v>
      </c>
      <c r="G832" s="62">
        <v>957000000</v>
      </c>
      <c r="H832" s="62">
        <v>166171198</v>
      </c>
      <c r="I832" s="62">
        <v>167620101</v>
      </c>
      <c r="J832" s="62">
        <f t="shared" si="132"/>
        <v>5.1513138877412441</v>
      </c>
      <c r="K832" s="62">
        <f t="shared" si="133"/>
        <v>5.7093391203719657</v>
      </c>
      <c r="L832" s="63">
        <f t="shared" si="134"/>
        <v>0.11799065420560748</v>
      </c>
      <c r="M832" s="63">
        <f t="shared" si="135"/>
        <v>8.7193389554789148E-3</v>
      </c>
      <c r="N832" s="63">
        <f t="shared" si="136"/>
        <v>0.10832677736036879</v>
      </c>
      <c r="O832" s="62">
        <f t="shared" si="137"/>
        <v>5.7591207833742644</v>
      </c>
      <c r="P832" s="62">
        <f t="shared" si="138"/>
        <v>0.60780689563302026</v>
      </c>
      <c r="Q832" s="62">
        <f t="shared" si="139"/>
        <v>-4.9781663002298693E-2</v>
      </c>
      <c r="R832" s="63">
        <f t="shared" si="140"/>
        <v>0.11799065420560741</v>
      </c>
      <c r="S832" s="63">
        <f t="shared" si="141"/>
        <v>-9.6638768452386101E-3</v>
      </c>
      <c r="T832" s="63">
        <f t="shared" si="142"/>
        <v>0.1083267773603688</v>
      </c>
    </row>
    <row r="833" spans="1:20" x14ac:dyDescent="0.3">
      <c r="A833" s="18" t="s">
        <v>248</v>
      </c>
      <c r="B833" s="18" t="s">
        <v>249</v>
      </c>
      <c r="C833" s="18" t="s">
        <v>206</v>
      </c>
      <c r="D833" s="18" t="s">
        <v>203</v>
      </c>
      <c r="E833" s="61">
        <v>2021</v>
      </c>
      <c r="F833" s="62">
        <v>957000000</v>
      </c>
      <c r="G833" s="62">
        <v>1157000000</v>
      </c>
      <c r="H833" s="62">
        <v>167620101</v>
      </c>
      <c r="I833" s="62">
        <v>168574058</v>
      </c>
      <c r="J833" s="62">
        <f t="shared" si="132"/>
        <v>5.7093391203719657</v>
      </c>
      <c r="K833" s="62">
        <f t="shared" si="133"/>
        <v>6.8634522638115527</v>
      </c>
      <c r="L833" s="63">
        <f t="shared" si="134"/>
        <v>0.2089864158829676</v>
      </c>
      <c r="M833" s="63">
        <f t="shared" si="135"/>
        <v>5.6911849730957986E-3</v>
      </c>
      <c r="N833" s="63">
        <f t="shared" si="136"/>
        <v>0.20214478753267615</v>
      </c>
      <c r="O833" s="62">
        <f t="shared" si="137"/>
        <v>6.9025134401989172</v>
      </c>
      <c r="P833" s="62">
        <f t="shared" si="138"/>
        <v>1.1931743198269515</v>
      </c>
      <c r="Q833" s="62">
        <f t="shared" si="139"/>
        <v>-3.9061176387364505E-2</v>
      </c>
      <c r="R833" s="63">
        <f t="shared" si="140"/>
        <v>0.20898641588296751</v>
      </c>
      <c r="S833" s="63">
        <f t="shared" si="141"/>
        <v>-6.8416283502913825E-3</v>
      </c>
      <c r="T833" s="63">
        <f t="shared" si="142"/>
        <v>0.20214478753267612</v>
      </c>
    </row>
    <row r="834" spans="1:20" x14ac:dyDescent="0.3">
      <c r="A834" s="18" t="s">
        <v>248</v>
      </c>
      <c r="B834" s="18" t="s">
        <v>249</v>
      </c>
      <c r="C834" s="18" t="s">
        <v>206</v>
      </c>
      <c r="D834" s="18" t="s">
        <v>203</v>
      </c>
      <c r="E834" s="61">
        <v>2022</v>
      </c>
      <c r="F834" s="62">
        <v>1157000000</v>
      </c>
      <c r="G834" s="62">
        <v>1547000000</v>
      </c>
      <c r="H834" s="62">
        <v>168574058</v>
      </c>
      <c r="I834" s="62">
        <v>170251066</v>
      </c>
      <c r="J834" s="62">
        <f t="shared" si="132"/>
        <v>6.8634522638115527</v>
      </c>
      <c r="K834" s="62">
        <f t="shared" si="133"/>
        <v>9.0865804035552991</v>
      </c>
      <c r="L834" s="63">
        <f t="shared" si="134"/>
        <v>0.33707865168539325</v>
      </c>
      <c r="M834" s="63">
        <f t="shared" si="135"/>
        <v>9.9481973673553013E-3</v>
      </c>
      <c r="N834" s="63">
        <f t="shared" si="136"/>
        <v>0.32390815209212998</v>
      </c>
      <c r="O834" s="62">
        <f t="shared" si="137"/>
        <v>9.1769754988042109</v>
      </c>
      <c r="P834" s="62">
        <f t="shared" si="138"/>
        <v>2.3135232349926582</v>
      </c>
      <c r="Q834" s="62">
        <f t="shared" si="139"/>
        <v>-9.0395095248911872E-2</v>
      </c>
      <c r="R834" s="63">
        <f t="shared" si="140"/>
        <v>0.33707865168539325</v>
      </c>
      <c r="S834" s="63">
        <f t="shared" si="141"/>
        <v>-1.3170499593263262E-2</v>
      </c>
      <c r="T834" s="63">
        <f t="shared" si="142"/>
        <v>0.32390815209212998</v>
      </c>
    </row>
    <row r="835" spans="1:20" x14ac:dyDescent="0.3">
      <c r="A835" s="18" t="s">
        <v>248</v>
      </c>
      <c r="B835" s="18" t="s">
        <v>249</v>
      </c>
      <c r="C835" s="18" t="s">
        <v>206</v>
      </c>
      <c r="D835" s="18" t="s">
        <v>203</v>
      </c>
      <c r="E835" s="61">
        <v>2023</v>
      </c>
      <c r="F835" s="62">
        <v>1547000000</v>
      </c>
      <c r="G835" s="62">
        <v>1663000000</v>
      </c>
      <c r="H835" s="62">
        <v>170251066</v>
      </c>
      <c r="I835" s="62">
        <v>177481342</v>
      </c>
      <c r="J835" s="62">
        <f t="shared" si="132"/>
        <v>9.0865804035552991</v>
      </c>
      <c r="K835" s="62">
        <f t="shared" si="133"/>
        <v>9.3699990165726827</v>
      </c>
      <c r="L835" s="63">
        <f t="shared" si="134"/>
        <v>7.498383968972204E-2</v>
      </c>
      <c r="M835" s="63">
        <f t="shared" si="135"/>
        <v>4.2468315587521781E-2</v>
      </c>
      <c r="N835" s="63">
        <f t="shared" si="136"/>
        <v>3.1190899153491308E-2</v>
      </c>
      <c r="O835" s="62">
        <f t="shared" si="137"/>
        <v>9.7679270918632604</v>
      </c>
      <c r="P835" s="62">
        <f t="shared" si="138"/>
        <v>0.6813466883079613</v>
      </c>
      <c r="Q835" s="62">
        <f t="shared" si="139"/>
        <v>-0.39792807529057761</v>
      </c>
      <c r="R835" s="63">
        <f t="shared" si="140"/>
        <v>7.4983839689722151E-2</v>
      </c>
      <c r="S835" s="63">
        <f t="shared" si="141"/>
        <v>-4.379294053623084E-2</v>
      </c>
      <c r="T835" s="63">
        <f t="shared" si="142"/>
        <v>3.1190899153491311E-2</v>
      </c>
    </row>
    <row r="836" spans="1:20" x14ac:dyDescent="0.3">
      <c r="A836" s="18" t="s">
        <v>248</v>
      </c>
      <c r="B836" s="18" t="s">
        <v>249</v>
      </c>
      <c r="C836" s="18" t="s">
        <v>206</v>
      </c>
      <c r="D836" s="18" t="s">
        <v>203</v>
      </c>
      <c r="E836" s="61">
        <v>2024</v>
      </c>
      <c r="F836" s="62">
        <v>1663000000</v>
      </c>
      <c r="G836" s="62">
        <v>1671000000</v>
      </c>
      <c r="H836" s="62">
        <v>177481342</v>
      </c>
      <c r="I836" s="62">
        <v>170201409</v>
      </c>
      <c r="J836" s="62">
        <f t="shared" si="132"/>
        <v>9.3699990165726827</v>
      </c>
      <c r="K836" s="62">
        <f t="shared" si="133"/>
        <v>9.8177800631485965</v>
      </c>
      <c r="L836" s="63">
        <f t="shared" si="134"/>
        <v>4.810583283223091E-3</v>
      </c>
      <c r="M836" s="63">
        <f t="shared" si="135"/>
        <v>-4.1018018671506326E-2</v>
      </c>
      <c r="N836" s="63">
        <f t="shared" si="136"/>
        <v>4.778880400989638E-2</v>
      </c>
      <c r="O836" s="62">
        <f t="shared" si="137"/>
        <v>9.415074177205625</v>
      </c>
      <c r="P836" s="62">
        <f t="shared" si="138"/>
        <v>4.5075160632942257E-2</v>
      </c>
      <c r="Q836" s="62">
        <f t="shared" si="139"/>
        <v>0.40270588594297152</v>
      </c>
      <c r="R836" s="63">
        <f t="shared" si="140"/>
        <v>4.8105832832231882E-3</v>
      </c>
      <c r="S836" s="63">
        <f t="shared" si="141"/>
        <v>4.2978220726673191E-2</v>
      </c>
      <c r="T836" s="63">
        <f t="shared" si="142"/>
        <v>4.778880400989638E-2</v>
      </c>
    </row>
    <row r="837" spans="1:20" x14ac:dyDescent="0.3">
      <c r="A837" s="18" t="s">
        <v>250</v>
      </c>
      <c r="B837" s="18" t="s">
        <v>251</v>
      </c>
      <c r="C837" s="18" t="s">
        <v>206</v>
      </c>
      <c r="D837" s="18" t="s">
        <v>203</v>
      </c>
      <c r="E837" s="61">
        <v>2016</v>
      </c>
      <c r="F837" s="62">
        <v>1168000000</v>
      </c>
      <c r="G837" s="62">
        <v>1676000000</v>
      </c>
      <c r="H837" s="62">
        <v>738936000</v>
      </c>
      <c r="I837" s="62">
        <v>722740000</v>
      </c>
      <c r="J837" s="62">
        <f t="shared" ref="J837:J900" si="143">F837/H837</f>
        <v>1.5806510983359858</v>
      </c>
      <c r="K837" s="62">
        <f t="shared" ref="K837:K900" si="144">G837/I837</f>
        <v>2.3189528737858702</v>
      </c>
      <c r="L837" s="63">
        <f t="shared" ref="L837:L900" si="145">IF(F837=0,"",((G837-F837)/ABS(F837)))</f>
        <v>0.43493150684931509</v>
      </c>
      <c r="M837" s="63">
        <f t="shared" ref="M837:M900" si="146">(I837-H837)/H837</f>
        <v>-2.1918001017679475E-2</v>
      </c>
      <c r="N837" s="63">
        <f t="shared" ref="N837:N900" si="147">IF(J837=0,"",((K837-J837)/ABS(J837)))</f>
        <v>0.4670871239245169</v>
      </c>
      <c r="O837" s="62">
        <f t="shared" ref="O837:O900" si="148">G837/H837</f>
        <v>2.2681260623382808</v>
      </c>
      <c r="P837" s="62">
        <f t="shared" ref="P837:P900" si="149">O837-J837</f>
        <v>0.68747496400229502</v>
      </c>
      <c r="Q837" s="62">
        <f t="shared" ref="Q837:Q900" si="150">K837-O837</f>
        <v>5.0826811447589382E-2</v>
      </c>
      <c r="R837" s="63">
        <f t="shared" ref="R837:R900" si="151">IF(J837=0,"",P837/ABS(J837))</f>
        <v>0.43493150684931497</v>
      </c>
      <c r="S837" s="63">
        <f t="shared" ref="S837:S900" si="152">IF(J837=0,"",Q837/ABS(J837))</f>
        <v>3.2155617075201974E-2</v>
      </c>
      <c r="T837" s="63">
        <f t="shared" ref="T837:T900" si="153">R837+S837</f>
        <v>0.46708712392451696</v>
      </c>
    </row>
    <row r="838" spans="1:20" x14ac:dyDescent="0.3">
      <c r="A838" s="18" t="s">
        <v>250</v>
      </c>
      <c r="B838" s="18" t="s">
        <v>251</v>
      </c>
      <c r="C838" s="18" t="s">
        <v>206</v>
      </c>
      <c r="D838" s="18" t="s">
        <v>203</v>
      </c>
      <c r="E838" s="61">
        <v>2017</v>
      </c>
      <c r="F838" s="62">
        <v>1676000000</v>
      </c>
      <c r="G838" s="62">
        <v>1700000000</v>
      </c>
      <c r="H838" s="62">
        <v>722740000</v>
      </c>
      <c r="I838" s="62">
        <v>719556000</v>
      </c>
      <c r="J838" s="62">
        <f t="shared" si="143"/>
        <v>2.3189528737858702</v>
      </c>
      <c r="K838" s="62">
        <f t="shared" si="144"/>
        <v>2.3625680280617494</v>
      </c>
      <c r="L838" s="63">
        <f t="shared" si="145"/>
        <v>1.4319809069212411E-2</v>
      </c>
      <c r="M838" s="63">
        <f t="shared" si="146"/>
        <v>-4.405457010819935E-3</v>
      </c>
      <c r="N838" s="63">
        <f t="shared" si="147"/>
        <v>1.8808124463811988E-2</v>
      </c>
      <c r="O838" s="62">
        <f t="shared" si="148"/>
        <v>2.3521598361789855</v>
      </c>
      <c r="P838" s="62">
        <f t="shared" si="149"/>
        <v>3.3206962393115269E-2</v>
      </c>
      <c r="Q838" s="62">
        <f t="shared" si="150"/>
        <v>1.0408191882763873E-2</v>
      </c>
      <c r="R838" s="63">
        <f t="shared" si="151"/>
        <v>1.4319809069212489E-2</v>
      </c>
      <c r="S838" s="63">
        <f t="shared" si="152"/>
        <v>4.4883153945995003E-3</v>
      </c>
      <c r="T838" s="63">
        <f t="shared" si="153"/>
        <v>1.8808124463811991E-2</v>
      </c>
    </row>
    <row r="839" spans="1:20" x14ac:dyDescent="0.3">
      <c r="A839" s="18" t="s">
        <v>250</v>
      </c>
      <c r="B839" s="18" t="s">
        <v>251</v>
      </c>
      <c r="C839" s="18" t="s">
        <v>206</v>
      </c>
      <c r="D839" s="18" t="s">
        <v>203</v>
      </c>
      <c r="E839" s="61">
        <v>2018</v>
      </c>
      <c r="F839" s="62">
        <v>1700000000</v>
      </c>
      <c r="G839" s="62">
        <v>1677000000</v>
      </c>
      <c r="H839" s="62">
        <v>719556000</v>
      </c>
      <c r="I839" s="62">
        <v>715960000</v>
      </c>
      <c r="J839" s="62">
        <f t="shared" si="143"/>
        <v>2.3625680280617494</v>
      </c>
      <c r="K839" s="62">
        <f t="shared" si="144"/>
        <v>2.3423096262361027</v>
      </c>
      <c r="L839" s="63">
        <f t="shared" si="145"/>
        <v>-1.3529411764705882E-2</v>
      </c>
      <c r="M839" s="63">
        <f t="shared" si="146"/>
        <v>-4.9975262523000294E-3</v>
      </c>
      <c r="N839" s="63">
        <f t="shared" si="147"/>
        <v>-8.5747379906205862E-3</v>
      </c>
      <c r="O839" s="62">
        <f t="shared" si="148"/>
        <v>2.3306038723879725</v>
      </c>
      <c r="P839" s="62">
        <f t="shared" si="149"/>
        <v>-3.1964155673776862E-2</v>
      </c>
      <c r="Q839" s="62">
        <f t="shared" si="150"/>
        <v>1.1705753848130218E-2</v>
      </c>
      <c r="R839" s="63">
        <f t="shared" si="151"/>
        <v>-1.3529411764705989E-2</v>
      </c>
      <c r="S839" s="63">
        <f t="shared" si="152"/>
        <v>4.954673774085404E-3</v>
      </c>
      <c r="T839" s="63">
        <f t="shared" si="153"/>
        <v>-8.5747379906205845E-3</v>
      </c>
    </row>
    <row r="840" spans="1:20" x14ac:dyDescent="0.3">
      <c r="A840" s="18" t="s">
        <v>250</v>
      </c>
      <c r="B840" s="18" t="s">
        <v>251</v>
      </c>
      <c r="C840" s="18" t="s">
        <v>206</v>
      </c>
      <c r="D840" s="18" t="s">
        <v>203</v>
      </c>
      <c r="E840" s="61">
        <v>2019</v>
      </c>
      <c r="F840" s="62">
        <v>1677000000</v>
      </c>
      <c r="G840" s="62">
        <v>1751000000</v>
      </c>
      <c r="H840" s="62">
        <v>715960000</v>
      </c>
      <c r="I840" s="62">
        <v>718048000</v>
      </c>
      <c r="J840" s="62">
        <f t="shared" si="143"/>
        <v>2.3423096262361027</v>
      </c>
      <c r="K840" s="62">
        <f t="shared" si="144"/>
        <v>2.4385556397343908</v>
      </c>
      <c r="L840" s="63">
        <f t="shared" si="145"/>
        <v>4.4126416219439475E-2</v>
      </c>
      <c r="M840" s="63">
        <f t="shared" si="146"/>
        <v>2.9163640426839487E-3</v>
      </c>
      <c r="N840" s="63">
        <f t="shared" si="147"/>
        <v>4.1090218142059834E-2</v>
      </c>
      <c r="O840" s="62">
        <f t="shared" si="148"/>
        <v>2.4456673557181965</v>
      </c>
      <c r="P840" s="62">
        <f t="shared" si="149"/>
        <v>0.10335772948209376</v>
      </c>
      <c r="Q840" s="62">
        <f t="shared" si="150"/>
        <v>-7.1117159838056665E-3</v>
      </c>
      <c r="R840" s="63">
        <f t="shared" si="151"/>
        <v>4.4126416219439385E-2</v>
      </c>
      <c r="S840" s="63">
        <f t="shared" si="152"/>
        <v>-3.0361980773795498E-3</v>
      </c>
      <c r="T840" s="63">
        <f t="shared" si="153"/>
        <v>4.1090218142059834E-2</v>
      </c>
    </row>
    <row r="841" spans="1:20" x14ac:dyDescent="0.3">
      <c r="A841" s="18" t="s">
        <v>250</v>
      </c>
      <c r="B841" s="18" t="s">
        <v>251</v>
      </c>
      <c r="C841" s="18" t="s">
        <v>206</v>
      </c>
      <c r="D841" s="18" t="s">
        <v>203</v>
      </c>
      <c r="E841" s="61">
        <v>2020</v>
      </c>
      <c r="F841" s="62">
        <v>1751000000</v>
      </c>
      <c r="G841" s="62">
        <v>632000000</v>
      </c>
      <c r="H841" s="62">
        <v>718048000</v>
      </c>
      <c r="I841" s="62">
        <v>713240000</v>
      </c>
      <c r="J841" s="62">
        <f t="shared" si="143"/>
        <v>2.4385556397343908</v>
      </c>
      <c r="K841" s="62">
        <f t="shared" si="144"/>
        <v>0.8860972463686837</v>
      </c>
      <c r="L841" s="63">
        <f t="shared" si="145"/>
        <v>-0.6390633923472302</v>
      </c>
      <c r="M841" s="63">
        <f t="shared" si="146"/>
        <v>-6.6959311912295561E-3</v>
      </c>
      <c r="N841" s="63">
        <f t="shared" si="147"/>
        <v>-0.63663029379752112</v>
      </c>
      <c r="O841" s="62">
        <f t="shared" si="148"/>
        <v>0.88016400017826102</v>
      </c>
      <c r="P841" s="62">
        <f t="shared" si="149"/>
        <v>-1.5583916395561297</v>
      </c>
      <c r="Q841" s="62">
        <f t="shared" si="150"/>
        <v>5.9332461904226808E-3</v>
      </c>
      <c r="R841" s="63">
        <f t="shared" si="151"/>
        <v>-0.63906339234723009</v>
      </c>
      <c r="S841" s="63">
        <f t="shared" si="152"/>
        <v>2.4330985497090949E-3</v>
      </c>
      <c r="T841" s="63">
        <f t="shared" si="153"/>
        <v>-0.63663029379752101</v>
      </c>
    </row>
    <row r="842" spans="1:20" x14ac:dyDescent="0.3">
      <c r="A842" s="18" t="s">
        <v>250</v>
      </c>
      <c r="B842" s="18" t="s">
        <v>251</v>
      </c>
      <c r="C842" s="18" t="s">
        <v>206</v>
      </c>
      <c r="D842" s="18" t="s">
        <v>203</v>
      </c>
      <c r="E842" s="61">
        <v>2021</v>
      </c>
      <c r="F842" s="62">
        <v>632000000</v>
      </c>
      <c r="G842" s="62">
        <v>1844000000</v>
      </c>
      <c r="H842" s="62">
        <v>713240000</v>
      </c>
      <c r="I842" s="62">
        <v>713448000</v>
      </c>
      <c r="J842" s="62">
        <f t="shared" si="143"/>
        <v>0.8860972463686837</v>
      </c>
      <c r="K842" s="62">
        <f t="shared" si="144"/>
        <v>2.5846312555364932</v>
      </c>
      <c r="L842" s="63">
        <f t="shared" si="145"/>
        <v>1.9177215189873418</v>
      </c>
      <c r="M842" s="63">
        <f t="shared" si="146"/>
        <v>2.9162694184285795E-4</v>
      </c>
      <c r="N842" s="63">
        <f t="shared" si="147"/>
        <v>1.9168708808526085</v>
      </c>
      <c r="O842" s="62">
        <f t="shared" si="148"/>
        <v>2.585385003645337</v>
      </c>
      <c r="P842" s="62">
        <f t="shared" si="149"/>
        <v>1.6992877572766534</v>
      </c>
      <c r="Q842" s="62">
        <f t="shared" si="150"/>
        <v>-7.5374810884376586E-4</v>
      </c>
      <c r="R842" s="63">
        <f t="shared" si="151"/>
        <v>1.9177215189873422</v>
      </c>
      <c r="S842" s="63">
        <f t="shared" si="152"/>
        <v>-8.5063813473374621E-4</v>
      </c>
      <c r="T842" s="63">
        <f t="shared" si="153"/>
        <v>1.9168708808526085</v>
      </c>
    </row>
    <row r="843" spans="1:20" x14ac:dyDescent="0.3">
      <c r="A843" s="18" t="s">
        <v>250</v>
      </c>
      <c r="B843" s="18" t="s">
        <v>251</v>
      </c>
      <c r="C843" s="18" t="s">
        <v>206</v>
      </c>
      <c r="D843" s="18" t="s">
        <v>203</v>
      </c>
      <c r="E843" s="61">
        <v>2022</v>
      </c>
      <c r="F843" s="62">
        <v>1844000000</v>
      </c>
      <c r="G843" s="62">
        <v>2001000000</v>
      </c>
      <c r="H843" s="62">
        <v>713448000</v>
      </c>
      <c r="I843" s="62">
        <v>712364000</v>
      </c>
      <c r="J843" s="62">
        <f t="shared" si="143"/>
        <v>2.5846312555364932</v>
      </c>
      <c r="K843" s="62">
        <f t="shared" si="144"/>
        <v>2.8089572185006539</v>
      </c>
      <c r="L843" s="63">
        <f t="shared" si="145"/>
        <v>8.5140997830802603E-2</v>
      </c>
      <c r="M843" s="63">
        <f t="shared" si="146"/>
        <v>-1.5193819311288279E-3</v>
      </c>
      <c r="N843" s="63">
        <f t="shared" si="147"/>
        <v>8.6792250338858221E-2</v>
      </c>
      <c r="O843" s="62">
        <f t="shared" si="148"/>
        <v>2.8046893396575503</v>
      </c>
      <c r="P843" s="62">
        <f t="shared" si="149"/>
        <v>0.2200580841210571</v>
      </c>
      <c r="Q843" s="62">
        <f t="shared" si="150"/>
        <v>4.2678788431036452E-3</v>
      </c>
      <c r="R843" s="63">
        <f t="shared" si="151"/>
        <v>8.5140997830802576E-2</v>
      </c>
      <c r="S843" s="63">
        <f t="shared" si="152"/>
        <v>1.6512525080556451E-3</v>
      </c>
      <c r="T843" s="63">
        <f t="shared" si="153"/>
        <v>8.6792250338858221E-2</v>
      </c>
    </row>
    <row r="844" spans="1:20" x14ac:dyDescent="0.3">
      <c r="A844" s="18" t="s">
        <v>250</v>
      </c>
      <c r="B844" s="18" t="s">
        <v>251</v>
      </c>
      <c r="C844" s="18" t="s">
        <v>206</v>
      </c>
      <c r="D844" s="18" t="s">
        <v>203</v>
      </c>
      <c r="E844" s="61">
        <v>2023</v>
      </c>
      <c r="F844" s="62">
        <v>2001000000</v>
      </c>
      <c r="G844" s="62">
        <v>1983000000</v>
      </c>
      <c r="H844" s="62">
        <v>712364000</v>
      </c>
      <c r="I844" s="62">
        <v>714258055</v>
      </c>
      <c r="J844" s="62">
        <f t="shared" si="143"/>
        <v>2.8089572185006539</v>
      </c>
      <c r="K844" s="62">
        <f t="shared" si="144"/>
        <v>2.7763075069555918</v>
      </c>
      <c r="L844" s="63">
        <f t="shared" si="145"/>
        <v>-8.9955022488755615E-3</v>
      </c>
      <c r="M844" s="63">
        <f t="shared" si="146"/>
        <v>2.6588303170850857E-3</v>
      </c>
      <c r="N844" s="63">
        <f t="shared" si="147"/>
        <v>-1.162342784362151E-2</v>
      </c>
      <c r="O844" s="62">
        <f t="shared" si="148"/>
        <v>2.7836892375246363</v>
      </c>
      <c r="P844" s="62">
        <f t="shared" si="149"/>
        <v>-2.5267980976017679E-2</v>
      </c>
      <c r="Q844" s="62">
        <f t="shared" si="150"/>
        <v>-7.3817305690444535E-3</v>
      </c>
      <c r="R844" s="63">
        <f t="shared" si="151"/>
        <v>-8.9955022488754921E-3</v>
      </c>
      <c r="S844" s="63">
        <f t="shared" si="152"/>
        <v>-2.6279255947460186E-3</v>
      </c>
      <c r="T844" s="63">
        <f t="shared" si="153"/>
        <v>-1.1623427843621512E-2</v>
      </c>
    </row>
    <row r="845" spans="1:20" x14ac:dyDescent="0.3">
      <c r="A845" s="18" t="s">
        <v>250</v>
      </c>
      <c r="B845" s="18" t="s">
        <v>251</v>
      </c>
      <c r="C845" s="18" t="s">
        <v>206</v>
      </c>
      <c r="D845" s="18" t="s">
        <v>203</v>
      </c>
      <c r="E845" s="61">
        <v>2024</v>
      </c>
      <c r="F845" s="62">
        <v>1983000000</v>
      </c>
      <c r="G845" s="62">
        <v>1884000000</v>
      </c>
      <c r="H845" s="62">
        <v>714258055</v>
      </c>
      <c r="I845" s="62">
        <v>709850000</v>
      </c>
      <c r="J845" s="62">
        <f t="shared" si="143"/>
        <v>2.7763075069555918</v>
      </c>
      <c r="K845" s="62">
        <f t="shared" si="144"/>
        <v>2.654081848277805</v>
      </c>
      <c r="L845" s="63">
        <f t="shared" si="145"/>
        <v>-4.9924357034795766E-2</v>
      </c>
      <c r="M845" s="63">
        <f t="shared" si="146"/>
        <v>-6.1715159796132783E-3</v>
      </c>
      <c r="N845" s="63">
        <f t="shared" si="147"/>
        <v>-4.4024539202365036E-2</v>
      </c>
      <c r="O845" s="62">
        <f t="shared" si="148"/>
        <v>2.6377021397399569</v>
      </c>
      <c r="P845" s="62">
        <f t="shared" si="149"/>
        <v>-0.13860536721563488</v>
      </c>
      <c r="Q845" s="62">
        <f t="shared" si="150"/>
        <v>1.6379708537848092E-2</v>
      </c>
      <c r="R845" s="63">
        <f t="shared" si="151"/>
        <v>-4.9924357034795835E-2</v>
      </c>
      <c r="S845" s="63">
        <f t="shared" si="152"/>
        <v>5.8998178324307978E-3</v>
      </c>
      <c r="T845" s="63">
        <f t="shared" si="153"/>
        <v>-4.4024539202365036E-2</v>
      </c>
    </row>
    <row r="846" spans="1:20" x14ac:dyDescent="0.3">
      <c r="A846" s="18" t="s">
        <v>252</v>
      </c>
      <c r="B846" s="18" t="s">
        <v>253</v>
      </c>
      <c r="C846" s="18" t="s">
        <v>206</v>
      </c>
      <c r="D846" s="18" t="s">
        <v>203</v>
      </c>
      <c r="E846" s="61">
        <v>2016</v>
      </c>
      <c r="F846" s="62">
        <v>437700000</v>
      </c>
      <c r="G846" s="62">
        <v>383100000</v>
      </c>
      <c r="H846" s="62">
        <v>548500000</v>
      </c>
      <c r="I846" s="62">
        <v>566833333</v>
      </c>
      <c r="J846" s="62">
        <f t="shared" si="143"/>
        <v>0.79799453053783043</v>
      </c>
      <c r="K846" s="62">
        <f t="shared" si="144"/>
        <v>0.67586004156181123</v>
      </c>
      <c r="L846" s="63">
        <f t="shared" si="145"/>
        <v>-0.1247429746401645</v>
      </c>
      <c r="M846" s="63">
        <f t="shared" si="146"/>
        <v>3.34244904284412E-2</v>
      </c>
      <c r="N846" s="63">
        <f t="shared" si="147"/>
        <v>-0.15305178707641429</v>
      </c>
      <c r="O846" s="62">
        <f t="shared" si="148"/>
        <v>0.69845031905195987</v>
      </c>
      <c r="P846" s="62">
        <f t="shared" si="149"/>
        <v>-9.954421148587056E-2</v>
      </c>
      <c r="Q846" s="62">
        <f t="shared" si="150"/>
        <v>-2.2590277490148636E-2</v>
      </c>
      <c r="R846" s="63">
        <f t="shared" si="151"/>
        <v>-0.1247429746401645</v>
      </c>
      <c r="S846" s="63">
        <f t="shared" si="152"/>
        <v>-2.8308812436249775E-2</v>
      </c>
      <c r="T846" s="63">
        <f t="shared" si="153"/>
        <v>-0.15305178707641426</v>
      </c>
    </row>
    <row r="847" spans="1:20" x14ac:dyDescent="0.3">
      <c r="A847" s="18" t="s">
        <v>252</v>
      </c>
      <c r="B847" s="18" t="s">
        <v>253</v>
      </c>
      <c r="C847" s="18" t="s">
        <v>206</v>
      </c>
      <c r="D847" s="18" t="s">
        <v>203</v>
      </c>
      <c r="E847" s="61">
        <v>2017</v>
      </c>
      <c r="F847" s="62">
        <v>383100000</v>
      </c>
      <c r="G847" s="62">
        <v>329900000</v>
      </c>
      <c r="H847" s="62">
        <v>566833333</v>
      </c>
      <c r="I847" s="62">
        <v>571267728</v>
      </c>
      <c r="J847" s="62">
        <f t="shared" si="143"/>
        <v>0.67586004156181123</v>
      </c>
      <c r="K847" s="62">
        <f t="shared" si="144"/>
        <v>0.57748754888531006</v>
      </c>
      <c r="L847" s="63">
        <f t="shared" si="145"/>
        <v>-0.13886713651788044</v>
      </c>
      <c r="M847" s="63">
        <f t="shared" si="146"/>
        <v>7.8231020334155257E-3</v>
      </c>
      <c r="N847" s="63">
        <f t="shared" si="147"/>
        <v>-0.14555157373881297</v>
      </c>
      <c r="O847" s="62">
        <f t="shared" si="148"/>
        <v>0.58200529290326686</v>
      </c>
      <c r="P847" s="62">
        <f t="shared" si="149"/>
        <v>-9.3854748658544374E-2</v>
      </c>
      <c r="Q847" s="62">
        <f t="shared" si="150"/>
        <v>-4.5177440179567929E-3</v>
      </c>
      <c r="R847" s="63">
        <f t="shared" si="151"/>
        <v>-0.13886713651788041</v>
      </c>
      <c r="S847" s="63">
        <f t="shared" si="152"/>
        <v>-6.6844372209325523E-3</v>
      </c>
      <c r="T847" s="63">
        <f t="shared" si="153"/>
        <v>-0.14555157373881297</v>
      </c>
    </row>
    <row r="848" spans="1:20" x14ac:dyDescent="0.3">
      <c r="A848" s="18" t="s">
        <v>252</v>
      </c>
      <c r="B848" s="18" t="s">
        <v>253</v>
      </c>
      <c r="C848" s="18" t="s">
        <v>206</v>
      </c>
      <c r="D848" s="18" t="s">
        <v>203</v>
      </c>
      <c r="E848" s="61">
        <v>2018</v>
      </c>
      <c r="F848" s="62">
        <v>329900000</v>
      </c>
      <c r="G848" s="62">
        <v>374200000</v>
      </c>
      <c r="H848" s="62">
        <v>571267728</v>
      </c>
      <c r="I848" s="62">
        <v>571578876</v>
      </c>
      <c r="J848" s="62">
        <f t="shared" si="143"/>
        <v>0.57748754888531006</v>
      </c>
      <c r="K848" s="62">
        <f t="shared" si="144"/>
        <v>0.65467779813472327</v>
      </c>
      <c r="L848" s="63">
        <f t="shared" si="145"/>
        <v>0.13428311609578661</v>
      </c>
      <c r="M848" s="63">
        <f t="shared" si="146"/>
        <v>5.4466230936819177E-4</v>
      </c>
      <c r="N848" s="63">
        <f t="shared" si="147"/>
        <v>0.13366565114418302</v>
      </c>
      <c r="O848" s="62">
        <f t="shared" si="148"/>
        <v>0.65503437645614737</v>
      </c>
      <c r="P848" s="62">
        <f t="shared" si="149"/>
        <v>7.7546827570837307E-2</v>
      </c>
      <c r="Q848" s="62">
        <f t="shared" si="150"/>
        <v>-3.5657832142410584E-4</v>
      </c>
      <c r="R848" s="63">
        <f t="shared" si="151"/>
        <v>0.13428311609578655</v>
      </c>
      <c r="S848" s="63">
        <f t="shared" si="152"/>
        <v>-6.1746495160352425E-4</v>
      </c>
      <c r="T848" s="63">
        <f t="shared" si="153"/>
        <v>0.13366565114418302</v>
      </c>
    </row>
    <row r="849" spans="1:20" x14ac:dyDescent="0.3">
      <c r="A849" s="18" t="s">
        <v>252</v>
      </c>
      <c r="B849" s="18" t="s">
        <v>253</v>
      </c>
      <c r="C849" s="18" t="s">
        <v>206</v>
      </c>
      <c r="D849" s="18" t="s">
        <v>203</v>
      </c>
      <c r="E849" s="61">
        <v>2019</v>
      </c>
      <c r="F849" s="62">
        <v>374200000</v>
      </c>
      <c r="G849" s="62">
        <v>872500000</v>
      </c>
      <c r="H849" s="62">
        <v>571578876</v>
      </c>
      <c r="I849" s="62">
        <v>573964631</v>
      </c>
      <c r="J849" s="62">
        <f t="shared" si="143"/>
        <v>0.65467779813472327</v>
      </c>
      <c r="K849" s="62">
        <f t="shared" si="144"/>
        <v>1.520128511193924</v>
      </c>
      <c r="L849" s="63">
        <f t="shared" si="145"/>
        <v>1.331640833778728</v>
      </c>
      <c r="M849" s="63">
        <f t="shared" si="146"/>
        <v>4.1739733572659183E-3</v>
      </c>
      <c r="N849" s="63">
        <f t="shared" si="147"/>
        <v>1.3219490801811236</v>
      </c>
      <c r="O849" s="62">
        <f t="shared" si="148"/>
        <v>1.5264734870992678</v>
      </c>
      <c r="P849" s="62">
        <f t="shared" si="149"/>
        <v>0.87179568896454451</v>
      </c>
      <c r="Q849" s="62">
        <f t="shared" si="150"/>
        <v>-6.3449759053437749E-3</v>
      </c>
      <c r="R849" s="63">
        <f t="shared" si="151"/>
        <v>1.3316408337787278</v>
      </c>
      <c r="S849" s="63">
        <f t="shared" si="152"/>
        <v>-9.6917535976041615E-3</v>
      </c>
      <c r="T849" s="63">
        <f t="shared" si="153"/>
        <v>1.3219490801811236</v>
      </c>
    </row>
    <row r="850" spans="1:20" x14ac:dyDescent="0.3">
      <c r="A850" s="18" t="s">
        <v>252</v>
      </c>
      <c r="B850" s="18" t="s">
        <v>253</v>
      </c>
      <c r="C850" s="18" t="s">
        <v>206</v>
      </c>
      <c r="D850" s="18" t="s">
        <v>203</v>
      </c>
      <c r="E850" s="61">
        <v>2020</v>
      </c>
      <c r="F850" s="62">
        <v>872500000</v>
      </c>
      <c r="G850" s="62">
        <v>228400000</v>
      </c>
      <c r="H850" s="62">
        <v>573964631</v>
      </c>
      <c r="I850" s="62">
        <v>575520372</v>
      </c>
      <c r="J850" s="62">
        <f t="shared" si="143"/>
        <v>1.520128511193924</v>
      </c>
      <c r="K850" s="62">
        <f t="shared" si="144"/>
        <v>0.39685823667072551</v>
      </c>
      <c r="L850" s="63">
        <f t="shared" si="145"/>
        <v>-0.73822349570200574</v>
      </c>
      <c r="M850" s="63">
        <f t="shared" si="146"/>
        <v>2.71051719212991E-3</v>
      </c>
      <c r="N850" s="63">
        <f t="shared" si="147"/>
        <v>-0.73893112736960043</v>
      </c>
      <c r="O850" s="62">
        <f t="shared" si="148"/>
        <v>0.39793392774405989</v>
      </c>
      <c r="P850" s="62">
        <f t="shared" si="149"/>
        <v>-1.1221945834498641</v>
      </c>
      <c r="Q850" s="62">
        <f t="shared" si="150"/>
        <v>-1.0756910733343839E-3</v>
      </c>
      <c r="R850" s="63">
        <f t="shared" si="151"/>
        <v>-0.73822349570200574</v>
      </c>
      <c r="S850" s="63">
        <f t="shared" si="152"/>
        <v>-7.0763166759468604E-4</v>
      </c>
      <c r="T850" s="63">
        <f t="shared" si="153"/>
        <v>-0.73893112736960043</v>
      </c>
    </row>
    <row r="851" spans="1:20" x14ac:dyDescent="0.3">
      <c r="A851" s="18" t="s">
        <v>252</v>
      </c>
      <c r="B851" s="18" t="s">
        <v>253</v>
      </c>
      <c r="C851" s="18" t="s">
        <v>206</v>
      </c>
      <c r="D851" s="18" t="s">
        <v>203</v>
      </c>
      <c r="E851" s="61">
        <v>2021</v>
      </c>
      <c r="F851" s="62">
        <v>228400000</v>
      </c>
      <c r="G851" s="62">
        <v>554900000</v>
      </c>
      <c r="H851" s="62">
        <v>575520372</v>
      </c>
      <c r="I851" s="62">
        <v>592900000</v>
      </c>
      <c r="J851" s="62">
        <f t="shared" si="143"/>
        <v>0.39685823667072551</v>
      </c>
      <c r="K851" s="62">
        <f t="shared" si="144"/>
        <v>0.93590824759655933</v>
      </c>
      <c r="L851" s="63">
        <f t="shared" si="145"/>
        <v>1.429509632224168</v>
      </c>
      <c r="M851" s="63">
        <f t="shared" si="146"/>
        <v>3.0198110867220525E-2</v>
      </c>
      <c r="N851" s="63">
        <f t="shared" si="147"/>
        <v>1.3582936200290716</v>
      </c>
      <c r="O851" s="62">
        <f t="shared" si="148"/>
        <v>0.96417090861902621</v>
      </c>
      <c r="P851" s="62">
        <f t="shared" si="149"/>
        <v>0.56731267194830071</v>
      </c>
      <c r="Q851" s="62">
        <f t="shared" si="150"/>
        <v>-2.8262661022466884E-2</v>
      </c>
      <c r="R851" s="63">
        <f t="shared" si="151"/>
        <v>1.4295096322241683</v>
      </c>
      <c r="S851" s="63">
        <f t="shared" si="152"/>
        <v>-7.1216012195096504E-2</v>
      </c>
      <c r="T851" s="63">
        <f t="shared" si="153"/>
        <v>1.3582936200290718</v>
      </c>
    </row>
    <row r="852" spans="1:20" x14ac:dyDescent="0.3">
      <c r="A852" s="18" t="s">
        <v>252</v>
      </c>
      <c r="B852" s="18" t="s">
        <v>253</v>
      </c>
      <c r="C852" s="18" t="s">
        <v>206</v>
      </c>
      <c r="D852" s="18" t="s">
        <v>203</v>
      </c>
      <c r="E852" s="61">
        <v>2022</v>
      </c>
      <c r="F852" s="62">
        <v>554900000</v>
      </c>
      <c r="G852" s="62">
        <v>1076200000</v>
      </c>
      <c r="H852" s="62">
        <v>592900000</v>
      </c>
      <c r="I852" s="62">
        <v>688300000</v>
      </c>
      <c r="J852" s="62">
        <f t="shared" si="143"/>
        <v>0.93590824759655933</v>
      </c>
      <c r="K852" s="62">
        <f t="shared" si="144"/>
        <v>1.5635624001162285</v>
      </c>
      <c r="L852" s="63">
        <f t="shared" si="145"/>
        <v>0.93944854928816002</v>
      </c>
      <c r="M852" s="63">
        <f t="shared" si="146"/>
        <v>0.16090403103390116</v>
      </c>
      <c r="N852" s="63">
        <f t="shared" si="147"/>
        <v>0.67063641562247578</v>
      </c>
      <c r="O852" s="62">
        <f t="shared" si="148"/>
        <v>1.8151458930679709</v>
      </c>
      <c r="P852" s="62">
        <f t="shared" si="149"/>
        <v>0.87923764547141159</v>
      </c>
      <c r="Q852" s="62">
        <f t="shared" si="150"/>
        <v>-0.25158349295174243</v>
      </c>
      <c r="R852" s="63">
        <f t="shared" si="151"/>
        <v>0.93944854928815991</v>
      </c>
      <c r="S852" s="63">
        <f t="shared" si="152"/>
        <v>-0.26881213366568407</v>
      </c>
      <c r="T852" s="63">
        <f t="shared" si="153"/>
        <v>0.67063641562247578</v>
      </c>
    </row>
    <row r="853" spans="1:20" x14ac:dyDescent="0.3">
      <c r="A853" s="18" t="s">
        <v>252</v>
      </c>
      <c r="B853" s="18" t="s">
        <v>253</v>
      </c>
      <c r="C853" s="18" t="s">
        <v>206</v>
      </c>
      <c r="D853" s="18" t="s">
        <v>203</v>
      </c>
      <c r="E853" s="61">
        <v>2023</v>
      </c>
      <c r="F853" s="62">
        <v>1076200000</v>
      </c>
      <c r="G853" s="62">
        <v>937000000</v>
      </c>
      <c r="H853" s="62">
        <v>688300000</v>
      </c>
      <c r="I853" s="62">
        <v>705000000</v>
      </c>
      <c r="J853" s="62">
        <f t="shared" si="143"/>
        <v>1.5635624001162285</v>
      </c>
      <c r="K853" s="62">
        <f t="shared" si="144"/>
        <v>1.3290780141843972</v>
      </c>
      <c r="L853" s="63">
        <f t="shared" si="145"/>
        <v>-0.12934398810629993</v>
      </c>
      <c r="M853" s="63">
        <f t="shared" si="146"/>
        <v>2.4262676158651752E-2</v>
      </c>
      <c r="N853" s="63">
        <f t="shared" si="147"/>
        <v>-0.14996803831711528</v>
      </c>
      <c r="O853" s="62">
        <f t="shared" si="148"/>
        <v>1.3613250036321372</v>
      </c>
      <c r="P853" s="62">
        <f t="shared" si="149"/>
        <v>-0.20223739648409134</v>
      </c>
      <c r="Q853" s="62">
        <f t="shared" si="150"/>
        <v>-3.224698944773996E-2</v>
      </c>
      <c r="R853" s="63">
        <f t="shared" si="151"/>
        <v>-0.12934398810629999</v>
      </c>
      <c r="S853" s="63">
        <f t="shared" si="152"/>
        <v>-2.0624050210815287E-2</v>
      </c>
      <c r="T853" s="63">
        <f t="shared" si="153"/>
        <v>-0.14996803831711528</v>
      </c>
    </row>
    <row r="854" spans="1:20" x14ac:dyDescent="0.3">
      <c r="A854" s="18" t="s">
        <v>252</v>
      </c>
      <c r="B854" s="18" t="s">
        <v>253</v>
      </c>
      <c r="C854" s="18" t="s">
        <v>206</v>
      </c>
      <c r="D854" s="18" t="s">
        <v>203</v>
      </c>
      <c r="E854" s="61">
        <v>2024</v>
      </c>
      <c r="F854" s="62">
        <v>937000000</v>
      </c>
      <c r="G854" s="62">
        <v>1097000000</v>
      </c>
      <c r="H854" s="62">
        <v>705000000</v>
      </c>
      <c r="I854" s="62">
        <v>720000000</v>
      </c>
      <c r="J854" s="62">
        <f t="shared" si="143"/>
        <v>1.3290780141843972</v>
      </c>
      <c r="K854" s="62">
        <f t="shared" si="144"/>
        <v>1.523611111111111</v>
      </c>
      <c r="L854" s="63">
        <f t="shared" si="145"/>
        <v>0.17075773745997866</v>
      </c>
      <c r="M854" s="63">
        <f t="shared" si="146"/>
        <v>2.1276595744680851E-2</v>
      </c>
      <c r="N854" s="63">
        <f t="shared" si="147"/>
        <v>0.14636695126289567</v>
      </c>
      <c r="O854" s="62">
        <f t="shared" si="148"/>
        <v>1.5560283687943262</v>
      </c>
      <c r="P854" s="62">
        <f t="shared" si="149"/>
        <v>0.22695035460992896</v>
      </c>
      <c r="Q854" s="62">
        <f t="shared" si="150"/>
        <v>-3.2417257683215128E-2</v>
      </c>
      <c r="R854" s="63">
        <f t="shared" si="151"/>
        <v>0.17075773745997858</v>
      </c>
      <c r="S854" s="63">
        <f t="shared" si="152"/>
        <v>-2.4390786197082886E-2</v>
      </c>
      <c r="T854" s="63">
        <f t="shared" si="153"/>
        <v>0.1463669512628957</v>
      </c>
    </row>
    <row r="855" spans="1:20" x14ac:dyDescent="0.3">
      <c r="A855" s="18" t="s">
        <v>254</v>
      </c>
      <c r="B855" s="18" t="s">
        <v>110</v>
      </c>
      <c r="C855" s="18" t="s">
        <v>206</v>
      </c>
      <c r="D855" s="18" t="s">
        <v>203</v>
      </c>
      <c r="E855" s="61">
        <v>2016</v>
      </c>
      <c r="F855" s="62">
        <v>334000000</v>
      </c>
      <c r="G855" s="62">
        <v>1803000000</v>
      </c>
      <c r="H855" s="62">
        <v>1510555000</v>
      </c>
      <c r="I855" s="62">
        <v>1513019000</v>
      </c>
      <c r="J855" s="62">
        <f t="shared" si="143"/>
        <v>0.22111078378476784</v>
      </c>
      <c r="K855" s="62">
        <f t="shared" si="144"/>
        <v>1.1916572098565847</v>
      </c>
      <c r="L855" s="63">
        <f t="shared" si="145"/>
        <v>4.3982035928143715</v>
      </c>
      <c r="M855" s="63">
        <f t="shared" si="146"/>
        <v>1.6311885366636766E-3</v>
      </c>
      <c r="N855" s="63">
        <f t="shared" si="147"/>
        <v>4.3894124450147105</v>
      </c>
      <c r="O855" s="62">
        <f t="shared" si="148"/>
        <v>1.1936010274369355</v>
      </c>
      <c r="P855" s="62">
        <f t="shared" si="149"/>
        <v>0.97249024365216763</v>
      </c>
      <c r="Q855" s="62">
        <f t="shared" si="150"/>
        <v>-1.9438175803507818E-3</v>
      </c>
      <c r="R855" s="63">
        <f t="shared" si="151"/>
        <v>4.3982035928143715</v>
      </c>
      <c r="S855" s="63">
        <f t="shared" si="152"/>
        <v>-8.7911477996610032E-3</v>
      </c>
      <c r="T855" s="63">
        <f t="shared" si="153"/>
        <v>4.3894124450147105</v>
      </c>
    </row>
    <row r="856" spans="1:20" x14ac:dyDescent="0.3">
      <c r="A856" s="18" t="s">
        <v>254</v>
      </c>
      <c r="B856" s="18" t="s">
        <v>110</v>
      </c>
      <c r="C856" s="18" t="s">
        <v>206</v>
      </c>
      <c r="D856" s="18" t="s">
        <v>203</v>
      </c>
      <c r="E856" s="61">
        <v>2017</v>
      </c>
      <c r="F856" s="62">
        <v>1803000000</v>
      </c>
      <c r="G856" s="62">
        <v>3491000000</v>
      </c>
      <c r="H856" s="62">
        <v>1513019000</v>
      </c>
      <c r="I856" s="62">
        <v>1535988000</v>
      </c>
      <c r="J856" s="62">
        <f t="shared" si="143"/>
        <v>1.1916572098565847</v>
      </c>
      <c r="K856" s="62">
        <f t="shared" si="144"/>
        <v>2.2728042146162601</v>
      </c>
      <c r="L856" s="63">
        <f t="shared" si="145"/>
        <v>0.93621741541874648</v>
      </c>
      <c r="M856" s="63">
        <f t="shared" si="146"/>
        <v>1.5180906518688794E-2</v>
      </c>
      <c r="N856" s="63">
        <f t="shared" si="147"/>
        <v>0.90726342761757039</v>
      </c>
      <c r="O856" s="62">
        <f t="shared" si="148"/>
        <v>2.3073074429336313</v>
      </c>
      <c r="P856" s="62">
        <f t="shared" si="149"/>
        <v>1.1156502330770466</v>
      </c>
      <c r="Q856" s="62">
        <f t="shared" si="150"/>
        <v>-3.4503228317371182E-2</v>
      </c>
      <c r="R856" s="63">
        <f t="shared" si="151"/>
        <v>0.93621741541874648</v>
      </c>
      <c r="S856" s="63">
        <f t="shared" si="152"/>
        <v>-2.8953987801176168E-2</v>
      </c>
      <c r="T856" s="63">
        <f t="shared" si="153"/>
        <v>0.90726342761757028</v>
      </c>
    </row>
    <row r="857" spans="1:20" x14ac:dyDescent="0.3">
      <c r="A857" s="18" t="s">
        <v>254</v>
      </c>
      <c r="B857" s="18" t="s">
        <v>110</v>
      </c>
      <c r="C857" s="18" t="s">
        <v>206</v>
      </c>
      <c r="D857" s="18" t="s">
        <v>203</v>
      </c>
      <c r="E857" s="61">
        <v>2018</v>
      </c>
      <c r="F857" s="62">
        <v>3491000000</v>
      </c>
      <c r="G857" s="62">
        <v>3608000000</v>
      </c>
      <c r="H857" s="62">
        <v>1535988000</v>
      </c>
      <c r="I857" s="62">
        <v>1548439000</v>
      </c>
      <c r="J857" s="62">
        <f t="shared" si="143"/>
        <v>2.2728042146162601</v>
      </c>
      <c r="K857" s="62">
        <f t="shared" si="144"/>
        <v>2.3300885601563897</v>
      </c>
      <c r="L857" s="63">
        <f t="shared" si="145"/>
        <v>3.3514752219994268E-2</v>
      </c>
      <c r="M857" s="63">
        <f t="shared" si="146"/>
        <v>8.1061831212223007E-3</v>
      </c>
      <c r="N857" s="63">
        <f t="shared" si="147"/>
        <v>2.5204258761813935E-2</v>
      </c>
      <c r="O857" s="62">
        <f t="shared" si="148"/>
        <v>2.3489766847136826</v>
      </c>
      <c r="P857" s="62">
        <f t="shared" si="149"/>
        <v>7.6172470097422451E-2</v>
      </c>
      <c r="Q857" s="62">
        <f t="shared" si="150"/>
        <v>-1.888812455729294E-2</v>
      </c>
      <c r="R857" s="63">
        <f t="shared" si="151"/>
        <v>3.3514752219994184E-2</v>
      </c>
      <c r="S857" s="63">
        <f t="shared" si="152"/>
        <v>-8.3104934581802545E-3</v>
      </c>
      <c r="T857" s="63">
        <f t="shared" si="153"/>
        <v>2.5204258761813932E-2</v>
      </c>
    </row>
    <row r="858" spans="1:20" x14ac:dyDescent="0.3">
      <c r="A858" s="18" t="s">
        <v>254</v>
      </c>
      <c r="B858" s="18" t="s">
        <v>110</v>
      </c>
      <c r="C858" s="18" t="s">
        <v>206</v>
      </c>
      <c r="D858" s="18" t="s">
        <v>203</v>
      </c>
      <c r="E858" s="61">
        <v>2019</v>
      </c>
      <c r="F858" s="62">
        <v>3608000000</v>
      </c>
      <c r="G858" s="62">
        <v>6622000000</v>
      </c>
      <c r="H858" s="62">
        <v>1548439000</v>
      </c>
      <c r="I858" s="62">
        <v>1564114000</v>
      </c>
      <c r="J858" s="62">
        <f t="shared" si="143"/>
        <v>2.3300885601563897</v>
      </c>
      <c r="K858" s="62">
        <f t="shared" si="144"/>
        <v>4.2337067502752355</v>
      </c>
      <c r="L858" s="63">
        <f t="shared" si="145"/>
        <v>0.83536585365853655</v>
      </c>
      <c r="M858" s="63">
        <f t="shared" si="146"/>
        <v>1.0123098165313583E-2</v>
      </c>
      <c r="N858" s="63">
        <f t="shared" si="147"/>
        <v>0.8169724630513957</v>
      </c>
      <c r="O858" s="62">
        <f t="shared" si="148"/>
        <v>4.2765649793114227</v>
      </c>
      <c r="P858" s="62">
        <f t="shared" si="149"/>
        <v>1.946476419155033</v>
      </c>
      <c r="Q858" s="62">
        <f t="shared" si="150"/>
        <v>-4.285822903618719E-2</v>
      </c>
      <c r="R858" s="63">
        <f t="shared" si="151"/>
        <v>0.83536585365853666</v>
      </c>
      <c r="S858" s="63">
        <f t="shared" si="152"/>
        <v>-1.8393390607140982E-2</v>
      </c>
      <c r="T858" s="63">
        <f t="shared" si="153"/>
        <v>0.8169724630513957</v>
      </c>
    </row>
    <row r="859" spans="1:20" x14ac:dyDescent="0.3">
      <c r="A859" s="18" t="s">
        <v>254</v>
      </c>
      <c r="B859" s="18" t="s">
        <v>110</v>
      </c>
      <c r="C859" s="18" t="s">
        <v>206</v>
      </c>
      <c r="D859" s="18" t="s">
        <v>203</v>
      </c>
      <c r="E859" s="61">
        <v>2020</v>
      </c>
      <c r="F859" s="62">
        <v>6622000000</v>
      </c>
      <c r="G859" s="62">
        <v>29000000</v>
      </c>
      <c r="H859" s="62">
        <v>1564114000</v>
      </c>
      <c r="I859" s="62">
        <v>1544002000</v>
      </c>
      <c r="J859" s="62">
        <f t="shared" si="143"/>
        <v>4.2337067502752355</v>
      </c>
      <c r="K859" s="62">
        <f t="shared" si="144"/>
        <v>1.8782359090208433E-2</v>
      </c>
      <c r="L859" s="63">
        <f t="shared" si="145"/>
        <v>-0.99562065841135605</v>
      </c>
      <c r="M859" s="63">
        <f t="shared" si="146"/>
        <v>-1.2858397789419442E-2</v>
      </c>
      <c r="N859" s="63">
        <f t="shared" si="147"/>
        <v>-0.99556361359015078</v>
      </c>
      <c r="O859" s="62">
        <f t="shared" si="148"/>
        <v>1.8540848045602815E-2</v>
      </c>
      <c r="P859" s="62">
        <f t="shared" si="149"/>
        <v>-4.2151659022296331</v>
      </c>
      <c r="Q859" s="62">
        <f t="shared" si="150"/>
        <v>2.4151104460561762E-4</v>
      </c>
      <c r="R859" s="63">
        <f t="shared" si="151"/>
        <v>-0.99562065841135616</v>
      </c>
      <c r="S859" s="63">
        <f t="shared" si="152"/>
        <v>5.7044821205416946E-5</v>
      </c>
      <c r="T859" s="63">
        <f t="shared" si="153"/>
        <v>-0.99556361359015078</v>
      </c>
    </row>
    <row r="860" spans="1:20" x14ac:dyDescent="0.3">
      <c r="A860" s="18" t="s">
        <v>254</v>
      </c>
      <c r="B860" s="18" t="s">
        <v>110</v>
      </c>
      <c r="C860" s="18" t="s">
        <v>206</v>
      </c>
      <c r="D860" s="18" t="s">
        <v>203</v>
      </c>
      <c r="E860" s="61">
        <v>2021</v>
      </c>
      <c r="F860" s="62">
        <v>29000000</v>
      </c>
      <c r="G860" s="62">
        <v>14200000000</v>
      </c>
      <c r="H860" s="62">
        <v>1544002000</v>
      </c>
      <c r="I860" s="62">
        <v>3059284000</v>
      </c>
      <c r="J860" s="62">
        <f t="shared" si="143"/>
        <v>1.8782359090208433E-2</v>
      </c>
      <c r="K860" s="62">
        <f t="shared" si="144"/>
        <v>4.6416089516370498</v>
      </c>
      <c r="L860" s="63">
        <f t="shared" si="145"/>
        <v>488.65517241379308</v>
      </c>
      <c r="M860" s="63">
        <f t="shared" si="146"/>
        <v>0.98139898782514534</v>
      </c>
      <c r="N860" s="63">
        <f t="shared" si="147"/>
        <v>246.12598291536236</v>
      </c>
      <c r="O860" s="62">
        <f t="shared" si="148"/>
        <v>9.1968792786537836</v>
      </c>
      <c r="P860" s="62">
        <f t="shared" si="149"/>
        <v>9.1780969195635755</v>
      </c>
      <c r="Q860" s="62">
        <f t="shared" si="150"/>
        <v>-4.5552703270167338</v>
      </c>
      <c r="R860" s="63">
        <f t="shared" si="151"/>
        <v>488.65517241379308</v>
      </c>
      <c r="S860" s="63">
        <f t="shared" si="152"/>
        <v>-242.52918949843072</v>
      </c>
      <c r="T860" s="63">
        <f t="shared" si="153"/>
        <v>246.12598291536236</v>
      </c>
    </row>
    <row r="861" spans="1:20" x14ac:dyDescent="0.3">
      <c r="A861" s="18" t="s">
        <v>254</v>
      </c>
      <c r="B861" s="18" t="s">
        <v>110</v>
      </c>
      <c r="C861" s="18" t="s">
        <v>206</v>
      </c>
      <c r="D861" s="18" t="s">
        <v>203</v>
      </c>
      <c r="E861" s="61">
        <v>2022</v>
      </c>
      <c r="F861" s="62">
        <v>14200000000</v>
      </c>
      <c r="G861" s="62">
        <v>16799000000</v>
      </c>
      <c r="H861" s="62">
        <v>3059284000</v>
      </c>
      <c r="I861" s="62">
        <v>3140089000</v>
      </c>
      <c r="J861" s="62">
        <f t="shared" si="143"/>
        <v>4.6416089516370498</v>
      </c>
      <c r="K861" s="62">
        <f t="shared" si="144"/>
        <v>5.3498483641705699</v>
      </c>
      <c r="L861" s="63">
        <f t="shared" si="145"/>
        <v>0.1830281690140845</v>
      </c>
      <c r="M861" s="63">
        <f t="shared" si="146"/>
        <v>2.6413043051903649E-2</v>
      </c>
      <c r="N861" s="63">
        <f t="shared" si="147"/>
        <v>0.15258489457276039</v>
      </c>
      <c r="O861" s="62">
        <f t="shared" si="148"/>
        <v>5.4911541393345633</v>
      </c>
      <c r="P861" s="62">
        <f t="shared" si="149"/>
        <v>0.84954518769751353</v>
      </c>
      <c r="Q861" s="62">
        <f t="shared" si="150"/>
        <v>-0.14130577516399345</v>
      </c>
      <c r="R861" s="63">
        <f t="shared" si="151"/>
        <v>0.1830281690140845</v>
      </c>
      <c r="S861" s="63">
        <f t="shared" si="152"/>
        <v>-3.0443274441324122E-2</v>
      </c>
      <c r="T861" s="63">
        <f t="shared" si="153"/>
        <v>0.15258489457276037</v>
      </c>
    </row>
    <row r="862" spans="1:20" x14ac:dyDescent="0.3">
      <c r="A862" s="18" t="s">
        <v>254</v>
      </c>
      <c r="B862" s="18" t="s">
        <v>110</v>
      </c>
      <c r="C862" s="18" t="s">
        <v>206</v>
      </c>
      <c r="D862" s="18" t="s">
        <v>203</v>
      </c>
      <c r="E862" s="61">
        <v>2023</v>
      </c>
      <c r="F862" s="62">
        <v>16799000000</v>
      </c>
      <c r="G862" s="62">
        <v>18596000000</v>
      </c>
      <c r="H862" s="62">
        <v>3140089000</v>
      </c>
      <c r="I862" s="62">
        <v>3107725000</v>
      </c>
      <c r="J862" s="62">
        <f t="shared" si="143"/>
        <v>5.3498483641705699</v>
      </c>
      <c r="K862" s="62">
        <f t="shared" si="144"/>
        <v>5.9837984377639595</v>
      </c>
      <c r="L862" s="63">
        <f t="shared" si="145"/>
        <v>0.10697065301506042</v>
      </c>
      <c r="M862" s="63">
        <f t="shared" si="146"/>
        <v>-1.0306714236443616E-2</v>
      </c>
      <c r="N862" s="63">
        <f t="shared" si="147"/>
        <v>0.11849869948448082</v>
      </c>
      <c r="O862" s="62">
        <f t="shared" si="148"/>
        <v>5.9221251372174484</v>
      </c>
      <c r="P862" s="62">
        <f t="shared" si="149"/>
        <v>0.57227677304687852</v>
      </c>
      <c r="Q862" s="62">
        <f t="shared" si="150"/>
        <v>6.1673300546511101E-2</v>
      </c>
      <c r="R862" s="63">
        <f t="shared" si="151"/>
        <v>0.1069706530150604</v>
      </c>
      <c r="S862" s="63">
        <f t="shared" si="152"/>
        <v>1.1528046469420411E-2</v>
      </c>
      <c r="T862" s="63">
        <f t="shared" si="153"/>
        <v>0.1184986994844808</v>
      </c>
    </row>
    <row r="863" spans="1:20" x14ac:dyDescent="0.3">
      <c r="A863" s="18" t="s">
        <v>254</v>
      </c>
      <c r="B863" s="18" t="s">
        <v>110</v>
      </c>
      <c r="C863" s="18" t="s">
        <v>206</v>
      </c>
      <c r="D863" s="18" t="s">
        <v>203</v>
      </c>
      <c r="E863" s="61">
        <v>2024</v>
      </c>
      <c r="F863" s="62">
        <v>18596000000</v>
      </c>
      <c r="G863" s="62">
        <v>5473000000</v>
      </c>
      <c r="H863" s="62">
        <v>3107725000</v>
      </c>
      <c r="I863" s="62">
        <v>2949652000</v>
      </c>
      <c r="J863" s="62">
        <f t="shared" si="143"/>
        <v>5.9837984377639595</v>
      </c>
      <c r="K863" s="62">
        <f t="shared" si="144"/>
        <v>1.8554731202189276</v>
      </c>
      <c r="L863" s="63">
        <f t="shared" si="145"/>
        <v>-0.7056893955689395</v>
      </c>
      <c r="M863" s="63">
        <f t="shared" si="146"/>
        <v>-5.0864539172545832E-2</v>
      </c>
      <c r="N863" s="63">
        <f t="shared" si="147"/>
        <v>-0.68991717560053967</v>
      </c>
      <c r="O863" s="62">
        <f t="shared" si="148"/>
        <v>1.761095335011946</v>
      </c>
      <c r="P863" s="62">
        <f t="shared" si="149"/>
        <v>-4.2227031027520132</v>
      </c>
      <c r="Q863" s="62">
        <f t="shared" si="150"/>
        <v>9.437778520698159E-2</v>
      </c>
      <c r="R863" s="63">
        <f t="shared" si="151"/>
        <v>-0.7056893955689395</v>
      </c>
      <c r="S863" s="63">
        <f t="shared" si="152"/>
        <v>1.5772219968400024E-2</v>
      </c>
      <c r="T863" s="63">
        <f t="shared" si="153"/>
        <v>-0.68991717560053945</v>
      </c>
    </row>
    <row r="864" spans="1:20" x14ac:dyDescent="0.3">
      <c r="A864" s="18" t="s">
        <v>255</v>
      </c>
      <c r="B864" s="18" t="s">
        <v>256</v>
      </c>
      <c r="C864" s="18" t="s">
        <v>206</v>
      </c>
      <c r="D864" s="18" t="s">
        <v>203</v>
      </c>
      <c r="E864" s="61">
        <v>2016</v>
      </c>
      <c r="F864" s="62">
        <v>861000000</v>
      </c>
      <c r="G864" s="62">
        <v>1235000000</v>
      </c>
      <c r="H864" s="62">
        <v>263980715</v>
      </c>
      <c r="I864" s="62">
        <v>263994148</v>
      </c>
      <c r="J864" s="62">
        <f t="shared" si="143"/>
        <v>3.261601893911076</v>
      </c>
      <c r="K864" s="62">
        <f t="shared" si="144"/>
        <v>4.6781340016673401</v>
      </c>
      <c r="L864" s="63">
        <f t="shared" si="145"/>
        <v>0.4343786295005807</v>
      </c>
      <c r="M864" s="63">
        <f t="shared" si="146"/>
        <v>5.0886292962726466E-5</v>
      </c>
      <c r="N864" s="63">
        <f t="shared" si="147"/>
        <v>0.43430564300343277</v>
      </c>
      <c r="O864" s="62">
        <f t="shared" si="148"/>
        <v>4.6783720545646679</v>
      </c>
      <c r="P864" s="62">
        <f t="shared" si="149"/>
        <v>1.4167701606535918</v>
      </c>
      <c r="Q864" s="62">
        <f t="shared" si="150"/>
        <v>-2.3805289732781176E-4</v>
      </c>
      <c r="R864" s="63">
        <f t="shared" si="151"/>
        <v>0.43437862950058076</v>
      </c>
      <c r="S864" s="63">
        <f t="shared" si="152"/>
        <v>-7.2986497147987622E-5</v>
      </c>
      <c r="T864" s="63">
        <f t="shared" si="153"/>
        <v>0.43430564300343277</v>
      </c>
    </row>
    <row r="865" spans="1:20" x14ac:dyDescent="0.3">
      <c r="A865" s="18" t="s">
        <v>255</v>
      </c>
      <c r="B865" s="18" t="s">
        <v>256</v>
      </c>
      <c r="C865" s="18" t="s">
        <v>206</v>
      </c>
      <c r="D865" s="18" t="s">
        <v>203</v>
      </c>
      <c r="E865" s="61">
        <v>2017</v>
      </c>
      <c r="F865" s="62">
        <v>1235000000</v>
      </c>
      <c r="G865" s="62">
        <v>1393000000</v>
      </c>
      <c r="H865" s="62">
        <v>263994148</v>
      </c>
      <c r="I865" s="62">
        <v>264232623</v>
      </c>
      <c r="J865" s="62">
        <f t="shared" si="143"/>
        <v>4.6781340016673401</v>
      </c>
      <c r="K865" s="62">
        <f t="shared" si="144"/>
        <v>5.2718698553736116</v>
      </c>
      <c r="L865" s="63">
        <f t="shared" si="145"/>
        <v>0.12793522267206478</v>
      </c>
      <c r="M865" s="63">
        <f t="shared" si="146"/>
        <v>9.0333441785232305E-4</v>
      </c>
      <c r="N865" s="63">
        <f t="shared" si="147"/>
        <v>0.126917239543514</v>
      </c>
      <c r="O865" s="62">
        <f t="shared" si="148"/>
        <v>5.2766321168604087</v>
      </c>
      <c r="P865" s="62">
        <f t="shared" si="149"/>
        <v>0.59849811519306861</v>
      </c>
      <c r="Q865" s="62">
        <f t="shared" si="150"/>
        <v>-4.762261486797037E-3</v>
      </c>
      <c r="R865" s="63">
        <f t="shared" si="151"/>
        <v>0.12793522267206478</v>
      </c>
      <c r="S865" s="63">
        <f t="shared" si="152"/>
        <v>-1.0179831285507669E-3</v>
      </c>
      <c r="T865" s="63">
        <f t="shared" si="153"/>
        <v>0.12691723954351403</v>
      </c>
    </row>
    <row r="866" spans="1:20" x14ac:dyDescent="0.3">
      <c r="A866" s="18" t="s">
        <v>255</v>
      </c>
      <c r="B866" s="18" t="s">
        <v>256</v>
      </c>
      <c r="C866" s="18" t="s">
        <v>206</v>
      </c>
      <c r="D866" s="18" t="s">
        <v>203</v>
      </c>
      <c r="E866" s="61">
        <v>2018</v>
      </c>
      <c r="F866" s="62">
        <v>1393000000</v>
      </c>
      <c r="G866" s="62">
        <v>1577000000</v>
      </c>
      <c r="H866" s="62">
        <v>264232623</v>
      </c>
      <c r="I866" s="62">
        <v>264113889</v>
      </c>
      <c r="J866" s="62">
        <f t="shared" si="143"/>
        <v>5.2718698553736116</v>
      </c>
      <c r="K866" s="62">
        <f t="shared" si="144"/>
        <v>5.9709090119073593</v>
      </c>
      <c r="L866" s="63">
        <f t="shared" si="145"/>
        <v>0.13208901651112706</v>
      </c>
      <c r="M866" s="63">
        <f t="shared" si="146"/>
        <v>-4.4935405269772461E-4</v>
      </c>
      <c r="N866" s="63">
        <f t="shared" si="147"/>
        <v>0.13259795399183039</v>
      </c>
      <c r="O866" s="62">
        <f t="shared" si="148"/>
        <v>5.9682259597445695</v>
      </c>
      <c r="P866" s="62">
        <f t="shared" si="149"/>
        <v>0.69635610437095785</v>
      </c>
      <c r="Q866" s="62">
        <f t="shared" si="150"/>
        <v>2.6830521627898563E-3</v>
      </c>
      <c r="R866" s="63">
        <f t="shared" si="151"/>
        <v>0.13208901651112703</v>
      </c>
      <c r="S866" s="63">
        <f t="shared" si="152"/>
        <v>5.0893748070336448E-4</v>
      </c>
      <c r="T866" s="63">
        <f t="shared" si="153"/>
        <v>0.13259795399183039</v>
      </c>
    </row>
    <row r="867" spans="1:20" x14ac:dyDescent="0.3">
      <c r="A867" s="18" t="s">
        <v>255</v>
      </c>
      <c r="B867" s="18" t="s">
        <v>256</v>
      </c>
      <c r="C867" s="18" t="s">
        <v>206</v>
      </c>
      <c r="D867" s="18" t="s">
        <v>203</v>
      </c>
      <c r="E867" s="61">
        <v>2019</v>
      </c>
      <c r="F867" s="62">
        <v>1577000000</v>
      </c>
      <c r="G867" s="62">
        <v>1455000000</v>
      </c>
      <c r="H867" s="62">
        <v>264113889</v>
      </c>
      <c r="I867" s="62">
        <v>264173497</v>
      </c>
      <c r="J867" s="62">
        <f t="shared" si="143"/>
        <v>5.9709090119073593</v>
      </c>
      <c r="K867" s="62">
        <f t="shared" si="144"/>
        <v>5.5077440262677069</v>
      </c>
      <c r="L867" s="63">
        <f t="shared" si="145"/>
        <v>-7.7362079898541533E-2</v>
      </c>
      <c r="M867" s="63">
        <f t="shared" si="146"/>
        <v>2.2569051641203164E-4</v>
      </c>
      <c r="N867" s="63">
        <f t="shared" si="147"/>
        <v>-7.7570263542116533E-2</v>
      </c>
      <c r="O867" s="62">
        <f t="shared" si="148"/>
        <v>5.5089870718612604</v>
      </c>
      <c r="P867" s="62">
        <f t="shared" si="149"/>
        <v>-0.46192194004609899</v>
      </c>
      <c r="Q867" s="62">
        <f t="shared" si="150"/>
        <v>-1.2430455935534823E-3</v>
      </c>
      <c r="R867" s="63">
        <f t="shared" si="151"/>
        <v>-7.7362079898541561E-2</v>
      </c>
      <c r="S867" s="63">
        <f t="shared" si="152"/>
        <v>-2.0818364357496738E-4</v>
      </c>
      <c r="T867" s="63">
        <f t="shared" si="153"/>
        <v>-7.7570263542116533E-2</v>
      </c>
    </row>
    <row r="868" spans="1:20" x14ac:dyDescent="0.3">
      <c r="A868" s="18" t="s">
        <v>255</v>
      </c>
      <c r="B868" s="18" t="s">
        <v>256</v>
      </c>
      <c r="C868" s="18" t="s">
        <v>206</v>
      </c>
      <c r="D868" s="18" t="s">
        <v>203</v>
      </c>
      <c r="E868" s="61">
        <v>2020</v>
      </c>
      <c r="F868" s="62">
        <v>1455000000</v>
      </c>
      <c r="G868" s="62">
        <v>329000000</v>
      </c>
      <c r="H868" s="62">
        <v>264173497</v>
      </c>
      <c r="I868" s="62">
        <v>262858086</v>
      </c>
      <c r="J868" s="62">
        <f t="shared" si="143"/>
        <v>5.5077440262677069</v>
      </c>
      <c r="K868" s="62">
        <f t="shared" si="144"/>
        <v>1.2516259438943036</v>
      </c>
      <c r="L868" s="63">
        <f t="shared" si="145"/>
        <v>-0.77388316151202752</v>
      </c>
      <c r="M868" s="63">
        <f t="shared" si="146"/>
        <v>-4.9793450703345919E-3</v>
      </c>
      <c r="N868" s="63">
        <f t="shared" si="147"/>
        <v>-0.77275161337836151</v>
      </c>
      <c r="O868" s="62">
        <f t="shared" si="148"/>
        <v>1.2453936664206704</v>
      </c>
      <c r="P868" s="62">
        <f t="shared" si="149"/>
        <v>-4.2623503598470363</v>
      </c>
      <c r="Q868" s="62">
        <f t="shared" si="150"/>
        <v>6.2322774736331965E-3</v>
      </c>
      <c r="R868" s="63">
        <f t="shared" si="151"/>
        <v>-0.77388316151202752</v>
      </c>
      <c r="S868" s="63">
        <f t="shared" si="152"/>
        <v>1.1315481336659841E-3</v>
      </c>
      <c r="T868" s="63">
        <f t="shared" si="153"/>
        <v>-0.77275161337836151</v>
      </c>
    </row>
    <row r="869" spans="1:20" x14ac:dyDescent="0.3">
      <c r="A869" s="18" t="s">
        <v>255</v>
      </c>
      <c r="B869" s="18" t="s">
        <v>256</v>
      </c>
      <c r="C869" s="18" t="s">
        <v>206</v>
      </c>
      <c r="D869" s="18" t="s">
        <v>203</v>
      </c>
      <c r="E869" s="61">
        <v>2021</v>
      </c>
      <c r="F869" s="62">
        <v>329000000</v>
      </c>
      <c r="G869" s="62">
        <v>1305000000</v>
      </c>
      <c r="H869" s="62">
        <v>262858086</v>
      </c>
      <c r="I869" s="62">
        <v>260796076</v>
      </c>
      <c r="J869" s="62">
        <f t="shared" si="143"/>
        <v>1.2516259438943036</v>
      </c>
      <c r="K869" s="62">
        <f t="shared" si="144"/>
        <v>5.0039096447141329</v>
      </c>
      <c r="L869" s="63">
        <f t="shared" si="145"/>
        <v>2.9665653495440729</v>
      </c>
      <c r="M869" s="63">
        <f t="shared" si="146"/>
        <v>-7.8445751141929879E-3</v>
      </c>
      <c r="N869" s="63">
        <f t="shared" si="147"/>
        <v>2.9979273912659479</v>
      </c>
      <c r="O869" s="62">
        <f t="shared" si="148"/>
        <v>4.9646560996415383</v>
      </c>
      <c r="P869" s="62">
        <f t="shared" si="149"/>
        <v>3.7130301557472345</v>
      </c>
      <c r="Q869" s="62">
        <f t="shared" si="150"/>
        <v>3.9253545072594598E-2</v>
      </c>
      <c r="R869" s="63">
        <f t="shared" si="151"/>
        <v>2.9665653495440725</v>
      </c>
      <c r="S869" s="63">
        <f t="shared" si="152"/>
        <v>3.136204172187522E-2</v>
      </c>
      <c r="T869" s="63">
        <f t="shared" si="153"/>
        <v>2.9979273912659479</v>
      </c>
    </row>
    <row r="870" spans="1:20" x14ac:dyDescent="0.3">
      <c r="A870" s="18" t="s">
        <v>255</v>
      </c>
      <c r="B870" s="18" t="s">
        <v>256</v>
      </c>
      <c r="C870" s="18" t="s">
        <v>206</v>
      </c>
      <c r="D870" s="18" t="s">
        <v>203</v>
      </c>
      <c r="E870" s="61">
        <v>2022</v>
      </c>
      <c r="F870" s="62">
        <v>1305000000</v>
      </c>
      <c r="G870" s="62">
        <v>1996000000</v>
      </c>
      <c r="H870" s="62">
        <v>260796076</v>
      </c>
      <c r="I870" s="62">
        <v>259031733</v>
      </c>
      <c r="J870" s="62">
        <f t="shared" si="143"/>
        <v>5.0039096447141329</v>
      </c>
      <c r="K870" s="62">
        <f t="shared" si="144"/>
        <v>7.7056196045293026</v>
      </c>
      <c r="L870" s="63">
        <f t="shared" si="145"/>
        <v>0.52950191570881222</v>
      </c>
      <c r="M870" s="63">
        <f t="shared" si="146"/>
        <v>-6.7652206546236528E-3</v>
      </c>
      <c r="N870" s="63">
        <f t="shared" si="147"/>
        <v>0.53991981303441683</v>
      </c>
      <c r="O870" s="62">
        <f t="shared" si="148"/>
        <v>7.6534893876240684</v>
      </c>
      <c r="P870" s="62">
        <f t="shared" si="149"/>
        <v>2.6495797429099355</v>
      </c>
      <c r="Q870" s="62">
        <f t="shared" si="150"/>
        <v>5.2130216905234228E-2</v>
      </c>
      <c r="R870" s="63">
        <f t="shared" si="151"/>
        <v>0.52950191570881222</v>
      </c>
      <c r="S870" s="63">
        <f t="shared" si="152"/>
        <v>1.041789732560456E-2</v>
      </c>
      <c r="T870" s="63">
        <f t="shared" si="153"/>
        <v>0.53991981303441683</v>
      </c>
    </row>
    <row r="871" spans="1:20" x14ac:dyDescent="0.3">
      <c r="A871" s="18" t="s">
        <v>255</v>
      </c>
      <c r="B871" s="18" t="s">
        <v>256</v>
      </c>
      <c r="C871" s="18" t="s">
        <v>206</v>
      </c>
      <c r="D871" s="18" t="s">
        <v>203</v>
      </c>
      <c r="E871" s="61">
        <v>2023</v>
      </c>
      <c r="F871" s="62">
        <v>1996000000</v>
      </c>
      <c r="G871" s="62">
        <v>2262000000</v>
      </c>
      <c r="H871" s="62">
        <v>259031733</v>
      </c>
      <c r="I871" s="62">
        <v>256048279</v>
      </c>
      <c r="J871" s="62">
        <f t="shared" si="143"/>
        <v>7.7056196045293026</v>
      </c>
      <c r="K871" s="62">
        <f t="shared" si="144"/>
        <v>8.83427144612833</v>
      </c>
      <c r="L871" s="63">
        <f t="shared" si="145"/>
        <v>0.13326653306613226</v>
      </c>
      <c r="M871" s="63">
        <f t="shared" si="146"/>
        <v>-1.1517716248302287E-2</v>
      </c>
      <c r="N871" s="63">
        <f t="shared" si="147"/>
        <v>0.14647126376905689</v>
      </c>
      <c r="O871" s="62">
        <f t="shared" si="148"/>
        <v>8.7325208143513446</v>
      </c>
      <c r="P871" s="62">
        <f t="shared" si="149"/>
        <v>1.026901209822042</v>
      </c>
      <c r="Q871" s="62">
        <f t="shared" si="150"/>
        <v>0.1017506317769854</v>
      </c>
      <c r="R871" s="63">
        <f t="shared" si="151"/>
        <v>0.13326653306613234</v>
      </c>
      <c r="S871" s="63">
        <f t="shared" si="152"/>
        <v>1.3204730702924548E-2</v>
      </c>
      <c r="T871" s="63">
        <f t="shared" si="153"/>
        <v>0.14647126376905689</v>
      </c>
    </row>
    <row r="872" spans="1:20" x14ac:dyDescent="0.3">
      <c r="A872" s="18" t="s">
        <v>255</v>
      </c>
      <c r="B872" s="18" t="s">
        <v>256</v>
      </c>
      <c r="C872" s="18" t="s">
        <v>206</v>
      </c>
      <c r="D872" s="18" t="s">
        <v>203</v>
      </c>
      <c r="E872" s="61">
        <v>2024</v>
      </c>
      <c r="F872" s="62">
        <v>2262000000</v>
      </c>
      <c r="G872" s="62">
        <v>1476000000</v>
      </c>
      <c r="H872" s="62">
        <v>256048279</v>
      </c>
      <c r="I872" s="62">
        <v>252596000</v>
      </c>
      <c r="J872" s="62">
        <f t="shared" si="143"/>
        <v>8.83427144612833</v>
      </c>
      <c r="K872" s="62">
        <f t="shared" si="144"/>
        <v>5.8433229346466291</v>
      </c>
      <c r="L872" s="63">
        <f t="shared" si="145"/>
        <v>-0.34748010610079577</v>
      </c>
      <c r="M872" s="63">
        <f t="shared" si="146"/>
        <v>-1.3482922101577571E-2</v>
      </c>
      <c r="N872" s="63">
        <f t="shared" si="147"/>
        <v>-0.33856198892241435</v>
      </c>
      <c r="O872" s="62">
        <f t="shared" si="148"/>
        <v>5.7645378667044271</v>
      </c>
      <c r="P872" s="62">
        <f t="shared" si="149"/>
        <v>-3.0697335794239029</v>
      </c>
      <c r="Q872" s="62">
        <f t="shared" si="150"/>
        <v>7.878506794220197E-2</v>
      </c>
      <c r="R872" s="63">
        <f t="shared" si="151"/>
        <v>-0.34748010610079583</v>
      </c>
      <c r="S872" s="63">
        <f t="shared" si="152"/>
        <v>8.918117178381469E-3</v>
      </c>
      <c r="T872" s="63">
        <f t="shared" si="153"/>
        <v>-0.33856198892241435</v>
      </c>
    </row>
    <row r="873" spans="1:20" x14ac:dyDescent="0.3">
      <c r="A873" s="18" t="s">
        <v>257</v>
      </c>
      <c r="B873" s="18" t="s">
        <v>258</v>
      </c>
      <c r="C873" s="18" t="s">
        <v>206</v>
      </c>
      <c r="D873" s="18" t="s">
        <v>203</v>
      </c>
      <c r="E873" s="61">
        <v>2016</v>
      </c>
      <c r="F873" s="62">
        <v>402178000</v>
      </c>
      <c r="G873" s="62">
        <v>447192000</v>
      </c>
      <c r="H873" s="62">
        <v>1262403810</v>
      </c>
      <c r="I873" s="62">
        <v>1269581330</v>
      </c>
      <c r="J873" s="62">
        <f t="shared" si="143"/>
        <v>0.3185811044090559</v>
      </c>
      <c r="K873" s="62">
        <f t="shared" si="144"/>
        <v>0.35223580359361462</v>
      </c>
      <c r="L873" s="63">
        <f t="shared" si="145"/>
        <v>0.11192556529695806</v>
      </c>
      <c r="M873" s="63">
        <f t="shared" si="146"/>
        <v>5.6855975426753505E-3</v>
      </c>
      <c r="N873" s="63">
        <f t="shared" si="147"/>
        <v>0.10563934495420141</v>
      </c>
      <c r="O873" s="62">
        <f t="shared" si="148"/>
        <v>0.35423847461296876</v>
      </c>
      <c r="P873" s="62">
        <f t="shared" si="149"/>
        <v>3.5657370203912853E-2</v>
      </c>
      <c r="Q873" s="62">
        <f t="shared" si="150"/>
        <v>-2.0026710193541408E-3</v>
      </c>
      <c r="R873" s="63">
        <f t="shared" si="151"/>
        <v>0.11192556529695823</v>
      </c>
      <c r="S873" s="63">
        <f t="shared" si="152"/>
        <v>-6.2862203427568172E-3</v>
      </c>
      <c r="T873" s="63">
        <f t="shared" si="153"/>
        <v>0.10563934495420141</v>
      </c>
    </row>
    <row r="874" spans="1:20" x14ac:dyDescent="0.3">
      <c r="A874" s="18" t="s">
        <v>257</v>
      </c>
      <c r="B874" s="18" t="s">
        <v>258</v>
      </c>
      <c r="C874" s="18" t="s">
        <v>206</v>
      </c>
      <c r="D874" s="18" t="s">
        <v>203</v>
      </c>
      <c r="E874" s="61">
        <v>2017</v>
      </c>
      <c r="F874" s="62">
        <v>447192000</v>
      </c>
      <c r="G874" s="62">
        <v>519400000</v>
      </c>
      <c r="H874" s="62">
        <v>1269581330</v>
      </c>
      <c r="I874" s="62">
        <v>1274693265</v>
      </c>
      <c r="J874" s="62">
        <f t="shared" si="143"/>
        <v>0.35223580359361462</v>
      </c>
      <c r="K874" s="62">
        <f t="shared" si="144"/>
        <v>0.40747057685285565</v>
      </c>
      <c r="L874" s="63">
        <f t="shared" si="145"/>
        <v>0.16146979373512943</v>
      </c>
      <c r="M874" s="63">
        <f t="shared" si="146"/>
        <v>4.0264730421012097E-3</v>
      </c>
      <c r="N874" s="63">
        <f t="shared" si="147"/>
        <v>0.15681192171755232</v>
      </c>
      <c r="O874" s="62">
        <f t="shared" si="148"/>
        <v>0.40911124614600308</v>
      </c>
      <c r="P874" s="62">
        <f t="shared" si="149"/>
        <v>5.6875442552388467E-2</v>
      </c>
      <c r="Q874" s="62">
        <f t="shared" si="150"/>
        <v>-1.6406692931474343E-3</v>
      </c>
      <c r="R874" s="63">
        <f t="shared" si="151"/>
        <v>0.16146979373512929</v>
      </c>
      <c r="S874" s="63">
        <f t="shared" si="152"/>
        <v>-4.6578720175769681E-3</v>
      </c>
      <c r="T874" s="63">
        <f t="shared" si="153"/>
        <v>0.15681192171755232</v>
      </c>
    </row>
    <row r="875" spans="1:20" x14ac:dyDescent="0.3">
      <c r="A875" s="18" t="s">
        <v>257</v>
      </c>
      <c r="B875" s="18" t="s">
        <v>258</v>
      </c>
      <c r="C875" s="18" t="s">
        <v>206</v>
      </c>
      <c r="D875" s="18" t="s">
        <v>203</v>
      </c>
      <c r="E875" s="61">
        <v>2018</v>
      </c>
      <c r="F875" s="62">
        <v>519400000</v>
      </c>
      <c r="G875" s="62">
        <v>569400000</v>
      </c>
      <c r="H875" s="62">
        <v>1274693265</v>
      </c>
      <c r="I875" s="62">
        <v>1291820050</v>
      </c>
      <c r="J875" s="62">
        <f t="shared" si="143"/>
        <v>0.40747057685285565</v>
      </c>
      <c r="K875" s="62">
        <f t="shared" si="144"/>
        <v>0.44077346531353184</v>
      </c>
      <c r="L875" s="63">
        <f t="shared" si="145"/>
        <v>9.6264921062764727E-2</v>
      </c>
      <c r="M875" s="63">
        <f t="shared" si="146"/>
        <v>1.3436004935665836E-2</v>
      </c>
      <c r="N875" s="63">
        <f t="shared" si="147"/>
        <v>8.1730780950847445E-2</v>
      </c>
      <c r="O875" s="62">
        <f t="shared" si="148"/>
        <v>0.44669569976899504</v>
      </c>
      <c r="P875" s="62">
        <f t="shared" si="149"/>
        <v>3.9225122916139388E-2</v>
      </c>
      <c r="Q875" s="62">
        <f t="shared" si="150"/>
        <v>-5.9222344554631934E-3</v>
      </c>
      <c r="R875" s="63">
        <f t="shared" si="151"/>
        <v>9.6264921062764797E-2</v>
      </c>
      <c r="S875" s="63">
        <f t="shared" si="152"/>
        <v>-1.4534140111917357E-2</v>
      </c>
      <c r="T875" s="63">
        <f t="shared" si="153"/>
        <v>8.1730780950847445E-2</v>
      </c>
    </row>
    <row r="876" spans="1:20" x14ac:dyDescent="0.3">
      <c r="A876" s="18" t="s">
        <v>257</v>
      </c>
      <c r="B876" s="18" t="s">
        <v>258</v>
      </c>
      <c r="C876" s="18" t="s">
        <v>206</v>
      </c>
      <c r="D876" s="18" t="s">
        <v>203</v>
      </c>
      <c r="E876" s="61">
        <v>2019</v>
      </c>
      <c r="F876" s="62">
        <v>569400000</v>
      </c>
      <c r="G876" s="62">
        <v>615300000</v>
      </c>
      <c r="H876" s="62">
        <v>1291820050</v>
      </c>
      <c r="I876" s="62">
        <v>1296989835</v>
      </c>
      <c r="J876" s="62">
        <f t="shared" si="143"/>
        <v>0.44077346531353184</v>
      </c>
      <c r="K876" s="62">
        <f t="shared" si="144"/>
        <v>0.47440618530368051</v>
      </c>
      <c r="L876" s="63">
        <f t="shared" si="145"/>
        <v>8.0611169652265544E-2</v>
      </c>
      <c r="M876" s="63">
        <f t="shared" si="146"/>
        <v>4.0019389697504692E-3</v>
      </c>
      <c r="N876" s="63">
        <f t="shared" si="147"/>
        <v>7.6303867262574376E-2</v>
      </c>
      <c r="O876" s="62">
        <f t="shared" si="148"/>
        <v>0.47630472990413797</v>
      </c>
      <c r="P876" s="62">
        <f t="shared" si="149"/>
        <v>3.5531264590606126E-2</v>
      </c>
      <c r="Q876" s="62">
        <f t="shared" si="150"/>
        <v>-1.8985446004574635E-3</v>
      </c>
      <c r="R876" s="63">
        <f t="shared" si="151"/>
        <v>8.0611169652265613E-2</v>
      </c>
      <c r="S876" s="63">
        <f t="shared" si="152"/>
        <v>-4.3073023896912374E-3</v>
      </c>
      <c r="T876" s="63">
        <f t="shared" si="153"/>
        <v>7.6303867262574376E-2</v>
      </c>
    </row>
    <row r="877" spans="1:20" x14ac:dyDescent="0.3">
      <c r="A877" s="18" t="s">
        <v>257</v>
      </c>
      <c r="B877" s="18" t="s">
        <v>258</v>
      </c>
      <c r="C877" s="18" t="s">
        <v>206</v>
      </c>
      <c r="D877" s="18" t="s">
        <v>203</v>
      </c>
      <c r="E877" s="61">
        <v>2020</v>
      </c>
      <c r="F877" s="62">
        <v>615300000</v>
      </c>
      <c r="G877" s="62">
        <v>491000000</v>
      </c>
      <c r="H877" s="62">
        <v>1296989835</v>
      </c>
      <c r="I877" s="62">
        <v>1302226275</v>
      </c>
      <c r="J877" s="62">
        <f t="shared" si="143"/>
        <v>0.47440618530368051</v>
      </c>
      <c r="K877" s="62">
        <f t="shared" si="144"/>
        <v>0.37704660812499735</v>
      </c>
      <c r="L877" s="63">
        <f t="shared" si="145"/>
        <v>-0.20201527710060133</v>
      </c>
      <c r="M877" s="63">
        <f t="shared" si="146"/>
        <v>4.0373793677419218E-3</v>
      </c>
      <c r="N877" s="63">
        <f t="shared" si="147"/>
        <v>-0.20522408896578909</v>
      </c>
      <c r="O877" s="62">
        <f t="shared" si="148"/>
        <v>0.37856888832131824</v>
      </c>
      <c r="P877" s="62">
        <f t="shared" si="149"/>
        <v>-9.5837296982362263E-2</v>
      </c>
      <c r="Q877" s="62">
        <f t="shared" si="150"/>
        <v>-1.522280196320891E-3</v>
      </c>
      <c r="R877" s="63">
        <f t="shared" si="151"/>
        <v>-0.20201527710060138</v>
      </c>
      <c r="S877" s="63">
        <f t="shared" si="152"/>
        <v>-3.2088118651877134E-3</v>
      </c>
      <c r="T877" s="63">
        <f t="shared" si="153"/>
        <v>-0.20522408896578909</v>
      </c>
    </row>
    <row r="878" spans="1:20" x14ac:dyDescent="0.3">
      <c r="A878" s="18" t="s">
        <v>257</v>
      </c>
      <c r="B878" s="18" t="s">
        <v>258</v>
      </c>
      <c r="C878" s="18" t="s">
        <v>206</v>
      </c>
      <c r="D878" s="18" t="s">
        <v>203</v>
      </c>
      <c r="E878" s="61">
        <v>2021</v>
      </c>
      <c r="F878" s="62">
        <v>491000000</v>
      </c>
      <c r="G878" s="62">
        <v>773700000</v>
      </c>
      <c r="H878" s="62">
        <v>1302226275</v>
      </c>
      <c r="I878" s="62">
        <v>1309780561</v>
      </c>
      <c r="J878" s="62">
        <f t="shared" si="143"/>
        <v>0.37704660812499735</v>
      </c>
      <c r="K878" s="62">
        <f t="shared" si="144"/>
        <v>0.5907096372000592</v>
      </c>
      <c r="L878" s="63">
        <f t="shared" si="145"/>
        <v>0.57576374745417513</v>
      </c>
      <c r="M878" s="63">
        <f t="shared" si="146"/>
        <v>5.8010548128434895E-3</v>
      </c>
      <c r="N878" s="63">
        <f t="shared" si="147"/>
        <v>0.56667537771412313</v>
      </c>
      <c r="O878" s="62">
        <f t="shared" si="148"/>
        <v>0.59413637618393167</v>
      </c>
      <c r="P878" s="62">
        <f t="shared" si="149"/>
        <v>0.21708976805893432</v>
      </c>
      <c r="Q878" s="62">
        <f t="shared" si="150"/>
        <v>-3.4267389838724682E-3</v>
      </c>
      <c r="R878" s="63">
        <f t="shared" si="151"/>
        <v>0.57576374745417513</v>
      </c>
      <c r="S878" s="63">
        <f t="shared" si="152"/>
        <v>-9.0883697400519943E-3</v>
      </c>
      <c r="T878" s="63">
        <f t="shared" si="153"/>
        <v>0.56667537771412313</v>
      </c>
    </row>
    <row r="879" spans="1:20" x14ac:dyDescent="0.3">
      <c r="A879" s="18" t="s">
        <v>257</v>
      </c>
      <c r="B879" s="18" t="s">
        <v>258</v>
      </c>
      <c r="C879" s="18" t="s">
        <v>206</v>
      </c>
      <c r="D879" s="18" t="s">
        <v>203</v>
      </c>
      <c r="E879" s="61">
        <v>2022</v>
      </c>
      <c r="F879" s="62">
        <v>773700000</v>
      </c>
      <c r="G879" s="62">
        <v>931500000</v>
      </c>
      <c r="H879" s="62">
        <v>1309780561</v>
      </c>
      <c r="I879" s="62">
        <v>1312255968</v>
      </c>
      <c r="J879" s="62">
        <f t="shared" si="143"/>
        <v>0.5907096372000592</v>
      </c>
      <c r="K879" s="62">
        <f t="shared" si="144"/>
        <v>0.70984626682223628</v>
      </c>
      <c r="L879" s="63">
        <f t="shared" si="145"/>
        <v>0.20395502132609539</v>
      </c>
      <c r="M879" s="63">
        <f t="shared" si="146"/>
        <v>1.8899402493117317E-3</v>
      </c>
      <c r="N879" s="63">
        <f t="shared" si="147"/>
        <v>0.20168391053662182</v>
      </c>
      <c r="O879" s="62">
        <f t="shared" si="148"/>
        <v>0.71118783385272732</v>
      </c>
      <c r="P879" s="62">
        <f t="shared" si="149"/>
        <v>0.12047819665266812</v>
      </c>
      <c r="Q879" s="62">
        <f t="shared" si="150"/>
        <v>-1.3415670304910421E-3</v>
      </c>
      <c r="R879" s="63">
        <f t="shared" si="151"/>
        <v>0.20395502132609536</v>
      </c>
      <c r="S879" s="63">
        <f t="shared" si="152"/>
        <v>-2.2711107894735185E-3</v>
      </c>
      <c r="T879" s="63">
        <f t="shared" si="153"/>
        <v>0.20168391053662185</v>
      </c>
    </row>
    <row r="880" spans="1:20" x14ac:dyDescent="0.3">
      <c r="A880" s="18" t="s">
        <v>257</v>
      </c>
      <c r="B880" s="18" t="s">
        <v>258</v>
      </c>
      <c r="C880" s="18" t="s">
        <v>206</v>
      </c>
      <c r="D880" s="18" t="s">
        <v>203</v>
      </c>
      <c r="E880" s="61">
        <v>2023</v>
      </c>
      <c r="F880" s="62">
        <v>931500000</v>
      </c>
      <c r="G880" s="62">
        <v>1050900000</v>
      </c>
      <c r="H880" s="62">
        <v>1312255968</v>
      </c>
      <c r="I880" s="62">
        <v>1315087124</v>
      </c>
      <c r="J880" s="62">
        <f t="shared" si="143"/>
        <v>0.70984626682223628</v>
      </c>
      <c r="K880" s="62">
        <f t="shared" si="144"/>
        <v>0.79911055383430252</v>
      </c>
      <c r="L880" s="63">
        <f t="shared" si="145"/>
        <v>0.12818035426731078</v>
      </c>
      <c r="M880" s="63">
        <f t="shared" si="146"/>
        <v>2.1574723750846757E-3</v>
      </c>
      <c r="N880" s="63">
        <f t="shared" si="147"/>
        <v>0.12575157634014902</v>
      </c>
      <c r="O880" s="62">
        <f t="shared" si="148"/>
        <v>0.80083461277883861</v>
      </c>
      <c r="P880" s="62">
        <f t="shared" si="149"/>
        <v>9.0988345956602323E-2</v>
      </c>
      <c r="Q880" s="62">
        <f t="shared" si="150"/>
        <v>-1.7240589445360888E-3</v>
      </c>
      <c r="R880" s="63">
        <f t="shared" si="151"/>
        <v>0.12818035426731086</v>
      </c>
      <c r="S880" s="63">
        <f t="shared" si="152"/>
        <v>-2.4287779271618504E-3</v>
      </c>
      <c r="T880" s="63">
        <f t="shared" si="153"/>
        <v>0.12575157634014902</v>
      </c>
    </row>
    <row r="881" spans="1:20" x14ac:dyDescent="0.3">
      <c r="A881" s="18" t="s">
        <v>257</v>
      </c>
      <c r="B881" s="18" t="s">
        <v>258</v>
      </c>
      <c r="C881" s="18" t="s">
        <v>206</v>
      </c>
      <c r="D881" s="18" t="s">
        <v>203</v>
      </c>
      <c r="E881" s="61">
        <v>2024</v>
      </c>
      <c r="F881" s="62">
        <v>1050900000</v>
      </c>
      <c r="G881" s="62">
        <v>1200200000</v>
      </c>
      <c r="H881" s="62">
        <v>1315087124</v>
      </c>
      <c r="I881" s="62">
        <v>1313000000</v>
      </c>
      <c r="J881" s="62">
        <f t="shared" si="143"/>
        <v>0.79911055383430252</v>
      </c>
      <c r="K881" s="62">
        <f t="shared" si="144"/>
        <v>0.91408987052551405</v>
      </c>
      <c r="L881" s="63">
        <f t="shared" si="145"/>
        <v>0.14206870301646207</v>
      </c>
      <c r="M881" s="63">
        <f t="shared" si="146"/>
        <v>-1.5870613907706392E-3</v>
      </c>
      <c r="N881" s="63">
        <f t="shared" si="147"/>
        <v>0.14388411733459944</v>
      </c>
      <c r="O881" s="62">
        <f t="shared" si="148"/>
        <v>0.91263915378430849</v>
      </c>
      <c r="P881" s="62">
        <f t="shared" si="149"/>
        <v>0.11352859995000597</v>
      </c>
      <c r="Q881" s="62">
        <f t="shared" si="150"/>
        <v>1.4507167412055599E-3</v>
      </c>
      <c r="R881" s="63">
        <f t="shared" si="151"/>
        <v>0.14206870301646196</v>
      </c>
      <c r="S881" s="63">
        <f t="shared" si="152"/>
        <v>1.8154143181374745E-3</v>
      </c>
      <c r="T881" s="63">
        <f t="shared" si="153"/>
        <v>0.14388411733459944</v>
      </c>
    </row>
    <row r="882" spans="1:20" x14ac:dyDescent="0.3">
      <c r="A882" s="18" t="s">
        <v>259</v>
      </c>
      <c r="B882" s="18" t="s">
        <v>260</v>
      </c>
      <c r="C882" s="18" t="s">
        <v>206</v>
      </c>
      <c r="D882" s="18" t="s">
        <v>203</v>
      </c>
      <c r="E882" s="61">
        <v>2016</v>
      </c>
      <c r="F882" s="62">
        <v>3163000000</v>
      </c>
      <c r="G882" s="62">
        <v>3066000000</v>
      </c>
      <c r="H882" s="62">
        <v>2609187553</v>
      </c>
      <c r="I882" s="62">
        <v>2736877451</v>
      </c>
      <c r="J882" s="62">
        <f t="shared" si="143"/>
        <v>1.2122547481737125</v>
      </c>
      <c r="K882" s="62">
        <f t="shared" si="144"/>
        <v>1.1202547629159447</v>
      </c>
      <c r="L882" s="63">
        <f t="shared" si="145"/>
        <v>-3.0667088207398038E-2</v>
      </c>
      <c r="M882" s="63">
        <f t="shared" si="146"/>
        <v>4.8938566280214049E-2</v>
      </c>
      <c r="N882" s="63">
        <f t="shared" si="147"/>
        <v>-7.5891627066313985E-2</v>
      </c>
      <c r="O882" s="62">
        <f t="shared" si="148"/>
        <v>1.1750784248816322</v>
      </c>
      <c r="P882" s="62">
        <f t="shared" si="149"/>
        <v>-3.7176323292080315E-2</v>
      </c>
      <c r="Q882" s="62">
        <f t="shared" si="150"/>
        <v>-5.4823661965687442E-2</v>
      </c>
      <c r="R882" s="63">
        <f t="shared" si="151"/>
        <v>-3.0667088207398021E-2</v>
      </c>
      <c r="S882" s="63">
        <f t="shared" si="152"/>
        <v>-4.5224538858915961E-2</v>
      </c>
      <c r="T882" s="63">
        <f t="shared" si="153"/>
        <v>-7.5891627066313985E-2</v>
      </c>
    </row>
    <row r="883" spans="1:20" x14ac:dyDescent="0.3">
      <c r="A883" s="18" t="s">
        <v>259</v>
      </c>
      <c r="B883" s="18" t="s">
        <v>260</v>
      </c>
      <c r="C883" s="18" t="s">
        <v>206</v>
      </c>
      <c r="D883" s="18" t="s">
        <v>203</v>
      </c>
      <c r="E883" s="61">
        <v>2017</v>
      </c>
      <c r="F883" s="62">
        <v>3066000000</v>
      </c>
      <c r="G883" s="62">
        <v>3195000000</v>
      </c>
      <c r="H883" s="62">
        <v>2736877451</v>
      </c>
      <c r="I883" s="62">
        <v>2843579170</v>
      </c>
      <c r="J883" s="62">
        <f t="shared" si="143"/>
        <v>1.1202547629159447</v>
      </c>
      <c r="K883" s="62">
        <f t="shared" si="144"/>
        <v>1.1235839795520799</v>
      </c>
      <c r="L883" s="63">
        <f t="shared" si="145"/>
        <v>4.2074363992172209E-2</v>
      </c>
      <c r="M883" s="63">
        <f t="shared" si="146"/>
        <v>3.8986663053186155E-2</v>
      </c>
      <c r="N883" s="63">
        <f t="shared" si="147"/>
        <v>2.9718388587516025E-3</v>
      </c>
      <c r="O883" s="62">
        <f t="shared" si="148"/>
        <v>1.1673887695748346</v>
      </c>
      <c r="P883" s="62">
        <f t="shared" si="149"/>
        <v>4.7134006658889893E-2</v>
      </c>
      <c r="Q883" s="62">
        <f t="shared" si="150"/>
        <v>-4.3804790022754725E-2</v>
      </c>
      <c r="R883" s="63">
        <f t="shared" si="151"/>
        <v>4.2074363992172077E-2</v>
      </c>
      <c r="S883" s="63">
        <f t="shared" si="152"/>
        <v>-3.9102525133420475E-2</v>
      </c>
      <c r="T883" s="63">
        <f t="shared" si="153"/>
        <v>2.971838858751602E-3</v>
      </c>
    </row>
    <row r="884" spans="1:20" x14ac:dyDescent="0.3">
      <c r="A884" s="18" t="s">
        <v>259</v>
      </c>
      <c r="B884" s="18" t="s">
        <v>260</v>
      </c>
      <c r="C884" s="18" t="s">
        <v>206</v>
      </c>
      <c r="D884" s="18" t="s">
        <v>203</v>
      </c>
      <c r="E884" s="61">
        <v>2018</v>
      </c>
      <c r="F884" s="62">
        <v>3195000000</v>
      </c>
      <c r="G884" s="62">
        <v>3957000000</v>
      </c>
      <c r="H884" s="62">
        <v>2843579170</v>
      </c>
      <c r="I884" s="62">
        <v>2853704584</v>
      </c>
      <c r="J884" s="62">
        <f t="shared" si="143"/>
        <v>1.1235839795520799</v>
      </c>
      <c r="K884" s="62">
        <f t="shared" si="144"/>
        <v>1.3866186507832305</v>
      </c>
      <c r="L884" s="63">
        <f t="shared" si="145"/>
        <v>0.23849765258215963</v>
      </c>
      <c r="M884" s="63">
        <f t="shared" si="146"/>
        <v>3.5607990474905609E-3</v>
      </c>
      <c r="N884" s="63">
        <f t="shared" si="147"/>
        <v>0.23410325887345795</v>
      </c>
      <c r="O884" s="62">
        <f t="shared" si="148"/>
        <v>1.391556121154172</v>
      </c>
      <c r="P884" s="62">
        <f t="shared" si="149"/>
        <v>0.26797214160209215</v>
      </c>
      <c r="Q884" s="62">
        <f t="shared" si="150"/>
        <v>-4.9374703709414991E-3</v>
      </c>
      <c r="R884" s="63">
        <f t="shared" si="151"/>
        <v>0.23849765258215949</v>
      </c>
      <c r="S884" s="63">
        <f t="shared" si="152"/>
        <v>-4.3943937087015392E-3</v>
      </c>
      <c r="T884" s="63">
        <f t="shared" si="153"/>
        <v>0.23410325887345795</v>
      </c>
    </row>
    <row r="885" spans="1:20" x14ac:dyDescent="0.3">
      <c r="A885" s="18" t="s">
        <v>259</v>
      </c>
      <c r="B885" s="18" t="s">
        <v>260</v>
      </c>
      <c r="C885" s="18" t="s">
        <v>206</v>
      </c>
      <c r="D885" s="18" t="s">
        <v>203</v>
      </c>
      <c r="E885" s="61">
        <v>2019</v>
      </c>
      <c r="F885" s="62">
        <v>3957000000</v>
      </c>
      <c r="G885" s="62">
        <v>4257000000</v>
      </c>
      <c r="H885" s="62">
        <v>2853704584</v>
      </c>
      <c r="I885" s="62">
        <v>2873414500</v>
      </c>
      <c r="J885" s="62">
        <f t="shared" si="143"/>
        <v>1.3866186507832305</v>
      </c>
      <c r="K885" s="62">
        <f t="shared" si="144"/>
        <v>1.4815126742069409</v>
      </c>
      <c r="L885" s="63">
        <f t="shared" si="145"/>
        <v>7.5815011372251703E-2</v>
      </c>
      <c r="M885" s="63">
        <f t="shared" si="146"/>
        <v>6.9067821912991677E-3</v>
      </c>
      <c r="N885" s="63">
        <f t="shared" si="147"/>
        <v>6.8435559676129784E-2</v>
      </c>
      <c r="O885" s="62">
        <f t="shared" si="148"/>
        <v>1.4917451595613374</v>
      </c>
      <c r="P885" s="62">
        <f t="shared" si="149"/>
        <v>0.10512650877810681</v>
      </c>
      <c r="Q885" s="62">
        <f t="shared" si="150"/>
        <v>-1.023248535439647E-2</v>
      </c>
      <c r="R885" s="63">
        <f t="shared" si="151"/>
        <v>7.5815011372251606E-2</v>
      </c>
      <c r="S885" s="63">
        <f t="shared" si="152"/>
        <v>-7.3794516961218273E-3</v>
      </c>
      <c r="T885" s="63">
        <f t="shared" si="153"/>
        <v>6.8435559676129784E-2</v>
      </c>
    </row>
    <row r="886" spans="1:20" x14ac:dyDescent="0.3">
      <c r="A886" s="18" t="s">
        <v>259</v>
      </c>
      <c r="B886" s="18" t="s">
        <v>260</v>
      </c>
      <c r="C886" s="18" t="s">
        <v>206</v>
      </c>
      <c r="D886" s="18" t="s">
        <v>203</v>
      </c>
      <c r="E886" s="61">
        <v>2020</v>
      </c>
      <c r="F886" s="62">
        <v>4257000000</v>
      </c>
      <c r="G886" s="62">
        <v>2692000000</v>
      </c>
      <c r="H886" s="62">
        <v>2873414500</v>
      </c>
      <c r="I886" s="62">
        <v>2885319047</v>
      </c>
      <c r="J886" s="62">
        <f t="shared" si="143"/>
        <v>1.4815126742069409</v>
      </c>
      <c r="K886" s="62">
        <f t="shared" si="144"/>
        <v>0.93299907433079099</v>
      </c>
      <c r="L886" s="63">
        <f t="shared" si="145"/>
        <v>-0.36762978623443737</v>
      </c>
      <c r="M886" s="63">
        <f t="shared" si="146"/>
        <v>4.1429967726549716E-3</v>
      </c>
      <c r="N886" s="63">
        <f t="shared" si="147"/>
        <v>-0.37023888450348302</v>
      </c>
      <c r="O886" s="62">
        <f t="shared" si="148"/>
        <v>0.9368644864846335</v>
      </c>
      <c r="P886" s="62">
        <f t="shared" si="149"/>
        <v>-0.54464818772230739</v>
      </c>
      <c r="Q886" s="62">
        <f t="shared" si="150"/>
        <v>-3.8654121538425068E-3</v>
      </c>
      <c r="R886" s="63">
        <f t="shared" si="151"/>
        <v>-0.36762978623443743</v>
      </c>
      <c r="S886" s="63">
        <f t="shared" si="152"/>
        <v>-2.6090982690456402E-3</v>
      </c>
      <c r="T886" s="63">
        <f t="shared" si="153"/>
        <v>-0.37023888450348308</v>
      </c>
    </row>
    <row r="887" spans="1:20" x14ac:dyDescent="0.3">
      <c r="A887" s="18" t="s">
        <v>259</v>
      </c>
      <c r="B887" s="18" t="s">
        <v>260</v>
      </c>
      <c r="C887" s="18" t="s">
        <v>206</v>
      </c>
      <c r="D887" s="18" t="s">
        <v>203</v>
      </c>
      <c r="E887" s="61">
        <v>2021</v>
      </c>
      <c r="F887" s="62">
        <v>2692000000</v>
      </c>
      <c r="G887" s="62">
        <v>5844000000</v>
      </c>
      <c r="H887" s="62">
        <v>2885319047</v>
      </c>
      <c r="I887" s="62">
        <v>2990030437</v>
      </c>
      <c r="J887" s="62">
        <f t="shared" si="143"/>
        <v>0.93299907433079099</v>
      </c>
      <c r="K887" s="62">
        <f t="shared" si="144"/>
        <v>1.9544951541909672</v>
      </c>
      <c r="L887" s="63">
        <f t="shared" si="145"/>
        <v>1.1708766716196137</v>
      </c>
      <c r="M887" s="63">
        <f t="shared" si="146"/>
        <v>3.6291095817938504E-2</v>
      </c>
      <c r="N887" s="63">
        <f t="shared" si="147"/>
        <v>1.0948521900655273</v>
      </c>
      <c r="O887" s="62">
        <f t="shared" si="148"/>
        <v>2.0254259251074083</v>
      </c>
      <c r="P887" s="62">
        <f t="shared" si="149"/>
        <v>1.0924268507766173</v>
      </c>
      <c r="Q887" s="62">
        <f t="shared" si="150"/>
        <v>-7.0930770916441066E-2</v>
      </c>
      <c r="R887" s="63">
        <f t="shared" si="151"/>
        <v>1.170876671619614</v>
      </c>
      <c r="S887" s="63">
        <f t="shared" si="152"/>
        <v>-7.6024481554086573E-2</v>
      </c>
      <c r="T887" s="63">
        <f t="shared" si="153"/>
        <v>1.0948521900655275</v>
      </c>
    </row>
    <row r="888" spans="1:20" x14ac:dyDescent="0.3">
      <c r="A888" s="18" t="s">
        <v>259</v>
      </c>
      <c r="B888" s="18" t="s">
        <v>260</v>
      </c>
      <c r="C888" s="18" t="s">
        <v>206</v>
      </c>
      <c r="D888" s="18" t="s">
        <v>203</v>
      </c>
      <c r="E888" s="61">
        <v>2022</v>
      </c>
      <c r="F888" s="62">
        <v>5844000000</v>
      </c>
      <c r="G888" s="62">
        <v>5306000000</v>
      </c>
      <c r="H888" s="62">
        <v>2990030437</v>
      </c>
      <c r="I888" s="62">
        <v>2989007006</v>
      </c>
      <c r="J888" s="62">
        <f t="shared" si="143"/>
        <v>1.9544951541909672</v>
      </c>
      <c r="K888" s="62">
        <f t="shared" si="144"/>
        <v>1.7751714831544292</v>
      </c>
      <c r="L888" s="63">
        <f t="shared" si="145"/>
        <v>-9.2060232717316906E-2</v>
      </c>
      <c r="M888" s="63">
        <f t="shared" si="146"/>
        <v>-3.4228113110007112E-4</v>
      </c>
      <c r="N888" s="63">
        <f t="shared" si="147"/>
        <v>-9.1749355659449694E-2</v>
      </c>
      <c r="O888" s="62">
        <f t="shared" si="148"/>
        <v>1.7745638754512785</v>
      </c>
      <c r="P888" s="62">
        <f t="shared" si="149"/>
        <v>-0.17993127873968873</v>
      </c>
      <c r="Q888" s="62">
        <f t="shared" si="150"/>
        <v>6.0760770315071433E-4</v>
      </c>
      <c r="R888" s="63">
        <f t="shared" si="151"/>
        <v>-9.2060232717316962E-2</v>
      </c>
      <c r="S888" s="63">
        <f t="shared" si="152"/>
        <v>3.10877057867265E-4</v>
      </c>
      <c r="T888" s="63">
        <f t="shared" si="153"/>
        <v>-9.1749355659449694E-2</v>
      </c>
    </row>
    <row r="889" spans="1:20" x14ac:dyDescent="0.3">
      <c r="A889" s="18" t="s">
        <v>259</v>
      </c>
      <c r="B889" s="18" t="s">
        <v>260</v>
      </c>
      <c r="C889" s="18" t="s">
        <v>206</v>
      </c>
      <c r="D889" s="18" t="s">
        <v>203</v>
      </c>
      <c r="E889" s="61">
        <v>2023</v>
      </c>
      <c r="F889" s="62">
        <v>5306000000</v>
      </c>
      <c r="G889" s="62">
        <v>6348000000</v>
      </c>
      <c r="H889" s="62">
        <v>2989007006</v>
      </c>
      <c r="I889" s="62">
        <v>3031055333</v>
      </c>
      <c r="J889" s="62">
        <f t="shared" si="143"/>
        <v>1.7751714831544292</v>
      </c>
      <c r="K889" s="62">
        <f t="shared" si="144"/>
        <v>2.0943200643312045</v>
      </c>
      <c r="L889" s="63">
        <f t="shared" si="145"/>
        <v>0.19638145495665285</v>
      </c>
      <c r="M889" s="63">
        <f t="shared" si="146"/>
        <v>1.4067657558377767E-2</v>
      </c>
      <c r="N889" s="63">
        <f t="shared" si="147"/>
        <v>0.17978464852852266</v>
      </c>
      <c r="O889" s="62">
        <f t="shared" si="148"/>
        <v>2.1237822418138554</v>
      </c>
      <c r="P889" s="62">
        <f t="shared" si="149"/>
        <v>0.34861075865942626</v>
      </c>
      <c r="Q889" s="62">
        <f t="shared" si="150"/>
        <v>-2.9462177482650898E-2</v>
      </c>
      <c r="R889" s="63">
        <f t="shared" si="151"/>
        <v>0.19638145495665291</v>
      </c>
      <c r="S889" s="63">
        <f t="shared" si="152"/>
        <v>-1.6596806428130224E-2</v>
      </c>
      <c r="T889" s="63">
        <f t="shared" si="153"/>
        <v>0.17978464852852269</v>
      </c>
    </row>
    <row r="890" spans="1:20" x14ac:dyDescent="0.3">
      <c r="A890" s="18" t="s">
        <v>259</v>
      </c>
      <c r="B890" s="18" t="s">
        <v>260</v>
      </c>
      <c r="C890" s="18" t="s">
        <v>206</v>
      </c>
      <c r="D890" s="18" t="s">
        <v>203</v>
      </c>
      <c r="E890" s="61">
        <v>2024</v>
      </c>
      <c r="F890" s="62">
        <v>6348000000</v>
      </c>
      <c r="G890" s="62">
        <v>7087000000</v>
      </c>
      <c r="H890" s="62">
        <v>3031055333</v>
      </c>
      <c r="I890" s="62">
        <v>3015082000</v>
      </c>
      <c r="J890" s="62">
        <f t="shared" si="143"/>
        <v>2.0943200643312045</v>
      </c>
      <c r="K890" s="62">
        <f t="shared" si="144"/>
        <v>2.3505165033654141</v>
      </c>
      <c r="L890" s="63">
        <f t="shared" si="145"/>
        <v>0.11641461877756774</v>
      </c>
      <c r="M890" s="63">
        <f t="shared" si="146"/>
        <v>-5.2698915872942268E-3</v>
      </c>
      <c r="N890" s="63">
        <f t="shared" si="147"/>
        <v>0.12232917183841369</v>
      </c>
      <c r="O890" s="62">
        <f t="shared" si="148"/>
        <v>2.3381295362185326</v>
      </c>
      <c r="P890" s="62">
        <f t="shared" si="149"/>
        <v>0.24380947188732804</v>
      </c>
      <c r="Q890" s="62">
        <f t="shared" si="150"/>
        <v>1.2386967146881478E-2</v>
      </c>
      <c r="R890" s="63">
        <f t="shared" si="151"/>
        <v>0.11641461877756761</v>
      </c>
      <c r="S890" s="63">
        <f t="shared" si="152"/>
        <v>5.9145530608460768E-3</v>
      </c>
      <c r="T890" s="63">
        <f t="shared" si="153"/>
        <v>0.12232917183841369</v>
      </c>
    </row>
    <row r="891" spans="1:20" x14ac:dyDescent="0.3">
      <c r="A891" s="18" t="s">
        <v>261</v>
      </c>
      <c r="B891" s="18" t="s">
        <v>262</v>
      </c>
      <c r="C891" s="18" t="s">
        <v>206</v>
      </c>
      <c r="D891" s="18" t="s">
        <v>203</v>
      </c>
      <c r="E891" s="61">
        <v>2016</v>
      </c>
      <c r="F891" s="62">
        <v>2334000000</v>
      </c>
      <c r="G891" s="62">
        <v>2409000000</v>
      </c>
      <c r="H891" s="62">
        <v>98488530</v>
      </c>
      <c r="I891" s="62">
        <v>99153052</v>
      </c>
      <c r="J891" s="62">
        <f t="shared" si="143"/>
        <v>23.698191048236783</v>
      </c>
      <c r="K891" s="62">
        <f t="shared" si="144"/>
        <v>24.295772559779603</v>
      </c>
      <c r="L891" s="63">
        <f t="shared" si="145"/>
        <v>3.2133676092544985E-2</v>
      </c>
      <c r="M891" s="63">
        <f t="shared" si="146"/>
        <v>6.7472019330575856E-3</v>
      </c>
      <c r="N891" s="63">
        <f t="shared" si="147"/>
        <v>2.5216334458881929E-2</v>
      </c>
      <c r="O891" s="62">
        <f t="shared" si="148"/>
        <v>24.459701043360074</v>
      </c>
      <c r="P891" s="62">
        <f t="shared" si="149"/>
        <v>0.76150999512329065</v>
      </c>
      <c r="Q891" s="62">
        <f t="shared" si="150"/>
        <v>-0.16392848358047019</v>
      </c>
      <c r="R891" s="63">
        <f t="shared" si="151"/>
        <v>3.213367609254502E-2</v>
      </c>
      <c r="S891" s="63">
        <f t="shared" si="152"/>
        <v>-6.9173416336630877E-3</v>
      </c>
      <c r="T891" s="63">
        <f t="shared" si="153"/>
        <v>2.5216334458881932E-2</v>
      </c>
    </row>
    <row r="892" spans="1:20" x14ac:dyDescent="0.3">
      <c r="A892" s="18" t="s">
        <v>261</v>
      </c>
      <c r="B892" s="18" t="s">
        <v>262</v>
      </c>
      <c r="C892" s="18" t="s">
        <v>206</v>
      </c>
      <c r="D892" s="18" t="s">
        <v>203</v>
      </c>
      <c r="E892" s="61">
        <v>2017</v>
      </c>
      <c r="F892" s="62">
        <v>2409000000</v>
      </c>
      <c r="G892" s="62">
        <v>2439500000</v>
      </c>
      <c r="H892" s="62">
        <v>99153052</v>
      </c>
      <c r="I892" s="62">
        <v>99744934</v>
      </c>
      <c r="J892" s="62">
        <f t="shared" si="143"/>
        <v>24.295772559779603</v>
      </c>
      <c r="K892" s="62">
        <f t="shared" si="144"/>
        <v>24.457382467163697</v>
      </c>
      <c r="L892" s="63">
        <f t="shared" si="145"/>
        <v>1.266085512660855E-2</v>
      </c>
      <c r="M892" s="63">
        <f t="shared" si="146"/>
        <v>5.9693775235481403E-3</v>
      </c>
      <c r="N892" s="63">
        <f t="shared" si="147"/>
        <v>6.6517706727149059E-3</v>
      </c>
      <c r="O892" s="62">
        <f t="shared" si="148"/>
        <v>24.603377816348004</v>
      </c>
      <c r="P892" s="62">
        <f t="shared" si="149"/>
        <v>0.30760525656840088</v>
      </c>
      <c r="Q892" s="62">
        <f t="shared" si="150"/>
        <v>-0.14599534918430734</v>
      </c>
      <c r="R892" s="63">
        <f t="shared" si="151"/>
        <v>1.2660855126608549E-2</v>
      </c>
      <c r="S892" s="63">
        <f t="shared" si="152"/>
        <v>-6.0090844538936419E-3</v>
      </c>
      <c r="T892" s="63">
        <f t="shared" si="153"/>
        <v>6.6517706727149068E-3</v>
      </c>
    </row>
    <row r="893" spans="1:20" x14ac:dyDescent="0.3">
      <c r="A893" s="18" t="s">
        <v>261</v>
      </c>
      <c r="B893" s="18" t="s">
        <v>262</v>
      </c>
      <c r="C893" s="18" t="s">
        <v>206</v>
      </c>
      <c r="D893" s="18" t="s">
        <v>203</v>
      </c>
      <c r="E893" s="61">
        <v>2018</v>
      </c>
      <c r="F893" s="62">
        <v>2439500000</v>
      </c>
      <c r="G893" s="62">
        <v>1031100000</v>
      </c>
      <c r="H893" s="62">
        <v>99744934</v>
      </c>
      <c r="I893" s="62">
        <v>122405156</v>
      </c>
      <c r="J893" s="62">
        <f t="shared" si="143"/>
        <v>24.457382467163697</v>
      </c>
      <c r="K893" s="62">
        <f t="shared" si="144"/>
        <v>8.423664767846871</v>
      </c>
      <c r="L893" s="63">
        <f t="shared" si="145"/>
        <v>-0.5773314203730272</v>
      </c>
      <c r="M893" s="63">
        <f t="shared" si="146"/>
        <v>0.22718168323215293</v>
      </c>
      <c r="N893" s="63">
        <f t="shared" si="147"/>
        <v>-0.6555778289374824</v>
      </c>
      <c r="O893" s="62">
        <f t="shared" si="148"/>
        <v>10.337367108789705</v>
      </c>
      <c r="P893" s="62">
        <f t="shared" si="149"/>
        <v>-14.120015358373992</v>
      </c>
      <c r="Q893" s="62">
        <f t="shared" si="150"/>
        <v>-1.9137023409428338</v>
      </c>
      <c r="R893" s="63">
        <f t="shared" si="151"/>
        <v>-0.57733142037302732</v>
      </c>
      <c r="S893" s="63">
        <f t="shared" si="152"/>
        <v>-7.8246408564455194E-2</v>
      </c>
      <c r="T893" s="63">
        <f t="shared" si="153"/>
        <v>-0.65557782893748251</v>
      </c>
    </row>
    <row r="894" spans="1:20" x14ac:dyDescent="0.3">
      <c r="A894" s="18" t="s">
        <v>261</v>
      </c>
      <c r="B894" s="18" t="s">
        <v>262</v>
      </c>
      <c r="C894" s="18" t="s">
        <v>206</v>
      </c>
      <c r="D894" s="18" t="s">
        <v>203</v>
      </c>
      <c r="E894" s="61">
        <v>2019</v>
      </c>
      <c r="F894" s="62">
        <v>1031100000</v>
      </c>
      <c r="G894" s="62">
        <v>1103300000</v>
      </c>
      <c r="H894" s="62">
        <v>122405156</v>
      </c>
      <c r="I894" s="62">
        <v>138350731</v>
      </c>
      <c r="J894" s="62">
        <f t="shared" si="143"/>
        <v>8.423664767846871</v>
      </c>
      <c r="K894" s="62">
        <f t="shared" si="144"/>
        <v>7.9746597074358787</v>
      </c>
      <c r="L894" s="63">
        <f t="shared" si="145"/>
        <v>7.0022306274852106E-2</v>
      </c>
      <c r="M894" s="63">
        <f t="shared" si="146"/>
        <v>0.13026881808802238</v>
      </c>
      <c r="N894" s="63">
        <f t="shared" si="147"/>
        <v>-5.3302816860049403E-2</v>
      </c>
      <c r="O894" s="62">
        <f t="shared" si="148"/>
        <v>9.0135092021777261</v>
      </c>
      <c r="P894" s="62">
        <f t="shared" si="149"/>
        <v>0.58984443433085509</v>
      </c>
      <c r="Q894" s="62">
        <f t="shared" si="150"/>
        <v>-1.0388494947418474</v>
      </c>
      <c r="R894" s="63">
        <f t="shared" si="151"/>
        <v>7.0022306274852175E-2</v>
      </c>
      <c r="S894" s="63">
        <f t="shared" si="152"/>
        <v>-0.12332512313490157</v>
      </c>
      <c r="T894" s="63">
        <f t="shared" si="153"/>
        <v>-5.3302816860049396E-2</v>
      </c>
    </row>
    <row r="895" spans="1:20" x14ac:dyDescent="0.3">
      <c r="A895" s="18" t="s">
        <v>261</v>
      </c>
      <c r="B895" s="18" t="s">
        <v>262</v>
      </c>
      <c r="C895" s="18" t="s">
        <v>206</v>
      </c>
      <c r="D895" s="18" t="s">
        <v>203</v>
      </c>
      <c r="E895" s="61">
        <v>2020</v>
      </c>
      <c r="F895" s="62">
        <v>1103300000</v>
      </c>
      <c r="G895" s="62">
        <v>-7212600000</v>
      </c>
      <c r="H895" s="62">
        <v>138350731</v>
      </c>
      <c r="I895" s="62">
        <v>138437274</v>
      </c>
      <c r="J895" s="62">
        <f t="shared" si="143"/>
        <v>7.9746597074358787</v>
      </c>
      <c r="K895" s="62">
        <f t="shared" si="144"/>
        <v>-52.100130200483434</v>
      </c>
      <c r="L895" s="63">
        <f t="shared" si="145"/>
        <v>-7.5372971993111575</v>
      </c>
      <c r="M895" s="63">
        <f t="shared" si="146"/>
        <v>6.2553337719625064E-4</v>
      </c>
      <c r="N895" s="63">
        <f t="shared" si="147"/>
        <v>-7.5332104581093624</v>
      </c>
      <c r="O895" s="62">
        <f t="shared" si="148"/>
        <v>-52.132720570880103</v>
      </c>
      <c r="P895" s="62">
        <f t="shared" si="149"/>
        <v>-60.107380278315979</v>
      </c>
      <c r="Q895" s="62">
        <f t="shared" si="150"/>
        <v>3.2590370396668789E-2</v>
      </c>
      <c r="R895" s="63">
        <f t="shared" si="151"/>
        <v>-7.5372971993111566</v>
      </c>
      <c r="S895" s="63">
        <f t="shared" si="152"/>
        <v>4.0867412017945139E-3</v>
      </c>
      <c r="T895" s="63">
        <f t="shared" si="153"/>
        <v>-7.5332104581093624</v>
      </c>
    </row>
    <row r="896" spans="1:20" x14ac:dyDescent="0.3">
      <c r="A896" s="18" t="s">
        <v>261</v>
      </c>
      <c r="B896" s="18" t="s">
        <v>262</v>
      </c>
      <c r="C896" s="18" t="s">
        <v>206</v>
      </c>
      <c r="D896" s="18" t="s">
        <v>203</v>
      </c>
      <c r="E896" s="61">
        <v>2021</v>
      </c>
      <c r="F896" s="62">
        <v>-7212600000</v>
      </c>
      <c r="G896" s="62">
        <v>-972100000</v>
      </c>
      <c r="H896" s="62">
        <v>138437274</v>
      </c>
      <c r="I896" s="62">
        <v>138545360</v>
      </c>
      <c r="J896" s="62">
        <f t="shared" si="143"/>
        <v>-52.100130200483434</v>
      </c>
      <c r="K896" s="62">
        <f t="shared" si="144"/>
        <v>-7.0164746044183648</v>
      </c>
      <c r="L896" s="63">
        <f t="shared" si="145"/>
        <v>0.86522197265895795</v>
      </c>
      <c r="M896" s="63">
        <f t="shared" si="146"/>
        <v>7.8075793373394507E-4</v>
      </c>
      <c r="N896" s="63">
        <f t="shared" si="147"/>
        <v>0.86532711957880559</v>
      </c>
      <c r="O896" s="62">
        <f t="shared" si="148"/>
        <v>-7.0219527726326074</v>
      </c>
      <c r="P896" s="62">
        <f t="shared" si="149"/>
        <v>45.078177427850825</v>
      </c>
      <c r="Q896" s="62">
        <f t="shared" si="150"/>
        <v>5.4781682142426291E-3</v>
      </c>
      <c r="R896" s="63">
        <f t="shared" si="151"/>
        <v>0.86522197265895795</v>
      </c>
      <c r="S896" s="63">
        <f t="shared" si="152"/>
        <v>1.0514691984765514E-4</v>
      </c>
      <c r="T896" s="63">
        <f t="shared" si="153"/>
        <v>0.86532711957880559</v>
      </c>
    </row>
    <row r="897" spans="1:20" x14ac:dyDescent="0.3">
      <c r="A897" s="18" t="s">
        <v>261</v>
      </c>
      <c r="B897" s="18" t="s">
        <v>262</v>
      </c>
      <c r="C897" s="18" t="s">
        <v>206</v>
      </c>
      <c r="D897" s="18" t="s">
        <v>203</v>
      </c>
      <c r="E897" s="61">
        <v>2022</v>
      </c>
      <c r="F897" s="62">
        <v>-972100000</v>
      </c>
      <c r="G897" s="62">
        <v>178200000</v>
      </c>
      <c r="H897" s="62">
        <v>138545360</v>
      </c>
      <c r="I897" s="62">
        <v>138717455</v>
      </c>
      <c r="J897" s="62">
        <f t="shared" si="143"/>
        <v>-7.0164746044183648</v>
      </c>
      <c r="K897" s="62">
        <f t="shared" si="144"/>
        <v>1.2846256442637303</v>
      </c>
      <c r="L897" s="63">
        <f t="shared" si="145"/>
        <v>1.1833144738195658</v>
      </c>
      <c r="M897" s="63">
        <f t="shared" si="146"/>
        <v>1.2421563594767807E-3</v>
      </c>
      <c r="N897" s="63">
        <f t="shared" si="147"/>
        <v>1.1830870510747356</v>
      </c>
      <c r="O897" s="62">
        <f t="shared" si="148"/>
        <v>1.2862213501772994</v>
      </c>
      <c r="P897" s="62">
        <f t="shared" si="149"/>
        <v>8.3026959545956647</v>
      </c>
      <c r="Q897" s="62">
        <f t="shared" si="150"/>
        <v>-1.5957059135691676E-3</v>
      </c>
      <c r="R897" s="63">
        <f t="shared" si="151"/>
        <v>1.183314473819566</v>
      </c>
      <c r="S897" s="63">
        <f t="shared" si="152"/>
        <v>-2.2742274483033558E-4</v>
      </c>
      <c r="T897" s="63">
        <f t="shared" si="153"/>
        <v>1.1830870510747358</v>
      </c>
    </row>
    <row r="898" spans="1:20" x14ac:dyDescent="0.3">
      <c r="A898" s="18" t="s">
        <v>261</v>
      </c>
      <c r="B898" s="18" t="s">
        <v>262</v>
      </c>
      <c r="C898" s="18" t="s">
        <v>206</v>
      </c>
      <c r="D898" s="18" t="s">
        <v>203</v>
      </c>
      <c r="E898" s="61">
        <v>2023</v>
      </c>
      <c r="F898" s="62">
        <v>178200000</v>
      </c>
      <c r="G898" s="62">
        <v>-1629100000</v>
      </c>
      <c r="H898" s="62">
        <v>138717455</v>
      </c>
      <c r="I898" s="62">
        <v>138965717</v>
      </c>
      <c r="J898" s="62">
        <f t="shared" si="143"/>
        <v>1.2846256442637303</v>
      </c>
      <c r="K898" s="62">
        <f t="shared" si="144"/>
        <v>-11.723035257681577</v>
      </c>
      <c r="L898" s="63">
        <f t="shared" si="145"/>
        <v>-10.141975308641975</v>
      </c>
      <c r="M898" s="63">
        <f t="shared" si="146"/>
        <v>1.7896954640639854E-3</v>
      </c>
      <c r="N898" s="63">
        <f t="shared" si="147"/>
        <v>-10.125643186424565</v>
      </c>
      <c r="O898" s="62">
        <f t="shared" si="148"/>
        <v>-11.74401592070731</v>
      </c>
      <c r="P898" s="62">
        <f t="shared" si="149"/>
        <v>-13.028641564971041</v>
      </c>
      <c r="Q898" s="62">
        <f t="shared" si="150"/>
        <v>2.0980663025733648E-2</v>
      </c>
      <c r="R898" s="63">
        <f t="shared" si="151"/>
        <v>-10.141975308641975</v>
      </c>
      <c r="S898" s="63">
        <f t="shared" si="152"/>
        <v>1.6332122217409491E-2</v>
      </c>
      <c r="T898" s="63">
        <f t="shared" si="153"/>
        <v>-10.125643186424565</v>
      </c>
    </row>
    <row r="899" spans="1:20" x14ac:dyDescent="0.3">
      <c r="A899" s="18" t="s">
        <v>261</v>
      </c>
      <c r="B899" s="18" t="s">
        <v>262</v>
      </c>
      <c r="C899" s="18" t="s">
        <v>206</v>
      </c>
      <c r="D899" s="18" t="s">
        <v>203</v>
      </c>
      <c r="E899" s="61">
        <v>2024</v>
      </c>
      <c r="F899" s="62">
        <v>-1629100000</v>
      </c>
      <c r="G899" s="62">
        <v>146200000</v>
      </c>
      <c r="H899" s="62">
        <v>138965717</v>
      </c>
      <c r="I899" s="62">
        <v>139497322</v>
      </c>
      <c r="J899" s="62">
        <f t="shared" si="143"/>
        <v>-11.723035257681577</v>
      </c>
      <c r="K899" s="62">
        <f t="shared" si="144"/>
        <v>1.0480487933668003</v>
      </c>
      <c r="L899" s="63">
        <f t="shared" si="145"/>
        <v>1.0897428027745382</v>
      </c>
      <c r="M899" s="63">
        <f t="shared" si="146"/>
        <v>3.825439910478064E-3</v>
      </c>
      <c r="N899" s="63">
        <f t="shared" si="147"/>
        <v>1.0894008053656634</v>
      </c>
      <c r="O899" s="62">
        <f t="shared" si="148"/>
        <v>1.0520580410490741</v>
      </c>
      <c r="P899" s="62">
        <f t="shared" si="149"/>
        <v>12.775093298730651</v>
      </c>
      <c r="Q899" s="62">
        <f t="shared" si="150"/>
        <v>-4.0092476822737311E-3</v>
      </c>
      <c r="R899" s="63">
        <f t="shared" si="151"/>
        <v>1.0897428027745382</v>
      </c>
      <c r="S899" s="63">
        <f t="shared" si="152"/>
        <v>-3.4199740887468983E-4</v>
      </c>
      <c r="T899" s="63">
        <f t="shared" si="153"/>
        <v>1.0894008053656634</v>
      </c>
    </row>
    <row r="900" spans="1:20" x14ac:dyDescent="0.3">
      <c r="A900" s="18" t="s">
        <v>263</v>
      </c>
      <c r="B900" s="18" t="s">
        <v>264</v>
      </c>
      <c r="C900" s="18" t="s">
        <v>206</v>
      </c>
      <c r="D900" s="18" t="s">
        <v>203</v>
      </c>
      <c r="E900" s="61">
        <v>2016</v>
      </c>
      <c r="F900" s="62">
        <v>200000000</v>
      </c>
      <c r="G900" s="62">
        <v>214000000</v>
      </c>
      <c r="H900" s="62">
        <v>57111038</v>
      </c>
      <c r="I900" s="62">
        <v>57263301</v>
      </c>
      <c r="J900" s="62">
        <f t="shared" si="143"/>
        <v>3.5019500083328898</v>
      </c>
      <c r="K900" s="62">
        <f t="shared" si="144"/>
        <v>3.7371230135684983</v>
      </c>
      <c r="L900" s="63">
        <f t="shared" si="145"/>
        <v>7.0000000000000007E-2</v>
      </c>
      <c r="M900" s="63">
        <f t="shared" si="146"/>
        <v>2.666087070593954E-3</v>
      </c>
      <c r="N900" s="63">
        <f t="shared" si="147"/>
        <v>6.715487219292518E-2</v>
      </c>
      <c r="O900" s="62">
        <f t="shared" si="148"/>
        <v>3.7470865089161922</v>
      </c>
      <c r="P900" s="62">
        <f t="shared" si="149"/>
        <v>0.24513650058330239</v>
      </c>
      <c r="Q900" s="62">
        <f t="shared" si="150"/>
        <v>-9.9634953476939181E-3</v>
      </c>
      <c r="R900" s="63">
        <f t="shared" si="151"/>
        <v>7.0000000000000034E-2</v>
      </c>
      <c r="S900" s="63">
        <f t="shared" si="152"/>
        <v>-2.8451278070748529E-3</v>
      </c>
      <c r="T900" s="63">
        <f t="shared" si="153"/>
        <v>6.715487219292518E-2</v>
      </c>
    </row>
    <row r="901" spans="1:20" x14ac:dyDescent="0.3">
      <c r="A901" s="18" t="s">
        <v>263</v>
      </c>
      <c r="B901" s="18" t="s">
        <v>264</v>
      </c>
      <c r="C901" s="18" t="s">
        <v>206</v>
      </c>
      <c r="D901" s="18" t="s">
        <v>203</v>
      </c>
      <c r="E901" s="61">
        <v>2017</v>
      </c>
      <c r="F901" s="62">
        <v>214000000</v>
      </c>
      <c r="G901" s="62">
        <v>312000000</v>
      </c>
      <c r="H901" s="62">
        <v>57263301</v>
      </c>
      <c r="I901" s="62">
        <v>57767405</v>
      </c>
      <c r="J901" s="62">
        <f t="shared" ref="J901:J964" si="154">F901/H901</f>
        <v>3.7371230135684983</v>
      </c>
      <c r="K901" s="62">
        <f t="shared" ref="K901:K964" si="155">G901/I901</f>
        <v>5.4009696298457586</v>
      </c>
      <c r="L901" s="63">
        <f t="shared" ref="L901:L964" si="156">IF(F901=0,"",((G901-F901)/ABS(F901)))</f>
        <v>0.45794392523364486</v>
      </c>
      <c r="M901" s="63">
        <f t="shared" ref="M901:M964" si="157">(I901-H901)/H901</f>
        <v>8.8032647646352075E-3</v>
      </c>
      <c r="N901" s="63">
        <f t="shared" ref="N901:N964" si="158">IF(J901=0,"",((K901-J901)/ABS(J901)))</f>
        <v>0.4452212598397956</v>
      </c>
      <c r="O901" s="62">
        <f t="shared" ref="O901:O964" si="159">G901/H901</f>
        <v>5.4485157954830443</v>
      </c>
      <c r="P901" s="62">
        <f t="shared" ref="P901:P964" si="160">O901-J901</f>
        <v>1.711392781914546</v>
      </c>
      <c r="Q901" s="62">
        <f t="shared" ref="Q901:Q964" si="161">K901-O901</f>
        <v>-4.7546165637285753E-2</v>
      </c>
      <c r="R901" s="63">
        <f t="shared" ref="R901:R964" si="162">IF(J901=0,"",P901/ABS(J901))</f>
        <v>0.45794392523364486</v>
      </c>
      <c r="S901" s="63">
        <f t="shared" ref="S901:S964" si="163">IF(J901=0,"",Q901/ABS(J901))</f>
        <v>-1.2722665393849303E-2</v>
      </c>
      <c r="T901" s="63">
        <f t="shared" ref="T901:T964" si="164">R901+S901</f>
        <v>0.44522125983979555</v>
      </c>
    </row>
    <row r="902" spans="1:20" x14ac:dyDescent="0.3">
      <c r="A902" s="18" t="s">
        <v>263</v>
      </c>
      <c r="B902" s="18" t="s">
        <v>264</v>
      </c>
      <c r="C902" s="18" t="s">
        <v>206</v>
      </c>
      <c r="D902" s="18" t="s">
        <v>203</v>
      </c>
      <c r="E902" s="61">
        <v>2018</v>
      </c>
      <c r="F902" s="62">
        <v>312000000</v>
      </c>
      <c r="G902" s="62">
        <v>312000000</v>
      </c>
      <c r="H902" s="62">
        <v>57767405</v>
      </c>
      <c r="I902" s="62">
        <v>57706532</v>
      </c>
      <c r="J902" s="62">
        <f t="shared" si="154"/>
        <v>5.4009696298457586</v>
      </c>
      <c r="K902" s="62">
        <f t="shared" si="155"/>
        <v>5.4066669610296456</v>
      </c>
      <c r="L902" s="63">
        <f t="shared" si="156"/>
        <v>0</v>
      </c>
      <c r="M902" s="63">
        <f t="shared" si="157"/>
        <v>-1.0537603342230797E-3</v>
      </c>
      <c r="N902" s="63">
        <f t="shared" si="158"/>
        <v>1.0548719164061933E-3</v>
      </c>
      <c r="O902" s="62">
        <f t="shared" si="159"/>
        <v>5.4009696298457586</v>
      </c>
      <c r="P902" s="62">
        <f t="shared" si="160"/>
        <v>0</v>
      </c>
      <c r="Q902" s="62">
        <f t="shared" si="161"/>
        <v>5.6973311838870444E-3</v>
      </c>
      <c r="R902" s="63">
        <f t="shared" si="162"/>
        <v>0</v>
      </c>
      <c r="S902" s="63">
        <f t="shared" si="163"/>
        <v>1.0548719164061933E-3</v>
      </c>
      <c r="T902" s="63">
        <f t="shared" si="164"/>
        <v>1.0548719164061933E-3</v>
      </c>
    </row>
    <row r="903" spans="1:20" x14ac:dyDescent="0.3">
      <c r="A903" s="18" t="s">
        <v>263</v>
      </c>
      <c r="B903" s="18" t="s">
        <v>264</v>
      </c>
      <c r="C903" s="18" t="s">
        <v>206</v>
      </c>
      <c r="D903" s="18" t="s">
        <v>203</v>
      </c>
      <c r="E903" s="61">
        <v>2019</v>
      </c>
      <c r="F903" s="62">
        <v>312000000</v>
      </c>
      <c r="G903" s="62">
        <v>400000000</v>
      </c>
      <c r="H903" s="62">
        <v>57706532</v>
      </c>
      <c r="I903" s="62">
        <v>58252492</v>
      </c>
      <c r="J903" s="62">
        <f t="shared" si="154"/>
        <v>5.4066669610296456</v>
      </c>
      <c r="K903" s="62">
        <f t="shared" si="155"/>
        <v>6.866659026364057</v>
      </c>
      <c r="L903" s="63">
        <f t="shared" si="156"/>
        <v>0.28205128205128205</v>
      </c>
      <c r="M903" s="63">
        <f t="shared" si="157"/>
        <v>9.4609740193709792E-3</v>
      </c>
      <c r="N903" s="63">
        <f t="shared" si="158"/>
        <v>0.27003550909604584</v>
      </c>
      <c r="O903" s="62">
        <f t="shared" si="159"/>
        <v>6.9316243090123661</v>
      </c>
      <c r="P903" s="62">
        <f t="shared" si="160"/>
        <v>1.5249573479827205</v>
      </c>
      <c r="Q903" s="62">
        <f t="shared" si="161"/>
        <v>-6.4965282648309142E-2</v>
      </c>
      <c r="R903" s="63">
        <f t="shared" si="162"/>
        <v>0.28205128205128205</v>
      </c>
      <c r="S903" s="63">
        <f t="shared" si="163"/>
        <v>-1.2015772955236205E-2</v>
      </c>
      <c r="T903" s="63">
        <f t="shared" si="164"/>
        <v>0.27003550909604584</v>
      </c>
    </row>
    <row r="904" spans="1:20" x14ac:dyDescent="0.3">
      <c r="A904" s="18" t="s">
        <v>263</v>
      </c>
      <c r="B904" s="18" t="s">
        <v>264</v>
      </c>
      <c r="C904" s="18" t="s">
        <v>206</v>
      </c>
      <c r="D904" s="18" t="s">
        <v>203</v>
      </c>
      <c r="E904" s="61">
        <v>2020</v>
      </c>
      <c r="F904" s="62">
        <v>400000000</v>
      </c>
      <c r="G904" s="62">
        <v>324000000</v>
      </c>
      <c r="H904" s="62">
        <v>58252492</v>
      </c>
      <c r="I904" s="62">
        <v>58713193</v>
      </c>
      <c r="J904" s="62">
        <f t="shared" si="154"/>
        <v>6.866659026364057</v>
      </c>
      <c r="K904" s="62">
        <f t="shared" si="155"/>
        <v>5.5183508755860036</v>
      </c>
      <c r="L904" s="63">
        <f t="shared" si="156"/>
        <v>-0.19</v>
      </c>
      <c r="M904" s="63">
        <f t="shared" si="157"/>
        <v>7.9086917002623679E-3</v>
      </c>
      <c r="N904" s="63">
        <f t="shared" si="158"/>
        <v>-0.19635577441683336</v>
      </c>
      <c r="O904" s="62">
        <f t="shared" si="159"/>
        <v>5.5619938113548857</v>
      </c>
      <c r="P904" s="62">
        <f t="shared" si="160"/>
        <v>-1.3046652150091713</v>
      </c>
      <c r="Q904" s="62">
        <f t="shared" si="161"/>
        <v>-4.3642935768882118E-2</v>
      </c>
      <c r="R904" s="63">
        <f t="shared" si="162"/>
        <v>-0.19000000000000006</v>
      </c>
      <c r="S904" s="63">
        <f t="shared" si="163"/>
        <v>-6.3557744168332986E-3</v>
      </c>
      <c r="T904" s="63">
        <f t="shared" si="164"/>
        <v>-0.19635577441683336</v>
      </c>
    </row>
    <row r="905" spans="1:20" x14ac:dyDescent="0.3">
      <c r="A905" s="18" t="s">
        <v>263</v>
      </c>
      <c r="B905" s="18" t="s">
        <v>264</v>
      </c>
      <c r="C905" s="18" t="s">
        <v>206</v>
      </c>
      <c r="D905" s="18" t="s">
        <v>203</v>
      </c>
      <c r="E905" s="61">
        <v>2021</v>
      </c>
      <c r="F905" s="62">
        <v>324000000</v>
      </c>
      <c r="G905" s="62">
        <v>557000000</v>
      </c>
      <c r="H905" s="62">
        <v>58713193</v>
      </c>
      <c r="I905" s="62">
        <v>58727538</v>
      </c>
      <c r="J905" s="62">
        <f t="shared" si="154"/>
        <v>5.5183508755860036</v>
      </c>
      <c r="K905" s="62">
        <f t="shared" si="155"/>
        <v>9.4844772821908521</v>
      </c>
      <c r="L905" s="63">
        <f t="shared" si="156"/>
        <v>0.71913580246913578</v>
      </c>
      <c r="M905" s="63">
        <f t="shared" si="157"/>
        <v>2.4432328182185563E-4</v>
      </c>
      <c r="N905" s="63">
        <f t="shared" si="158"/>
        <v>0.7187158801647745</v>
      </c>
      <c r="O905" s="62">
        <f t="shared" si="159"/>
        <v>9.4867945608068016</v>
      </c>
      <c r="P905" s="62">
        <f t="shared" si="160"/>
        <v>3.968443685220798</v>
      </c>
      <c r="Q905" s="62">
        <f t="shared" si="161"/>
        <v>-2.3172786159495473E-3</v>
      </c>
      <c r="R905" s="63">
        <f t="shared" si="162"/>
        <v>0.71913580246913567</v>
      </c>
      <c r="S905" s="63">
        <f t="shared" si="163"/>
        <v>-4.1992230436116863E-4</v>
      </c>
      <c r="T905" s="63">
        <f t="shared" si="164"/>
        <v>0.7187158801647745</v>
      </c>
    </row>
    <row r="906" spans="1:20" x14ac:dyDescent="0.3">
      <c r="A906" s="18" t="s">
        <v>263</v>
      </c>
      <c r="B906" s="18" t="s">
        <v>264</v>
      </c>
      <c r="C906" s="18" t="s">
        <v>206</v>
      </c>
      <c r="D906" s="18" t="s">
        <v>203</v>
      </c>
      <c r="E906" s="61">
        <v>2022</v>
      </c>
      <c r="F906" s="62">
        <v>557000000</v>
      </c>
      <c r="G906" s="62">
        <v>643000000</v>
      </c>
      <c r="H906" s="62">
        <v>58727538</v>
      </c>
      <c r="I906" s="62">
        <v>58894129</v>
      </c>
      <c r="J906" s="62">
        <f t="shared" si="154"/>
        <v>9.4844772821908521</v>
      </c>
      <c r="K906" s="62">
        <f t="shared" si="155"/>
        <v>10.917896417145418</v>
      </c>
      <c r="L906" s="63">
        <f t="shared" si="156"/>
        <v>0.15439856373429084</v>
      </c>
      <c r="M906" s="63">
        <f t="shared" si="157"/>
        <v>2.8366760411444457E-3</v>
      </c>
      <c r="N906" s="63">
        <f t="shared" si="158"/>
        <v>0.15113317184555006</v>
      </c>
      <c r="O906" s="62">
        <f t="shared" si="159"/>
        <v>10.948866952331629</v>
      </c>
      <c r="P906" s="62">
        <f t="shared" si="160"/>
        <v>1.4643896701407773</v>
      </c>
      <c r="Q906" s="62">
        <f t="shared" si="161"/>
        <v>-3.0970535186211734E-2</v>
      </c>
      <c r="R906" s="63">
        <f t="shared" si="162"/>
        <v>0.15439856373429078</v>
      </c>
      <c r="S906" s="63">
        <f t="shared" si="163"/>
        <v>-3.2653918887407302E-3</v>
      </c>
      <c r="T906" s="63">
        <f t="shared" si="164"/>
        <v>0.15113317184555006</v>
      </c>
    </row>
    <row r="907" spans="1:20" x14ac:dyDescent="0.3">
      <c r="A907" s="18" t="s">
        <v>263</v>
      </c>
      <c r="B907" s="18" t="s">
        <v>264</v>
      </c>
      <c r="C907" s="18" t="s">
        <v>206</v>
      </c>
      <c r="D907" s="18" t="s">
        <v>203</v>
      </c>
      <c r="E907" s="61">
        <v>2023</v>
      </c>
      <c r="F907" s="62">
        <v>643000000</v>
      </c>
      <c r="G907" s="62">
        <v>592000000</v>
      </c>
      <c r="H907" s="62">
        <v>58894129</v>
      </c>
      <c r="I907" s="62">
        <v>58603469</v>
      </c>
      <c r="J907" s="62">
        <f t="shared" si="154"/>
        <v>10.917896417145418</v>
      </c>
      <c r="K907" s="62">
        <f t="shared" si="155"/>
        <v>10.101791073153024</v>
      </c>
      <c r="L907" s="63">
        <f t="shared" si="156"/>
        <v>-7.9315707620528766E-2</v>
      </c>
      <c r="M907" s="63">
        <f t="shared" si="157"/>
        <v>-4.9352966914579886E-3</v>
      </c>
      <c r="N907" s="63">
        <f t="shared" si="158"/>
        <v>-7.4749321005719169E-2</v>
      </c>
      <c r="O907" s="62">
        <f t="shared" si="159"/>
        <v>10.051935737091892</v>
      </c>
      <c r="P907" s="62">
        <f t="shared" si="160"/>
        <v>-0.86596068005352578</v>
      </c>
      <c r="Q907" s="62">
        <f t="shared" si="161"/>
        <v>4.9855336061131794E-2</v>
      </c>
      <c r="R907" s="63">
        <f t="shared" si="162"/>
        <v>-7.9315707620528877E-2</v>
      </c>
      <c r="S907" s="63">
        <f t="shared" si="163"/>
        <v>4.5663866148097166E-3</v>
      </c>
      <c r="T907" s="63">
        <f t="shared" si="164"/>
        <v>-7.4749321005719155E-2</v>
      </c>
    </row>
    <row r="908" spans="1:20" x14ac:dyDescent="0.3">
      <c r="A908" s="18" t="s">
        <v>263</v>
      </c>
      <c r="B908" s="18" t="s">
        <v>264</v>
      </c>
      <c r="C908" s="18" t="s">
        <v>206</v>
      </c>
      <c r="D908" s="18" t="s">
        <v>203</v>
      </c>
      <c r="E908" s="61">
        <v>2024</v>
      </c>
      <c r="F908" s="62">
        <v>592000000</v>
      </c>
      <c r="G908" s="62">
        <v>523000000</v>
      </c>
      <c r="H908" s="62">
        <v>58603469</v>
      </c>
      <c r="I908" s="62">
        <v>59706774</v>
      </c>
      <c r="J908" s="62">
        <f t="shared" si="154"/>
        <v>10.101791073153024</v>
      </c>
      <c r="K908" s="62">
        <f t="shared" si="155"/>
        <v>8.759475097415244</v>
      </c>
      <c r="L908" s="63">
        <f t="shared" si="156"/>
        <v>-0.11655405405405406</v>
      </c>
      <c r="M908" s="63">
        <f t="shared" si="157"/>
        <v>1.8826615878319422E-2</v>
      </c>
      <c r="N908" s="63">
        <f t="shared" si="158"/>
        <v>-0.13287900789248941</v>
      </c>
      <c r="O908" s="62">
        <f t="shared" si="159"/>
        <v>8.9243863703699855</v>
      </c>
      <c r="P908" s="62">
        <f t="shared" si="160"/>
        <v>-1.1774047027830381</v>
      </c>
      <c r="Q908" s="62">
        <f t="shared" si="161"/>
        <v>-0.16491127295474151</v>
      </c>
      <c r="R908" s="63">
        <f t="shared" si="162"/>
        <v>-0.11655405405405404</v>
      </c>
      <c r="S908" s="63">
        <f t="shared" si="163"/>
        <v>-1.6324953838435359E-2</v>
      </c>
      <c r="T908" s="63">
        <f t="shared" si="164"/>
        <v>-0.13287900789248941</v>
      </c>
    </row>
    <row r="909" spans="1:20" x14ac:dyDescent="0.3">
      <c r="A909" s="18" t="s">
        <v>265</v>
      </c>
      <c r="B909" s="18" t="s">
        <v>266</v>
      </c>
      <c r="C909" s="18" t="s">
        <v>206</v>
      </c>
      <c r="D909" s="18" t="s">
        <v>203</v>
      </c>
      <c r="E909" s="61">
        <v>2016</v>
      </c>
      <c r="F909" s="62">
        <v>-714000000</v>
      </c>
      <c r="G909" s="62">
        <v>-179000000</v>
      </c>
      <c r="H909" s="62">
        <v>26337144</v>
      </c>
      <c r="I909" s="62">
        <v>26378347</v>
      </c>
      <c r="J909" s="62">
        <f t="shared" si="154"/>
        <v>-27.110000993273985</v>
      </c>
      <c r="K909" s="62">
        <f t="shared" si="155"/>
        <v>-6.7858687278622876</v>
      </c>
      <c r="L909" s="63">
        <f t="shared" si="156"/>
        <v>0.74929971988795518</v>
      </c>
      <c r="M909" s="63">
        <f t="shared" si="157"/>
        <v>1.5644444970950532E-3</v>
      </c>
      <c r="N909" s="63">
        <f t="shared" si="158"/>
        <v>0.74969131393444555</v>
      </c>
      <c r="O909" s="62">
        <f t="shared" si="159"/>
        <v>-6.7964848428516014</v>
      </c>
      <c r="P909" s="62">
        <f t="shared" si="160"/>
        <v>20.313516150422384</v>
      </c>
      <c r="Q909" s="62">
        <f t="shared" si="161"/>
        <v>1.0616114989313807E-2</v>
      </c>
      <c r="R909" s="63">
        <f t="shared" si="162"/>
        <v>0.74929971988795518</v>
      </c>
      <c r="S909" s="63">
        <f t="shared" si="163"/>
        <v>3.9159404649035886E-4</v>
      </c>
      <c r="T909" s="63">
        <f t="shared" si="164"/>
        <v>0.74969131393444555</v>
      </c>
    </row>
    <row r="910" spans="1:20" x14ac:dyDescent="0.3">
      <c r="A910" s="18" t="s">
        <v>265</v>
      </c>
      <c r="B910" s="18" t="s">
        <v>266</v>
      </c>
      <c r="C910" s="18" t="s">
        <v>206</v>
      </c>
      <c r="D910" s="18" t="s">
        <v>203</v>
      </c>
      <c r="E910" s="61">
        <v>2017</v>
      </c>
      <c r="F910" s="62">
        <v>-179000000</v>
      </c>
      <c r="G910" s="62">
        <v>203000000</v>
      </c>
      <c r="H910" s="62">
        <v>26378347</v>
      </c>
      <c r="I910" s="62">
        <v>28856129</v>
      </c>
      <c r="J910" s="62">
        <f t="shared" si="154"/>
        <v>-6.7858687278622876</v>
      </c>
      <c r="K910" s="62">
        <f t="shared" si="155"/>
        <v>7.0349006271769854</v>
      </c>
      <c r="L910" s="63">
        <f t="shared" si="156"/>
        <v>2.1340782122905027</v>
      </c>
      <c r="M910" s="63">
        <f t="shared" si="157"/>
        <v>9.3932421163464105E-2</v>
      </c>
      <c r="N910" s="63">
        <f t="shared" si="158"/>
        <v>2.0366986025373865</v>
      </c>
      <c r="O910" s="62">
        <f t="shared" si="159"/>
        <v>7.6957058757320915</v>
      </c>
      <c r="P910" s="62">
        <f t="shared" si="160"/>
        <v>14.481574603594378</v>
      </c>
      <c r="Q910" s="62">
        <f t="shared" si="161"/>
        <v>-0.66080524855510614</v>
      </c>
      <c r="R910" s="63">
        <f t="shared" si="162"/>
        <v>2.1340782122905027</v>
      </c>
      <c r="S910" s="63">
        <f t="shared" si="163"/>
        <v>-9.7379609753116422E-2</v>
      </c>
      <c r="T910" s="63">
        <f t="shared" si="164"/>
        <v>2.0366986025373861</v>
      </c>
    </row>
    <row r="911" spans="1:20" x14ac:dyDescent="0.3">
      <c r="A911" s="18" t="s">
        <v>265</v>
      </c>
      <c r="B911" s="18" t="s">
        <v>266</v>
      </c>
      <c r="C911" s="18" t="s">
        <v>206</v>
      </c>
      <c r="D911" s="18" t="s">
        <v>203</v>
      </c>
      <c r="E911" s="61">
        <v>2018</v>
      </c>
      <c r="F911" s="62">
        <v>203000000</v>
      </c>
      <c r="G911" s="62">
        <v>53000000</v>
      </c>
      <c r="H911" s="62">
        <v>28856129</v>
      </c>
      <c r="I911" s="62">
        <v>28945113</v>
      </c>
      <c r="J911" s="62">
        <f t="shared" si="154"/>
        <v>7.0349006271769854</v>
      </c>
      <c r="K911" s="62">
        <f t="shared" si="155"/>
        <v>1.8310517564744004</v>
      </c>
      <c r="L911" s="63">
        <f t="shared" si="156"/>
        <v>-0.73891625615763545</v>
      </c>
      <c r="M911" s="63">
        <f t="shared" si="157"/>
        <v>3.0837123025059944E-3</v>
      </c>
      <c r="N911" s="63">
        <f t="shared" si="158"/>
        <v>-0.73971888822412857</v>
      </c>
      <c r="O911" s="62">
        <f t="shared" si="159"/>
        <v>1.8366981933023656</v>
      </c>
      <c r="P911" s="62">
        <f t="shared" si="160"/>
        <v>-5.19820243387462</v>
      </c>
      <c r="Q911" s="62">
        <f t="shared" si="161"/>
        <v>-5.6464368279651733E-3</v>
      </c>
      <c r="R911" s="63">
        <f t="shared" si="162"/>
        <v>-0.73891625615763545</v>
      </c>
      <c r="S911" s="63">
        <f t="shared" si="163"/>
        <v>-8.0263206649317171E-4</v>
      </c>
      <c r="T911" s="63">
        <f t="shared" si="164"/>
        <v>-0.73971888822412868</v>
      </c>
    </row>
    <row r="912" spans="1:20" x14ac:dyDescent="0.3">
      <c r="A912" s="18" t="s">
        <v>265</v>
      </c>
      <c r="B912" s="18" t="s">
        <v>266</v>
      </c>
      <c r="C912" s="18" t="s">
        <v>206</v>
      </c>
      <c r="D912" s="18" t="s">
        <v>203</v>
      </c>
      <c r="E912" s="61">
        <v>2019</v>
      </c>
      <c r="F912" s="62">
        <v>53000000</v>
      </c>
      <c r="G912" s="62">
        <v>-184000000</v>
      </c>
      <c r="H912" s="62">
        <v>28945113</v>
      </c>
      <c r="I912" s="62">
        <v>26529619</v>
      </c>
      <c r="J912" s="62">
        <f t="shared" si="154"/>
        <v>1.8310517564744004</v>
      </c>
      <c r="K912" s="62">
        <f t="shared" si="155"/>
        <v>-6.9356442699007479</v>
      </c>
      <c r="L912" s="63">
        <f t="shared" si="156"/>
        <v>-4.4716981132075473</v>
      </c>
      <c r="M912" s="63">
        <f t="shared" si="157"/>
        <v>-8.3450840216101413E-2</v>
      </c>
      <c r="N912" s="63">
        <f t="shared" si="158"/>
        <v>-4.7877925871713138</v>
      </c>
      <c r="O912" s="62">
        <f t="shared" si="159"/>
        <v>-6.3568589281375409</v>
      </c>
      <c r="P912" s="62">
        <f t="shared" si="160"/>
        <v>-8.1879106846119409</v>
      </c>
      <c r="Q912" s="62">
        <f t="shared" si="161"/>
        <v>-0.57878534176320695</v>
      </c>
      <c r="R912" s="63">
        <f t="shared" si="162"/>
        <v>-4.4716981132075464</v>
      </c>
      <c r="S912" s="63">
        <f t="shared" si="163"/>
        <v>-0.31609447396376689</v>
      </c>
      <c r="T912" s="63">
        <f t="shared" si="164"/>
        <v>-4.787792587171313</v>
      </c>
    </row>
    <row r="913" spans="1:20" x14ac:dyDescent="0.3">
      <c r="A913" s="18" t="s">
        <v>265</v>
      </c>
      <c r="B913" s="18" t="s">
        <v>266</v>
      </c>
      <c r="C913" s="18" t="s">
        <v>206</v>
      </c>
      <c r="D913" s="18" t="s">
        <v>203</v>
      </c>
      <c r="E913" s="61">
        <v>2020</v>
      </c>
      <c r="F913" s="62">
        <v>-184000000</v>
      </c>
      <c r="G913" s="62">
        <v>-675000000</v>
      </c>
      <c r="H913" s="62">
        <v>26529619</v>
      </c>
      <c r="I913" s="62">
        <v>26506323</v>
      </c>
      <c r="J913" s="62">
        <f t="shared" si="154"/>
        <v>-6.9356442699007479</v>
      </c>
      <c r="K913" s="62">
        <f t="shared" si="155"/>
        <v>-25.465621919720814</v>
      </c>
      <c r="L913" s="63">
        <f t="shared" si="156"/>
        <v>-2.6684782608695654</v>
      </c>
      <c r="M913" s="63">
        <f t="shared" si="157"/>
        <v>-8.7811287451960767E-4</v>
      </c>
      <c r="N913" s="63">
        <f t="shared" si="158"/>
        <v>-2.671702430044792</v>
      </c>
      <c r="O913" s="62">
        <f t="shared" si="159"/>
        <v>-25.443260229255461</v>
      </c>
      <c r="P913" s="62">
        <f t="shared" si="160"/>
        <v>-18.507615959354712</v>
      </c>
      <c r="Q913" s="62">
        <f t="shared" si="161"/>
        <v>-2.2361690465352524E-2</v>
      </c>
      <c r="R913" s="63">
        <f t="shared" si="162"/>
        <v>-2.668478260869565</v>
      </c>
      <c r="S913" s="63">
        <f t="shared" si="163"/>
        <v>-3.2241691752268212E-3</v>
      </c>
      <c r="T913" s="63">
        <f t="shared" si="164"/>
        <v>-2.6717024300447916</v>
      </c>
    </row>
    <row r="914" spans="1:20" x14ac:dyDescent="0.3">
      <c r="A914" s="18" t="s">
        <v>265</v>
      </c>
      <c r="B914" s="18" t="s">
        <v>266</v>
      </c>
      <c r="C914" s="18" t="s">
        <v>206</v>
      </c>
      <c r="D914" s="18" t="s">
        <v>203</v>
      </c>
      <c r="E914" s="61">
        <v>2021</v>
      </c>
      <c r="F914" s="62">
        <v>-675000000</v>
      </c>
      <c r="G914" s="62">
        <v>298000000</v>
      </c>
      <c r="H914" s="62">
        <v>26506323</v>
      </c>
      <c r="I914" s="62">
        <v>28571634</v>
      </c>
      <c r="J914" s="62">
        <f t="shared" si="154"/>
        <v>-25.465621919720814</v>
      </c>
      <c r="K914" s="62">
        <f t="shared" si="155"/>
        <v>10.429925008839186</v>
      </c>
      <c r="L914" s="63">
        <f t="shared" si="156"/>
        <v>1.4414814814814816</v>
      </c>
      <c r="M914" s="63">
        <f t="shared" si="157"/>
        <v>7.7917672700208176E-2</v>
      </c>
      <c r="N914" s="63">
        <f t="shared" si="158"/>
        <v>1.409568831333436</v>
      </c>
      <c r="O914" s="62">
        <f t="shared" si="159"/>
        <v>11.242600491965634</v>
      </c>
      <c r="P914" s="62">
        <f t="shared" si="160"/>
        <v>36.70822241168645</v>
      </c>
      <c r="Q914" s="62">
        <f t="shared" si="161"/>
        <v>-0.81267548312644777</v>
      </c>
      <c r="R914" s="63">
        <f t="shared" si="162"/>
        <v>1.4414814814814816</v>
      </c>
      <c r="S914" s="63">
        <f t="shared" si="163"/>
        <v>-3.1912650148045445E-2</v>
      </c>
      <c r="T914" s="63">
        <f t="shared" si="164"/>
        <v>1.4095688313334362</v>
      </c>
    </row>
    <row r="915" spans="1:20" x14ac:dyDescent="0.3">
      <c r="A915" s="18" t="s">
        <v>265</v>
      </c>
      <c r="B915" s="18" t="s">
        <v>266</v>
      </c>
      <c r="C915" s="18" t="s">
        <v>206</v>
      </c>
      <c r="D915" s="18" t="s">
        <v>203</v>
      </c>
      <c r="E915" s="61">
        <v>2022</v>
      </c>
      <c r="F915" s="62">
        <v>298000000</v>
      </c>
      <c r="G915" s="62">
        <v>740000000</v>
      </c>
      <c r="H915" s="62">
        <v>28571634</v>
      </c>
      <c r="I915" s="62">
        <v>28674721</v>
      </c>
      <c r="J915" s="62">
        <f t="shared" si="154"/>
        <v>10.429925008839186</v>
      </c>
      <c r="K915" s="62">
        <f t="shared" si="155"/>
        <v>25.806702705145764</v>
      </c>
      <c r="L915" s="63">
        <f t="shared" si="156"/>
        <v>1.4832214765100671</v>
      </c>
      <c r="M915" s="63">
        <f t="shared" si="157"/>
        <v>3.6080190583429707E-3</v>
      </c>
      <c r="N915" s="63">
        <f t="shared" si="158"/>
        <v>1.4742941759672306</v>
      </c>
      <c r="O915" s="62">
        <f t="shared" si="159"/>
        <v>25.899813780338921</v>
      </c>
      <c r="P915" s="62">
        <f t="shared" si="160"/>
        <v>15.469888771499734</v>
      </c>
      <c r="Q915" s="62">
        <f t="shared" si="161"/>
        <v>-9.3111075193156978E-2</v>
      </c>
      <c r="R915" s="63">
        <f t="shared" si="162"/>
        <v>1.4832214765100673</v>
      </c>
      <c r="S915" s="63">
        <f t="shared" si="163"/>
        <v>-8.9273005428367799E-3</v>
      </c>
      <c r="T915" s="63">
        <f t="shared" si="164"/>
        <v>1.4742941759672306</v>
      </c>
    </row>
    <row r="916" spans="1:20" x14ac:dyDescent="0.3">
      <c r="A916" s="18" t="s">
        <v>265</v>
      </c>
      <c r="B916" s="18" t="s">
        <v>266</v>
      </c>
      <c r="C916" s="18" t="s">
        <v>206</v>
      </c>
      <c r="D916" s="18" t="s">
        <v>203</v>
      </c>
      <c r="E916" s="61">
        <v>2023</v>
      </c>
      <c r="F916" s="62">
        <v>740000000</v>
      </c>
      <c r="G916" s="62">
        <v>109000000</v>
      </c>
      <c r="H916" s="62">
        <v>28674721</v>
      </c>
      <c r="I916" s="62">
        <v>28759894</v>
      </c>
      <c r="J916" s="62">
        <f t="shared" si="154"/>
        <v>25.806702705145764</v>
      </c>
      <c r="K916" s="62">
        <f t="shared" si="155"/>
        <v>3.7900000605009185</v>
      </c>
      <c r="L916" s="63">
        <f t="shared" si="156"/>
        <v>-0.85270270270270265</v>
      </c>
      <c r="M916" s="63">
        <f t="shared" si="157"/>
        <v>2.9703166074397029E-3</v>
      </c>
      <c r="N916" s="63">
        <f t="shared" si="158"/>
        <v>-0.85313892658804469</v>
      </c>
      <c r="O916" s="62">
        <f t="shared" si="159"/>
        <v>3.8012575606228216</v>
      </c>
      <c r="P916" s="62">
        <f t="shared" si="160"/>
        <v>-22.005445144522941</v>
      </c>
      <c r="Q916" s="62">
        <f t="shared" si="161"/>
        <v>-1.1257500121903075E-2</v>
      </c>
      <c r="R916" s="63">
        <f t="shared" si="162"/>
        <v>-0.85270270270270265</v>
      </c>
      <c r="S916" s="63">
        <f t="shared" si="163"/>
        <v>-4.3622388534194137E-4</v>
      </c>
      <c r="T916" s="63">
        <f t="shared" si="164"/>
        <v>-0.85313892658804458</v>
      </c>
    </row>
    <row r="917" spans="1:20" x14ac:dyDescent="0.3">
      <c r="A917" s="18" t="s">
        <v>265</v>
      </c>
      <c r="B917" s="18" t="s">
        <v>266</v>
      </c>
      <c r="C917" s="18" t="s">
        <v>206</v>
      </c>
      <c r="D917" s="18" t="s">
        <v>203</v>
      </c>
      <c r="E917" s="61">
        <v>2024</v>
      </c>
      <c r="F917" s="62">
        <v>109000000</v>
      </c>
      <c r="G917" s="62">
        <v>14000000</v>
      </c>
      <c r="H917" s="62">
        <v>28759894</v>
      </c>
      <c r="I917" s="62">
        <v>28472222</v>
      </c>
      <c r="J917" s="62">
        <f t="shared" si="154"/>
        <v>3.7900000605009185</v>
      </c>
      <c r="K917" s="62">
        <f t="shared" si="155"/>
        <v>0.49170732091088643</v>
      </c>
      <c r="L917" s="63">
        <f t="shared" si="156"/>
        <v>-0.87155963302752293</v>
      </c>
      <c r="M917" s="63">
        <f t="shared" si="157"/>
        <v>-1.0002540343159819E-2</v>
      </c>
      <c r="N917" s="63">
        <f t="shared" si="158"/>
        <v>-0.87026192267503588</v>
      </c>
      <c r="O917" s="62">
        <f t="shared" si="159"/>
        <v>0.48678899859644825</v>
      </c>
      <c r="P917" s="62">
        <f t="shared" si="160"/>
        <v>-3.3032110619044701</v>
      </c>
      <c r="Q917" s="62">
        <f t="shared" si="161"/>
        <v>4.9183223144381727E-3</v>
      </c>
      <c r="R917" s="63">
        <f t="shared" si="162"/>
        <v>-0.87155963302752293</v>
      </c>
      <c r="S917" s="63">
        <f t="shared" si="163"/>
        <v>1.2977103524869406E-3</v>
      </c>
      <c r="T917" s="63">
        <f t="shared" si="164"/>
        <v>-0.87026192267503599</v>
      </c>
    </row>
    <row r="918" spans="1:20" x14ac:dyDescent="0.3">
      <c r="A918" s="18" t="s">
        <v>267</v>
      </c>
      <c r="B918" s="18" t="s">
        <v>112</v>
      </c>
      <c r="C918" s="18" t="s">
        <v>206</v>
      </c>
      <c r="D918" s="18" t="s">
        <v>203</v>
      </c>
      <c r="E918" s="61">
        <v>2016</v>
      </c>
      <c r="F918" s="62">
        <v>104000000</v>
      </c>
      <c r="G918" s="62">
        <v>165000000</v>
      </c>
      <c r="H918" s="62">
        <v>886532167</v>
      </c>
      <c r="I918" s="62">
        <v>881246870</v>
      </c>
      <c r="J918" s="62">
        <f t="shared" si="154"/>
        <v>0.11731102815133385</v>
      </c>
      <c r="K918" s="62">
        <f t="shared" si="155"/>
        <v>0.18723470756837979</v>
      </c>
      <c r="L918" s="63">
        <f t="shared" si="156"/>
        <v>0.58653846153846156</v>
      </c>
      <c r="M918" s="63">
        <f t="shared" si="157"/>
        <v>-5.961765626491926E-3</v>
      </c>
      <c r="N918" s="63">
        <f t="shared" si="158"/>
        <v>0.59605375998276</v>
      </c>
      <c r="O918" s="62">
        <f t="shared" si="159"/>
        <v>0.18611845812471237</v>
      </c>
      <c r="P918" s="62">
        <f t="shared" si="160"/>
        <v>6.880742997337852E-2</v>
      </c>
      <c r="Q918" s="62">
        <f t="shared" si="161"/>
        <v>1.116249443667422E-3</v>
      </c>
      <c r="R918" s="63">
        <f t="shared" si="162"/>
        <v>0.58653846153846168</v>
      </c>
      <c r="S918" s="63">
        <f t="shared" si="163"/>
        <v>9.5152984442983084E-3</v>
      </c>
      <c r="T918" s="63">
        <f t="shared" si="164"/>
        <v>0.59605375998276</v>
      </c>
    </row>
    <row r="919" spans="1:20" x14ac:dyDescent="0.3">
      <c r="A919" s="18" t="s">
        <v>267</v>
      </c>
      <c r="B919" s="18" t="s">
        <v>112</v>
      </c>
      <c r="C919" s="18" t="s">
        <v>206</v>
      </c>
      <c r="D919" s="18" t="s">
        <v>203</v>
      </c>
      <c r="E919" s="61">
        <v>2017</v>
      </c>
      <c r="F919" s="62">
        <v>165000000</v>
      </c>
      <c r="G919" s="62">
        <v>802000000</v>
      </c>
      <c r="H919" s="62">
        <v>881246870</v>
      </c>
      <c r="I919" s="62">
        <v>884707764</v>
      </c>
      <c r="J919" s="62">
        <f t="shared" si="154"/>
        <v>0.18723470756837979</v>
      </c>
      <c r="K919" s="62">
        <f t="shared" si="155"/>
        <v>0.9065140294168369</v>
      </c>
      <c r="L919" s="63">
        <f t="shared" si="156"/>
        <v>3.8606060606060608</v>
      </c>
      <c r="M919" s="63">
        <f t="shared" si="157"/>
        <v>3.9272695516070315E-3</v>
      </c>
      <c r="N919" s="63">
        <f t="shared" si="158"/>
        <v>3.8415918244525784</v>
      </c>
      <c r="O919" s="62">
        <f t="shared" si="159"/>
        <v>0.91007415436267025</v>
      </c>
      <c r="P919" s="62">
        <f t="shared" si="160"/>
        <v>0.72283944679429046</v>
      </c>
      <c r="Q919" s="62">
        <f t="shared" si="161"/>
        <v>-3.5601249458333539E-3</v>
      </c>
      <c r="R919" s="63">
        <f t="shared" si="162"/>
        <v>3.8606060606060608</v>
      </c>
      <c r="S919" s="63">
        <f t="shared" si="163"/>
        <v>-1.90142361534822E-2</v>
      </c>
      <c r="T919" s="63">
        <f t="shared" si="164"/>
        <v>3.8415918244525784</v>
      </c>
    </row>
    <row r="920" spans="1:20" x14ac:dyDescent="0.3">
      <c r="A920" s="18" t="s">
        <v>267</v>
      </c>
      <c r="B920" s="18" t="s">
        <v>112</v>
      </c>
      <c r="C920" s="18" t="s">
        <v>206</v>
      </c>
      <c r="D920" s="18" t="s">
        <v>203</v>
      </c>
      <c r="E920" s="61">
        <v>2018</v>
      </c>
      <c r="F920" s="62">
        <v>802000000</v>
      </c>
      <c r="G920" s="62">
        <v>1287000000</v>
      </c>
      <c r="H920" s="62">
        <v>884707764</v>
      </c>
      <c r="I920" s="62">
        <v>906783462</v>
      </c>
      <c r="J920" s="62">
        <f t="shared" si="154"/>
        <v>0.9065140294168369</v>
      </c>
      <c r="K920" s="62">
        <f t="shared" si="155"/>
        <v>1.4193024618704393</v>
      </c>
      <c r="L920" s="63">
        <f t="shared" si="156"/>
        <v>0.60473815461346636</v>
      </c>
      <c r="M920" s="63">
        <f t="shared" si="157"/>
        <v>2.4952531104949136E-2</v>
      </c>
      <c r="N920" s="63">
        <f t="shared" si="158"/>
        <v>0.56567070758240845</v>
      </c>
      <c r="O920" s="62">
        <f t="shared" si="159"/>
        <v>1.4547176506975923</v>
      </c>
      <c r="P920" s="62">
        <f t="shared" si="160"/>
        <v>0.54820362128075539</v>
      </c>
      <c r="Q920" s="62">
        <f t="shared" si="161"/>
        <v>-3.5415188827152999E-2</v>
      </c>
      <c r="R920" s="63">
        <f t="shared" si="162"/>
        <v>0.60473815461346625</v>
      </c>
      <c r="S920" s="63">
        <f t="shared" si="163"/>
        <v>-3.9067447031057745E-2</v>
      </c>
      <c r="T920" s="63">
        <f t="shared" si="164"/>
        <v>0.56567070758240856</v>
      </c>
    </row>
    <row r="921" spans="1:20" x14ac:dyDescent="0.3">
      <c r="A921" s="18" t="s">
        <v>267</v>
      </c>
      <c r="B921" s="18" t="s">
        <v>112</v>
      </c>
      <c r="C921" s="18" t="s">
        <v>206</v>
      </c>
      <c r="D921" s="18" t="s">
        <v>203</v>
      </c>
      <c r="E921" s="61">
        <v>2019</v>
      </c>
      <c r="F921" s="62">
        <v>1287000000</v>
      </c>
      <c r="G921" s="62">
        <v>1032000000</v>
      </c>
      <c r="H921" s="62">
        <v>906783462</v>
      </c>
      <c r="I921" s="62">
        <v>897391304</v>
      </c>
      <c r="J921" s="62">
        <f t="shared" si="154"/>
        <v>1.4193024618704393</v>
      </c>
      <c r="K921" s="62">
        <f t="shared" si="155"/>
        <v>1.1500000004457365</v>
      </c>
      <c r="L921" s="63">
        <f t="shared" si="156"/>
        <v>-0.19813519813519814</v>
      </c>
      <c r="M921" s="63">
        <f t="shared" si="157"/>
        <v>-1.03576635366559E-2</v>
      </c>
      <c r="N921" s="63">
        <f t="shared" si="158"/>
        <v>-0.18974282695867403</v>
      </c>
      <c r="O921" s="62">
        <f t="shared" si="159"/>
        <v>1.1380886873739653</v>
      </c>
      <c r="P921" s="62">
        <f t="shared" si="160"/>
        <v>-0.281213774496474</v>
      </c>
      <c r="Q921" s="62">
        <f t="shared" si="161"/>
        <v>1.1911313071771179E-2</v>
      </c>
      <c r="R921" s="63">
        <f t="shared" si="162"/>
        <v>-0.19813519813519814</v>
      </c>
      <c r="S921" s="63">
        <f t="shared" si="163"/>
        <v>8.392371176524107E-3</v>
      </c>
      <c r="T921" s="63">
        <f t="shared" si="164"/>
        <v>-0.18974282695867403</v>
      </c>
    </row>
    <row r="922" spans="1:20" x14ac:dyDescent="0.3">
      <c r="A922" s="18" t="s">
        <v>267</v>
      </c>
      <c r="B922" s="18" t="s">
        <v>112</v>
      </c>
      <c r="C922" s="18" t="s">
        <v>206</v>
      </c>
      <c r="D922" s="18" t="s">
        <v>203</v>
      </c>
      <c r="E922" s="61">
        <v>2020</v>
      </c>
      <c r="F922" s="62">
        <v>1032000000</v>
      </c>
      <c r="G922" s="62">
        <v>694000000</v>
      </c>
      <c r="H922" s="62">
        <v>897391304</v>
      </c>
      <c r="I922" s="62">
        <v>894578477</v>
      </c>
      <c r="J922" s="62">
        <f t="shared" si="154"/>
        <v>1.1500000004457365</v>
      </c>
      <c r="K922" s="62">
        <f t="shared" si="155"/>
        <v>0.77578436978201526</v>
      </c>
      <c r="L922" s="63">
        <f t="shared" si="156"/>
        <v>-0.32751937984496127</v>
      </c>
      <c r="M922" s="63">
        <f t="shared" si="157"/>
        <v>-3.1344486930753677E-3</v>
      </c>
      <c r="N922" s="63">
        <f t="shared" si="158"/>
        <v>-0.32540489610319684</v>
      </c>
      <c r="O922" s="62">
        <f t="shared" si="159"/>
        <v>0.77335271347804369</v>
      </c>
      <c r="P922" s="62">
        <f t="shared" si="160"/>
        <v>-0.37664728696769278</v>
      </c>
      <c r="Q922" s="62">
        <f t="shared" si="161"/>
        <v>2.4316563039715744E-3</v>
      </c>
      <c r="R922" s="63">
        <f t="shared" si="162"/>
        <v>-0.32751937984496127</v>
      </c>
      <c r="S922" s="63">
        <f t="shared" si="163"/>
        <v>2.1144837417644102E-3</v>
      </c>
      <c r="T922" s="63">
        <f t="shared" si="164"/>
        <v>-0.32540489610319684</v>
      </c>
    </row>
    <row r="923" spans="1:20" x14ac:dyDescent="0.3">
      <c r="A923" s="18" t="s">
        <v>267</v>
      </c>
      <c r="B923" s="18" t="s">
        <v>112</v>
      </c>
      <c r="C923" s="18" t="s">
        <v>206</v>
      </c>
      <c r="D923" s="18" t="s">
        <v>203</v>
      </c>
      <c r="E923" s="61">
        <v>2021</v>
      </c>
      <c r="F923" s="62">
        <v>694000000</v>
      </c>
      <c r="G923" s="62">
        <v>1711000000</v>
      </c>
      <c r="H923" s="62">
        <v>894578477</v>
      </c>
      <c r="I923" s="62">
        <v>904332429</v>
      </c>
      <c r="J923" s="62">
        <f t="shared" si="154"/>
        <v>0.77578436978201526</v>
      </c>
      <c r="K923" s="62">
        <f t="shared" si="155"/>
        <v>1.8920033663859688</v>
      </c>
      <c r="L923" s="63">
        <f t="shared" si="156"/>
        <v>1.4654178674351586</v>
      </c>
      <c r="M923" s="63">
        <f t="shared" si="157"/>
        <v>1.0903405627095139E-2</v>
      </c>
      <c r="N923" s="63">
        <f t="shared" si="158"/>
        <v>1.4388263544386641</v>
      </c>
      <c r="O923" s="62">
        <f t="shared" si="159"/>
        <v>1.9126326465375043</v>
      </c>
      <c r="P923" s="62">
        <f t="shared" si="160"/>
        <v>1.1368482767554891</v>
      </c>
      <c r="Q923" s="62">
        <f t="shared" si="161"/>
        <v>-2.0629280151535534E-2</v>
      </c>
      <c r="R923" s="63">
        <f t="shared" si="162"/>
        <v>1.4654178674351583</v>
      </c>
      <c r="S923" s="63">
        <f t="shared" si="163"/>
        <v>-2.6591512996494218E-2</v>
      </c>
      <c r="T923" s="63">
        <f t="shared" si="164"/>
        <v>1.4388263544386641</v>
      </c>
    </row>
    <row r="924" spans="1:20" x14ac:dyDescent="0.3">
      <c r="A924" s="18" t="s">
        <v>267</v>
      </c>
      <c r="B924" s="18" t="s">
        <v>112</v>
      </c>
      <c r="C924" s="18" t="s">
        <v>206</v>
      </c>
      <c r="D924" s="18" t="s">
        <v>203</v>
      </c>
      <c r="E924" s="61">
        <v>2022</v>
      </c>
      <c r="F924" s="62">
        <v>1711000000</v>
      </c>
      <c r="G924" s="62">
        <v>4323000000</v>
      </c>
      <c r="H924" s="62">
        <v>904332429</v>
      </c>
      <c r="I924" s="62">
        <v>905606885</v>
      </c>
      <c r="J924" s="62">
        <f t="shared" si="154"/>
        <v>1.8920033663859688</v>
      </c>
      <c r="K924" s="62">
        <f t="shared" si="155"/>
        <v>4.7735944498699343</v>
      </c>
      <c r="L924" s="63">
        <f t="shared" si="156"/>
        <v>1.5265926358854471</v>
      </c>
      <c r="M924" s="63">
        <f t="shared" si="157"/>
        <v>1.4092782246118037E-3</v>
      </c>
      <c r="N924" s="63">
        <f t="shared" si="158"/>
        <v>1.523036974816947</v>
      </c>
      <c r="O924" s="62">
        <f t="shared" si="159"/>
        <v>4.7803217725812637</v>
      </c>
      <c r="P924" s="62">
        <f t="shared" si="160"/>
        <v>2.8883184061952951</v>
      </c>
      <c r="Q924" s="62">
        <f t="shared" si="161"/>
        <v>-6.7273227113293643E-3</v>
      </c>
      <c r="R924" s="63">
        <f t="shared" si="162"/>
        <v>1.5265926358854469</v>
      </c>
      <c r="S924" s="63">
        <f t="shared" si="163"/>
        <v>-3.5556610684999122E-3</v>
      </c>
      <c r="T924" s="63">
        <f t="shared" si="164"/>
        <v>1.523036974816947</v>
      </c>
    </row>
    <row r="925" spans="1:20" x14ac:dyDescent="0.3">
      <c r="A925" s="18" t="s">
        <v>267</v>
      </c>
      <c r="B925" s="18" t="s">
        <v>112</v>
      </c>
      <c r="C925" s="18" t="s">
        <v>206</v>
      </c>
      <c r="D925" s="18" t="s">
        <v>203</v>
      </c>
      <c r="E925" s="61">
        <v>2023</v>
      </c>
      <c r="F925" s="62">
        <v>4323000000</v>
      </c>
      <c r="G925" s="62">
        <v>4211000000</v>
      </c>
      <c r="H925" s="62">
        <v>905606885</v>
      </c>
      <c r="I925" s="62">
        <v>903513952</v>
      </c>
      <c r="J925" s="62">
        <f t="shared" si="154"/>
        <v>4.7735944498699343</v>
      </c>
      <c r="K925" s="62">
        <f t="shared" si="155"/>
        <v>4.6606917255440452</v>
      </c>
      <c r="L925" s="63">
        <f t="shared" si="156"/>
        <v>-2.5907934304880871E-2</v>
      </c>
      <c r="M925" s="63">
        <f t="shared" si="157"/>
        <v>-2.3110833571014645E-3</v>
      </c>
      <c r="N925" s="63">
        <f t="shared" si="158"/>
        <v>-2.3651511562521897E-2</v>
      </c>
      <c r="O925" s="62">
        <f t="shared" si="159"/>
        <v>4.6499204784645602</v>
      </c>
      <c r="P925" s="62">
        <f t="shared" si="160"/>
        <v>-0.12367397140537406</v>
      </c>
      <c r="Q925" s="62">
        <f t="shared" si="161"/>
        <v>1.0771247079484958E-2</v>
      </c>
      <c r="R925" s="63">
        <f t="shared" si="162"/>
        <v>-2.5907934304880843E-2</v>
      </c>
      <c r="S925" s="63">
        <f t="shared" si="163"/>
        <v>2.2564227423589453E-3</v>
      </c>
      <c r="T925" s="63">
        <f t="shared" si="164"/>
        <v>-2.3651511562521897E-2</v>
      </c>
    </row>
    <row r="926" spans="1:20" x14ac:dyDescent="0.3">
      <c r="A926" s="18" t="s">
        <v>269</v>
      </c>
      <c r="B926" s="18" t="s">
        <v>270</v>
      </c>
      <c r="C926" s="18" t="s">
        <v>206</v>
      </c>
      <c r="D926" s="18" t="s">
        <v>203</v>
      </c>
      <c r="E926" s="61">
        <v>2016</v>
      </c>
      <c r="F926" s="62">
        <v>2823000000</v>
      </c>
      <c r="G926" s="62">
        <v>3419000000</v>
      </c>
      <c r="H926" s="62">
        <v>272708000</v>
      </c>
      <c r="I926" s="62">
        <v>271968000</v>
      </c>
      <c r="J926" s="62">
        <f t="shared" si="154"/>
        <v>10.351731522360913</v>
      </c>
      <c r="K926" s="62">
        <f t="shared" si="155"/>
        <v>12.571331921402518</v>
      </c>
      <c r="L926" s="63">
        <f t="shared" si="156"/>
        <v>0.21112291888062346</v>
      </c>
      <c r="M926" s="63">
        <f t="shared" si="157"/>
        <v>-2.713525089106297E-3</v>
      </c>
      <c r="N926" s="63">
        <f t="shared" si="158"/>
        <v>0.21441827333398442</v>
      </c>
      <c r="O926" s="62">
        <f t="shared" si="159"/>
        <v>12.53721929683031</v>
      </c>
      <c r="P926" s="62">
        <f t="shared" si="160"/>
        <v>2.1854877744693972</v>
      </c>
      <c r="Q926" s="62">
        <f t="shared" si="161"/>
        <v>3.411262457220765E-2</v>
      </c>
      <c r="R926" s="63">
        <f t="shared" si="162"/>
        <v>0.21112291888062359</v>
      </c>
      <c r="S926" s="63">
        <f t="shared" si="163"/>
        <v>3.2953544533608236E-3</v>
      </c>
      <c r="T926" s="63">
        <f t="shared" si="164"/>
        <v>0.21441827333398442</v>
      </c>
    </row>
    <row r="927" spans="1:20" x14ac:dyDescent="0.3">
      <c r="A927" s="18" t="s">
        <v>269</v>
      </c>
      <c r="B927" s="18" t="s">
        <v>270</v>
      </c>
      <c r="C927" s="18" t="s">
        <v>206</v>
      </c>
      <c r="D927" s="18" t="s">
        <v>203</v>
      </c>
      <c r="E927" s="61">
        <v>2017</v>
      </c>
      <c r="F927" s="62">
        <v>3419000000</v>
      </c>
      <c r="G927" s="62">
        <v>5212000000</v>
      </c>
      <c r="H927" s="62">
        <v>271968000</v>
      </c>
      <c r="I927" s="62">
        <v>271080000</v>
      </c>
      <c r="J927" s="62">
        <f t="shared" si="154"/>
        <v>12.571331921402518</v>
      </c>
      <c r="K927" s="62">
        <f t="shared" si="155"/>
        <v>19.226796517633172</v>
      </c>
      <c r="L927" s="63">
        <f t="shared" si="156"/>
        <v>0.52442234571512136</v>
      </c>
      <c r="M927" s="63">
        <f t="shared" si="157"/>
        <v>-3.2650900105894811E-3</v>
      </c>
      <c r="N927" s="63">
        <f t="shared" si="158"/>
        <v>0.52941602670595456</v>
      </c>
      <c r="O927" s="62">
        <f t="shared" si="159"/>
        <v>19.16401929638781</v>
      </c>
      <c r="P927" s="62">
        <f t="shared" si="160"/>
        <v>6.5926873749852923</v>
      </c>
      <c r="Q927" s="62">
        <f t="shared" si="161"/>
        <v>6.2777221245362114E-2</v>
      </c>
      <c r="R927" s="63">
        <f t="shared" si="162"/>
        <v>0.52442234571512136</v>
      </c>
      <c r="S927" s="63">
        <f t="shared" si="163"/>
        <v>4.9936809908331806E-3</v>
      </c>
      <c r="T927" s="63">
        <f t="shared" si="164"/>
        <v>0.52941602670595456</v>
      </c>
    </row>
    <row r="928" spans="1:20" x14ac:dyDescent="0.3">
      <c r="A928" s="18" t="s">
        <v>269</v>
      </c>
      <c r="B928" s="18" t="s">
        <v>270</v>
      </c>
      <c r="C928" s="18" t="s">
        <v>206</v>
      </c>
      <c r="D928" s="18" t="s">
        <v>203</v>
      </c>
      <c r="E928" s="61">
        <v>2018</v>
      </c>
      <c r="F928" s="62">
        <v>5212000000</v>
      </c>
      <c r="G928" s="62">
        <v>3302000000</v>
      </c>
      <c r="H928" s="62">
        <v>271080000</v>
      </c>
      <c r="I928" s="62">
        <v>269850000</v>
      </c>
      <c r="J928" s="62">
        <f t="shared" si="154"/>
        <v>19.226796517633172</v>
      </c>
      <c r="K928" s="62">
        <f t="shared" si="155"/>
        <v>12.236427644987955</v>
      </c>
      <c r="L928" s="63">
        <f t="shared" si="156"/>
        <v>-0.36646201074443591</v>
      </c>
      <c r="M928" s="63">
        <f t="shared" si="157"/>
        <v>-4.5374059318282426E-3</v>
      </c>
      <c r="N928" s="63">
        <f t="shared" si="158"/>
        <v>-0.36357428894794036</v>
      </c>
      <c r="O928" s="62">
        <f t="shared" si="159"/>
        <v>12.1809060056072</v>
      </c>
      <c r="P928" s="62">
        <f t="shared" si="160"/>
        <v>-7.0458905120259718</v>
      </c>
      <c r="Q928" s="62">
        <f t="shared" si="161"/>
        <v>5.5521639380755161E-2</v>
      </c>
      <c r="R928" s="63">
        <f t="shared" si="162"/>
        <v>-0.36646201074443596</v>
      </c>
      <c r="S928" s="63">
        <f t="shared" si="163"/>
        <v>2.887721796495608E-3</v>
      </c>
      <c r="T928" s="63">
        <f t="shared" si="164"/>
        <v>-0.36357428894794036</v>
      </c>
    </row>
    <row r="929" spans="1:20" x14ac:dyDescent="0.3">
      <c r="A929" s="18" t="s">
        <v>269</v>
      </c>
      <c r="B929" s="18" t="s">
        <v>270</v>
      </c>
      <c r="C929" s="18" t="s">
        <v>206</v>
      </c>
      <c r="D929" s="18" t="s">
        <v>203</v>
      </c>
      <c r="E929" s="61">
        <v>2019</v>
      </c>
      <c r="F929" s="62">
        <v>3302000000</v>
      </c>
      <c r="G929" s="62">
        <v>-141000000</v>
      </c>
      <c r="H929" s="62">
        <v>269850000</v>
      </c>
      <c r="I929" s="62">
        <v>271639000</v>
      </c>
      <c r="J929" s="62">
        <f t="shared" si="154"/>
        <v>12.236427644987955</v>
      </c>
      <c r="K929" s="62">
        <f t="shared" si="155"/>
        <v>-0.51907126738060438</v>
      </c>
      <c r="L929" s="63">
        <f t="shared" si="156"/>
        <v>-1.0427013930950939</v>
      </c>
      <c r="M929" s="63">
        <f t="shared" si="157"/>
        <v>6.6296090420604036E-3</v>
      </c>
      <c r="N929" s="63">
        <f t="shared" si="158"/>
        <v>-1.0424201639923247</v>
      </c>
      <c r="O929" s="62">
        <f t="shared" si="159"/>
        <v>-0.52251250694830464</v>
      </c>
      <c r="P929" s="62">
        <f t="shared" si="160"/>
        <v>-12.75894015193626</v>
      </c>
      <c r="Q929" s="62">
        <f t="shared" si="161"/>
        <v>3.4412395677002605E-3</v>
      </c>
      <c r="R929" s="63">
        <f t="shared" si="162"/>
        <v>-1.0427013930950939</v>
      </c>
      <c r="S929" s="63">
        <f t="shared" si="163"/>
        <v>2.8122910276920512E-4</v>
      </c>
      <c r="T929" s="63">
        <f t="shared" si="164"/>
        <v>-1.0424201639923247</v>
      </c>
    </row>
    <row r="930" spans="1:20" x14ac:dyDescent="0.3">
      <c r="A930" s="18" t="s">
        <v>269</v>
      </c>
      <c r="B930" s="18" t="s">
        <v>270</v>
      </c>
      <c r="C930" s="18" t="s">
        <v>206</v>
      </c>
      <c r="D930" s="18" t="s">
        <v>203</v>
      </c>
      <c r="E930" s="61">
        <v>2020</v>
      </c>
      <c r="F930" s="62">
        <v>-141000000</v>
      </c>
      <c r="G930" s="62">
        <v>-8008000000</v>
      </c>
      <c r="H930" s="62">
        <v>271639000</v>
      </c>
      <c r="I930" s="62">
        <v>271349000</v>
      </c>
      <c r="J930" s="62">
        <f t="shared" si="154"/>
        <v>-0.51907126738060438</v>
      </c>
      <c r="K930" s="62">
        <f t="shared" si="155"/>
        <v>-29.511809514684042</v>
      </c>
      <c r="L930" s="63">
        <f t="shared" si="156"/>
        <v>-55.794326241134755</v>
      </c>
      <c r="M930" s="63">
        <f t="shared" si="157"/>
        <v>-1.0675933868111722E-3</v>
      </c>
      <c r="N930" s="63">
        <f t="shared" si="158"/>
        <v>-55.855024289072759</v>
      </c>
      <c r="O930" s="62">
        <f t="shared" si="159"/>
        <v>-29.480302902013335</v>
      </c>
      <c r="P930" s="62">
        <f t="shared" si="160"/>
        <v>-28.961231634632732</v>
      </c>
      <c r="Q930" s="62">
        <f t="shared" si="161"/>
        <v>-3.1506612670707312E-2</v>
      </c>
      <c r="R930" s="63">
        <f t="shared" si="162"/>
        <v>-55.794326241134762</v>
      </c>
      <c r="S930" s="63">
        <f t="shared" si="163"/>
        <v>-6.0698047938001876E-2</v>
      </c>
      <c r="T930" s="63">
        <f t="shared" si="164"/>
        <v>-55.855024289072766</v>
      </c>
    </row>
    <row r="931" spans="1:20" x14ac:dyDescent="0.3">
      <c r="A931" s="18" t="s">
        <v>269</v>
      </c>
      <c r="B931" s="18" t="s">
        <v>270</v>
      </c>
      <c r="C931" s="18" t="s">
        <v>206</v>
      </c>
      <c r="D931" s="18" t="s">
        <v>203</v>
      </c>
      <c r="E931" s="61">
        <v>2021</v>
      </c>
      <c r="F931" s="62">
        <v>-8008000000</v>
      </c>
      <c r="G931" s="62">
        <v>888000000</v>
      </c>
      <c r="H931" s="62">
        <v>271349000</v>
      </c>
      <c r="I931" s="62">
        <v>272102000</v>
      </c>
      <c r="J931" s="62">
        <f t="shared" si="154"/>
        <v>-29.511809514684042</v>
      </c>
      <c r="K931" s="62">
        <f t="shared" si="155"/>
        <v>3.2634820765742258</v>
      </c>
      <c r="L931" s="63">
        <f t="shared" si="156"/>
        <v>1.1108891108891108</v>
      </c>
      <c r="M931" s="63">
        <f t="shared" si="157"/>
        <v>2.7750240465231123E-3</v>
      </c>
      <c r="N931" s="63">
        <f t="shared" si="158"/>
        <v>1.1105822425070353</v>
      </c>
      <c r="O931" s="62">
        <f t="shared" si="159"/>
        <v>3.2725383178121166</v>
      </c>
      <c r="P931" s="62">
        <f t="shared" si="160"/>
        <v>32.784347832496159</v>
      </c>
      <c r="Q931" s="62">
        <f t="shared" si="161"/>
        <v>-9.0562412378907275E-3</v>
      </c>
      <c r="R931" s="63">
        <f t="shared" si="162"/>
        <v>1.1108891108891108</v>
      </c>
      <c r="S931" s="63">
        <f t="shared" si="163"/>
        <v>-3.0686838207547588E-4</v>
      </c>
      <c r="T931" s="63">
        <f t="shared" si="164"/>
        <v>1.1105822425070353</v>
      </c>
    </row>
    <row r="932" spans="1:20" x14ac:dyDescent="0.3">
      <c r="A932" s="18" t="s">
        <v>269</v>
      </c>
      <c r="B932" s="18" t="s">
        <v>270</v>
      </c>
      <c r="C932" s="18" t="s">
        <v>206</v>
      </c>
      <c r="D932" s="18" t="s">
        <v>203</v>
      </c>
      <c r="E932" s="61">
        <v>2022</v>
      </c>
      <c r="F932" s="62">
        <v>888000000</v>
      </c>
      <c r="G932" s="62">
        <v>-338000000</v>
      </c>
      <c r="H932" s="62">
        <v>272102000</v>
      </c>
      <c r="I932" s="62">
        <v>272097000</v>
      </c>
      <c r="J932" s="62">
        <f t="shared" si="154"/>
        <v>3.2634820765742258</v>
      </c>
      <c r="K932" s="62">
        <f t="shared" si="155"/>
        <v>-1.2422040669320131</v>
      </c>
      <c r="L932" s="63">
        <f t="shared" si="156"/>
        <v>-1.3806306306306306</v>
      </c>
      <c r="M932" s="63">
        <f t="shared" si="157"/>
        <v>-1.8375462142872893E-5</v>
      </c>
      <c r="N932" s="63">
        <f t="shared" si="158"/>
        <v>-1.3806376250228993</v>
      </c>
      <c r="O932" s="62">
        <f t="shared" si="159"/>
        <v>-1.2421812408582076</v>
      </c>
      <c r="P932" s="62">
        <f t="shared" si="160"/>
        <v>-4.5056633174324334</v>
      </c>
      <c r="Q932" s="62">
        <f t="shared" si="161"/>
        <v>-2.2826073805548575E-5</v>
      </c>
      <c r="R932" s="63">
        <f t="shared" si="162"/>
        <v>-1.3806306306306306</v>
      </c>
      <c r="S932" s="63">
        <f t="shared" si="163"/>
        <v>-6.994392268735786E-6</v>
      </c>
      <c r="T932" s="63">
        <f t="shared" si="164"/>
        <v>-1.3806376250228993</v>
      </c>
    </row>
    <row r="933" spans="1:20" x14ac:dyDescent="0.3">
      <c r="A933" s="18" t="s">
        <v>269</v>
      </c>
      <c r="B933" s="18" t="s">
        <v>270</v>
      </c>
      <c r="C933" s="18" t="s">
        <v>206</v>
      </c>
      <c r="D933" s="18" t="s">
        <v>203</v>
      </c>
      <c r="E933" s="61">
        <v>2023</v>
      </c>
      <c r="F933" s="62">
        <v>-338000000</v>
      </c>
      <c r="G933" s="62">
        <v>2198000000</v>
      </c>
      <c r="H933" s="62">
        <v>272097000</v>
      </c>
      <c r="I933" s="62">
        <v>271009000</v>
      </c>
      <c r="J933" s="62">
        <f t="shared" si="154"/>
        <v>-1.2422040669320131</v>
      </c>
      <c r="K933" s="62">
        <f t="shared" si="155"/>
        <v>8.1104317568789224</v>
      </c>
      <c r="L933" s="63">
        <f t="shared" si="156"/>
        <v>7.5029585798816569</v>
      </c>
      <c r="M933" s="63">
        <f t="shared" si="157"/>
        <v>-3.998574037935001E-3</v>
      </c>
      <c r="N933" s="63">
        <f t="shared" si="158"/>
        <v>7.5290655318091249</v>
      </c>
      <c r="O933" s="62">
        <f t="shared" si="159"/>
        <v>8.0780015950194226</v>
      </c>
      <c r="P933" s="62">
        <f t="shared" si="160"/>
        <v>9.3202056619514355</v>
      </c>
      <c r="Q933" s="62">
        <f t="shared" si="161"/>
        <v>3.2430161859499762E-2</v>
      </c>
      <c r="R933" s="63">
        <f t="shared" si="162"/>
        <v>7.5029585798816569</v>
      </c>
      <c r="S933" s="63">
        <f t="shared" si="163"/>
        <v>2.6106951927468366E-2</v>
      </c>
      <c r="T933" s="63">
        <f t="shared" si="164"/>
        <v>7.5290655318091249</v>
      </c>
    </row>
    <row r="934" spans="1:20" x14ac:dyDescent="0.3">
      <c r="A934" s="18" t="s">
        <v>269</v>
      </c>
      <c r="B934" s="18" t="s">
        <v>270</v>
      </c>
      <c r="C934" s="18" t="s">
        <v>206</v>
      </c>
      <c r="D934" s="18" t="s">
        <v>203</v>
      </c>
      <c r="E934" s="61">
        <v>2024</v>
      </c>
      <c r="F934" s="62">
        <v>2198000000</v>
      </c>
      <c r="G934" s="62">
        <v>752000000</v>
      </c>
      <c r="H934" s="62">
        <v>271009000</v>
      </c>
      <c r="I934" s="62">
        <v>272374000</v>
      </c>
      <c r="J934" s="62">
        <f t="shared" si="154"/>
        <v>8.1104317568789224</v>
      </c>
      <c r="K934" s="62">
        <f t="shared" si="155"/>
        <v>2.7609096316094783</v>
      </c>
      <c r="L934" s="63">
        <f t="shared" si="156"/>
        <v>-0.65787079162875339</v>
      </c>
      <c r="M934" s="63">
        <f t="shared" si="157"/>
        <v>5.0367330974248085E-3</v>
      </c>
      <c r="N934" s="63">
        <f t="shared" si="158"/>
        <v>-0.6595853692662178</v>
      </c>
      <c r="O934" s="62">
        <f t="shared" si="159"/>
        <v>2.7748155965300048</v>
      </c>
      <c r="P934" s="62">
        <f t="shared" si="160"/>
        <v>-5.3356161603489181</v>
      </c>
      <c r="Q934" s="62">
        <f t="shared" si="161"/>
        <v>-1.3905964920526426E-2</v>
      </c>
      <c r="R934" s="63">
        <f t="shared" si="162"/>
        <v>-0.65787079162875339</v>
      </c>
      <c r="S934" s="63">
        <f t="shared" si="163"/>
        <v>-1.7145776374644889E-3</v>
      </c>
      <c r="T934" s="63">
        <f t="shared" si="164"/>
        <v>-0.65958536926621791</v>
      </c>
    </row>
    <row r="935" spans="1:20" x14ac:dyDescent="0.3">
      <c r="A935" s="18" t="s">
        <v>271</v>
      </c>
      <c r="B935" s="18" t="s">
        <v>272</v>
      </c>
      <c r="C935" s="18" t="s">
        <v>206</v>
      </c>
      <c r="D935" s="18" t="s">
        <v>203</v>
      </c>
      <c r="E935" s="61">
        <v>2016</v>
      </c>
      <c r="F935" s="62">
        <v>700000000</v>
      </c>
      <c r="G935" s="62">
        <v>637000000</v>
      </c>
      <c r="H935" s="62">
        <v>152087430</v>
      </c>
      <c r="I935" s="62">
        <v>151277059</v>
      </c>
      <c r="J935" s="62">
        <f t="shared" si="154"/>
        <v>4.6026157454301124</v>
      </c>
      <c r="K935" s="62">
        <f t="shared" si="155"/>
        <v>4.2108169223464342</v>
      </c>
      <c r="L935" s="63">
        <f t="shared" si="156"/>
        <v>-0.09</v>
      </c>
      <c r="M935" s="63">
        <f t="shared" si="157"/>
        <v>-5.3283233203427795E-3</v>
      </c>
      <c r="N935" s="63">
        <f t="shared" si="158"/>
        <v>-8.5125251542601837E-2</v>
      </c>
      <c r="O935" s="62">
        <f t="shared" si="159"/>
        <v>4.1883803283414016</v>
      </c>
      <c r="P935" s="62">
        <f t="shared" si="160"/>
        <v>-0.41423541708871081</v>
      </c>
      <c r="Q935" s="62">
        <f t="shared" si="161"/>
        <v>2.2436594005032617E-2</v>
      </c>
      <c r="R935" s="63">
        <f t="shared" si="162"/>
        <v>-9.0000000000000149E-2</v>
      </c>
      <c r="S935" s="63">
        <f t="shared" si="163"/>
        <v>4.874748457398311E-3</v>
      </c>
      <c r="T935" s="63">
        <f t="shared" si="164"/>
        <v>-8.5125251542601837E-2</v>
      </c>
    </row>
    <row r="936" spans="1:20" x14ac:dyDescent="0.3">
      <c r="A936" s="18" t="s">
        <v>271</v>
      </c>
      <c r="B936" s="18" t="s">
        <v>272</v>
      </c>
      <c r="C936" s="18" t="s">
        <v>206</v>
      </c>
      <c r="D936" s="18" t="s">
        <v>203</v>
      </c>
      <c r="E936" s="61">
        <v>2017</v>
      </c>
      <c r="F936" s="62">
        <v>637000000</v>
      </c>
      <c r="G936" s="62">
        <v>723000000</v>
      </c>
      <c r="H936" s="62">
        <v>151277059</v>
      </c>
      <c r="I936" s="62">
        <v>148998961</v>
      </c>
      <c r="J936" s="62">
        <f t="shared" si="154"/>
        <v>4.2108169223464342</v>
      </c>
      <c r="K936" s="62">
        <f t="shared" si="155"/>
        <v>4.852382829703088</v>
      </c>
      <c r="L936" s="63">
        <f t="shared" si="156"/>
        <v>0.13500784929356358</v>
      </c>
      <c r="M936" s="63">
        <f t="shared" si="157"/>
        <v>-1.5059110846410624E-2</v>
      </c>
      <c r="N936" s="63">
        <f t="shared" si="158"/>
        <v>0.15236138715789804</v>
      </c>
      <c r="O936" s="62">
        <f t="shared" si="159"/>
        <v>4.7793102588013694</v>
      </c>
      <c r="P936" s="62">
        <f t="shared" si="160"/>
        <v>0.56849333645493516</v>
      </c>
      <c r="Q936" s="62">
        <f t="shared" si="161"/>
        <v>7.3072570901718592E-2</v>
      </c>
      <c r="R936" s="63">
        <f t="shared" si="162"/>
        <v>0.13500784929356371</v>
      </c>
      <c r="S936" s="63">
        <f t="shared" si="163"/>
        <v>1.7353537864334329E-2</v>
      </c>
      <c r="T936" s="63">
        <f t="shared" si="164"/>
        <v>0.15236138715789804</v>
      </c>
    </row>
    <row r="937" spans="1:20" x14ac:dyDescent="0.3">
      <c r="A937" s="18" t="s">
        <v>271</v>
      </c>
      <c r="B937" s="18" t="s">
        <v>272</v>
      </c>
      <c r="C937" s="18" t="s">
        <v>206</v>
      </c>
      <c r="D937" s="18" t="s">
        <v>203</v>
      </c>
      <c r="E937" s="61">
        <v>2018</v>
      </c>
      <c r="F937" s="62">
        <v>723000000</v>
      </c>
      <c r="G937" s="62">
        <v>651000000</v>
      </c>
      <c r="H937" s="62">
        <v>148998961</v>
      </c>
      <c r="I937" s="62">
        <v>148077776</v>
      </c>
      <c r="J937" s="62">
        <f t="shared" si="154"/>
        <v>4.852382829703088</v>
      </c>
      <c r="K937" s="62">
        <f t="shared" si="155"/>
        <v>4.396338313454951</v>
      </c>
      <c r="L937" s="63">
        <f t="shared" si="156"/>
        <v>-9.9585062240663894E-2</v>
      </c>
      <c r="M937" s="63">
        <f t="shared" si="157"/>
        <v>-6.1824927759060013E-3</v>
      </c>
      <c r="N937" s="63">
        <f t="shared" si="158"/>
        <v>-9.3983622532116229E-2</v>
      </c>
      <c r="O937" s="62">
        <f t="shared" si="159"/>
        <v>4.3691579835915766</v>
      </c>
      <c r="P937" s="62">
        <f t="shared" si="160"/>
        <v>-0.4832248461115114</v>
      </c>
      <c r="Q937" s="62">
        <f t="shared" si="161"/>
        <v>2.7180329863374375E-2</v>
      </c>
      <c r="R937" s="63">
        <f t="shared" si="162"/>
        <v>-9.9585062240664018E-2</v>
      </c>
      <c r="S937" s="63">
        <f t="shared" si="163"/>
        <v>5.6014397085477922E-3</v>
      </c>
      <c r="T937" s="63">
        <f t="shared" si="164"/>
        <v>-9.3983622532116229E-2</v>
      </c>
    </row>
    <row r="938" spans="1:20" x14ac:dyDescent="0.3">
      <c r="A938" s="18" t="s">
        <v>271</v>
      </c>
      <c r="B938" s="18" t="s">
        <v>272</v>
      </c>
      <c r="C938" s="18" t="s">
        <v>206</v>
      </c>
      <c r="D938" s="18" t="s">
        <v>203</v>
      </c>
      <c r="E938" s="61">
        <v>2019</v>
      </c>
      <c r="F938" s="62">
        <v>651000000</v>
      </c>
      <c r="G938" s="62">
        <v>665000000</v>
      </c>
      <c r="H938" s="62">
        <v>148077776</v>
      </c>
      <c r="I938" s="62">
        <v>145721534</v>
      </c>
      <c r="J938" s="62">
        <f t="shared" si="154"/>
        <v>4.396338313454951</v>
      </c>
      <c r="K938" s="62">
        <f t="shared" si="155"/>
        <v>4.5634984874644537</v>
      </c>
      <c r="L938" s="63">
        <f t="shared" si="156"/>
        <v>2.1505376344086023E-2</v>
      </c>
      <c r="M938" s="63">
        <f t="shared" si="157"/>
        <v>-1.5912191982137818E-2</v>
      </c>
      <c r="N938" s="63">
        <f t="shared" si="158"/>
        <v>3.8022591095391974E-2</v>
      </c>
      <c r="O938" s="62">
        <f t="shared" si="159"/>
        <v>4.490883223421724</v>
      </c>
      <c r="P938" s="62">
        <f t="shared" si="160"/>
        <v>9.4544909966773005E-2</v>
      </c>
      <c r="Q938" s="62">
        <f t="shared" si="161"/>
        <v>7.2615264042729777E-2</v>
      </c>
      <c r="R938" s="63">
        <f t="shared" si="162"/>
        <v>2.1505376344085992E-2</v>
      </c>
      <c r="S938" s="63">
        <f t="shared" si="163"/>
        <v>1.6517214751305982E-2</v>
      </c>
      <c r="T938" s="63">
        <f t="shared" si="164"/>
        <v>3.8022591095391974E-2</v>
      </c>
    </row>
    <row r="939" spans="1:20" x14ac:dyDescent="0.3">
      <c r="A939" s="18" t="s">
        <v>271</v>
      </c>
      <c r="B939" s="18" t="s">
        <v>272</v>
      </c>
      <c r="C939" s="18" t="s">
        <v>206</v>
      </c>
      <c r="D939" s="18" t="s">
        <v>203</v>
      </c>
      <c r="E939" s="61">
        <v>2020</v>
      </c>
      <c r="F939" s="62">
        <v>665000000</v>
      </c>
      <c r="G939" s="62">
        <v>-319000000</v>
      </c>
      <c r="H939" s="62">
        <v>145721534</v>
      </c>
      <c r="I939" s="62">
        <v>145778963</v>
      </c>
      <c r="J939" s="62">
        <f t="shared" si="154"/>
        <v>4.5634984874644537</v>
      </c>
      <c r="K939" s="62">
        <f t="shared" si="155"/>
        <v>-2.1882444039610847</v>
      </c>
      <c r="L939" s="63">
        <f t="shared" si="156"/>
        <v>-1.4796992481203008</v>
      </c>
      <c r="M939" s="63">
        <f t="shared" si="157"/>
        <v>3.9410098441593401E-4</v>
      </c>
      <c r="N939" s="63">
        <f t="shared" si="158"/>
        <v>-1.4795102726498119</v>
      </c>
      <c r="O939" s="62">
        <f t="shared" si="159"/>
        <v>-2.1891067932348283</v>
      </c>
      <c r="P939" s="62">
        <f t="shared" si="160"/>
        <v>-6.7526052806992816</v>
      </c>
      <c r="Q939" s="62">
        <f t="shared" si="161"/>
        <v>8.623892737436023E-4</v>
      </c>
      <c r="R939" s="63">
        <f t="shared" si="162"/>
        <v>-1.4796992481203006</v>
      </c>
      <c r="S939" s="63">
        <f t="shared" si="163"/>
        <v>1.8897547048881753E-4</v>
      </c>
      <c r="T939" s="63">
        <f t="shared" si="164"/>
        <v>-1.4795102726498117</v>
      </c>
    </row>
    <row r="940" spans="1:20" x14ac:dyDescent="0.3">
      <c r="A940" s="18" t="s">
        <v>271</v>
      </c>
      <c r="B940" s="18" t="s">
        <v>272</v>
      </c>
      <c r="C940" s="18" t="s">
        <v>206</v>
      </c>
      <c r="D940" s="18" t="s">
        <v>203</v>
      </c>
      <c r="E940" s="61">
        <v>2021</v>
      </c>
      <c r="F940" s="62">
        <v>-319000000</v>
      </c>
      <c r="G940" s="62">
        <v>139000000</v>
      </c>
      <c r="H940" s="62">
        <v>145778963</v>
      </c>
      <c r="I940" s="62">
        <v>146004484</v>
      </c>
      <c r="J940" s="62">
        <f t="shared" si="154"/>
        <v>-2.1882444039610847</v>
      </c>
      <c r="K940" s="62">
        <f t="shared" si="155"/>
        <v>0.95202555559868973</v>
      </c>
      <c r="L940" s="63">
        <f t="shared" si="156"/>
        <v>1.4357366771159874</v>
      </c>
      <c r="M940" s="63">
        <f t="shared" si="157"/>
        <v>1.5470064771965759E-3</v>
      </c>
      <c r="N940" s="63">
        <f t="shared" si="158"/>
        <v>1.4350636308610527</v>
      </c>
      <c r="O940" s="62">
        <f t="shared" si="159"/>
        <v>0.95349834529965749</v>
      </c>
      <c r="P940" s="62">
        <f t="shared" si="160"/>
        <v>3.1417427492607422</v>
      </c>
      <c r="Q940" s="62">
        <f t="shared" si="161"/>
        <v>-1.4727897009677582E-3</v>
      </c>
      <c r="R940" s="63">
        <f t="shared" si="162"/>
        <v>1.4357366771159874</v>
      </c>
      <c r="S940" s="63">
        <f t="shared" si="163"/>
        <v>-6.7304625493467044E-4</v>
      </c>
      <c r="T940" s="63">
        <f t="shared" si="164"/>
        <v>1.4350636308610527</v>
      </c>
    </row>
    <row r="941" spans="1:20" x14ac:dyDescent="0.3">
      <c r="A941" s="18" t="s">
        <v>271</v>
      </c>
      <c r="B941" s="18" t="s">
        <v>272</v>
      </c>
      <c r="C941" s="18" t="s">
        <v>206</v>
      </c>
      <c r="D941" s="18" t="s">
        <v>203</v>
      </c>
      <c r="E941" s="61">
        <v>2022</v>
      </c>
      <c r="F941" s="62">
        <v>139000000</v>
      </c>
      <c r="G941" s="62">
        <v>695000000</v>
      </c>
      <c r="H941" s="62">
        <v>146004484</v>
      </c>
      <c r="I941" s="62">
        <v>146295576</v>
      </c>
      <c r="J941" s="62">
        <f t="shared" si="154"/>
        <v>0.95202555559868973</v>
      </c>
      <c r="K941" s="62">
        <f t="shared" si="155"/>
        <v>4.7506563014591778</v>
      </c>
      <c r="L941" s="63">
        <f t="shared" si="156"/>
        <v>4</v>
      </c>
      <c r="M941" s="63">
        <f t="shared" si="157"/>
        <v>1.9937195901462861E-3</v>
      </c>
      <c r="N941" s="63">
        <f t="shared" si="158"/>
        <v>3.990051237092775</v>
      </c>
      <c r="O941" s="62">
        <f t="shared" si="159"/>
        <v>4.7601277779934481</v>
      </c>
      <c r="P941" s="62">
        <f t="shared" si="160"/>
        <v>3.8081022223947585</v>
      </c>
      <c r="Q941" s="62">
        <f t="shared" si="161"/>
        <v>-9.4714765342702734E-3</v>
      </c>
      <c r="R941" s="63">
        <f t="shared" si="162"/>
        <v>3.9999999999999996</v>
      </c>
      <c r="S941" s="63">
        <f t="shared" si="163"/>
        <v>-9.9487629072247449E-3</v>
      </c>
      <c r="T941" s="63">
        <f t="shared" si="164"/>
        <v>3.990051237092775</v>
      </c>
    </row>
    <row r="942" spans="1:20" x14ac:dyDescent="0.3">
      <c r="A942" s="18" t="s">
        <v>271</v>
      </c>
      <c r="B942" s="18" t="s">
        <v>272</v>
      </c>
      <c r="C942" s="18" t="s">
        <v>206</v>
      </c>
      <c r="D942" s="18" t="s">
        <v>203</v>
      </c>
      <c r="E942" s="61">
        <v>2023</v>
      </c>
      <c r="F942" s="62">
        <v>695000000</v>
      </c>
      <c r="G942" s="62">
        <v>794000000</v>
      </c>
      <c r="H942" s="62">
        <v>146295576</v>
      </c>
      <c r="I942" s="62">
        <v>146127620</v>
      </c>
      <c r="J942" s="62">
        <f t="shared" si="154"/>
        <v>4.7506563014591778</v>
      </c>
      <c r="K942" s="62">
        <f t="shared" si="155"/>
        <v>5.4336065967542622</v>
      </c>
      <c r="L942" s="63">
        <f t="shared" si="156"/>
        <v>0.14244604316546763</v>
      </c>
      <c r="M942" s="63">
        <f t="shared" si="157"/>
        <v>-1.1480593234070181E-3</v>
      </c>
      <c r="N942" s="63">
        <f t="shared" si="158"/>
        <v>0.14375914651735891</v>
      </c>
      <c r="O942" s="62">
        <f t="shared" si="159"/>
        <v>5.427368494041132</v>
      </c>
      <c r="P942" s="62">
        <f t="shared" si="160"/>
        <v>0.67671219258195414</v>
      </c>
      <c r="Q942" s="62">
        <f t="shared" si="161"/>
        <v>6.2381027131301892E-3</v>
      </c>
      <c r="R942" s="63">
        <f t="shared" si="162"/>
        <v>0.1424460431654675</v>
      </c>
      <c r="S942" s="63">
        <f t="shared" si="163"/>
        <v>1.3131033518914298E-3</v>
      </c>
      <c r="T942" s="63">
        <f t="shared" si="164"/>
        <v>0.14375914651735894</v>
      </c>
    </row>
    <row r="943" spans="1:20" x14ac:dyDescent="0.3">
      <c r="A943" s="18" t="s">
        <v>271</v>
      </c>
      <c r="B943" s="18" t="s">
        <v>272</v>
      </c>
      <c r="C943" s="18" t="s">
        <v>206</v>
      </c>
      <c r="D943" s="18" t="s">
        <v>203</v>
      </c>
      <c r="E943" s="61">
        <v>2024</v>
      </c>
      <c r="F943" s="62">
        <v>794000000</v>
      </c>
      <c r="G943" s="62">
        <v>168000000</v>
      </c>
      <c r="H943" s="62">
        <v>146127620</v>
      </c>
      <c r="I943" s="62">
        <v>146451943</v>
      </c>
      <c r="J943" s="62">
        <f t="shared" si="154"/>
        <v>5.4336065967542622</v>
      </c>
      <c r="K943" s="62">
        <f t="shared" si="155"/>
        <v>1.1471339782770926</v>
      </c>
      <c r="L943" s="63">
        <f t="shared" si="156"/>
        <v>-0.78841309823677586</v>
      </c>
      <c r="M943" s="63">
        <f t="shared" si="157"/>
        <v>2.2194503681097384E-3</v>
      </c>
      <c r="N943" s="63">
        <f t="shared" si="158"/>
        <v>-0.7888816649033209</v>
      </c>
      <c r="O943" s="62">
        <f t="shared" si="159"/>
        <v>1.1496799852074508</v>
      </c>
      <c r="P943" s="62">
        <f t="shared" si="160"/>
        <v>-4.2839266115468115</v>
      </c>
      <c r="Q943" s="62">
        <f t="shared" si="161"/>
        <v>-2.5460069303582245E-3</v>
      </c>
      <c r="R943" s="63">
        <f t="shared" si="162"/>
        <v>-0.78841309823677586</v>
      </c>
      <c r="S943" s="63">
        <f t="shared" si="163"/>
        <v>-4.6856666654502904E-4</v>
      </c>
      <c r="T943" s="63">
        <f t="shared" si="164"/>
        <v>-0.7888816649033209</v>
      </c>
    </row>
    <row r="944" spans="1:20" x14ac:dyDescent="0.3">
      <c r="A944" s="18" t="s">
        <v>273</v>
      </c>
      <c r="B944" s="18" t="s">
        <v>274</v>
      </c>
      <c r="C944" s="18" t="s">
        <v>206</v>
      </c>
      <c r="D944" s="18" t="s">
        <v>203</v>
      </c>
      <c r="E944" s="61">
        <v>2016</v>
      </c>
      <c r="F944" s="62">
        <v>980000000</v>
      </c>
      <c r="G944" s="62">
        <v>746000000</v>
      </c>
      <c r="H944" s="62">
        <v>723322791</v>
      </c>
      <c r="I944" s="62">
        <v>740030536</v>
      </c>
      <c r="J944" s="62">
        <f t="shared" si="154"/>
        <v>1.3548584562711505</v>
      </c>
      <c r="K944" s="62">
        <f t="shared" si="155"/>
        <v>1.0080665103797826</v>
      </c>
      <c r="L944" s="63">
        <f t="shared" si="156"/>
        <v>-0.23877551020408164</v>
      </c>
      <c r="M944" s="63">
        <f t="shared" si="157"/>
        <v>2.309860163109391E-2</v>
      </c>
      <c r="N944" s="63">
        <f t="shared" si="158"/>
        <v>-0.25596175326374004</v>
      </c>
      <c r="O944" s="62">
        <f t="shared" si="159"/>
        <v>1.031351437120692</v>
      </c>
      <c r="P944" s="62">
        <f t="shared" si="160"/>
        <v>-0.32350701915045854</v>
      </c>
      <c r="Q944" s="62">
        <f t="shared" si="161"/>
        <v>-2.3284926740909428E-2</v>
      </c>
      <c r="R944" s="63">
        <f t="shared" si="162"/>
        <v>-0.23877551020408175</v>
      </c>
      <c r="S944" s="63">
        <f t="shared" si="163"/>
        <v>-1.7186243059658306E-2</v>
      </c>
      <c r="T944" s="63">
        <f t="shared" si="164"/>
        <v>-0.25596175326374004</v>
      </c>
    </row>
    <row r="945" spans="1:20" x14ac:dyDescent="0.3">
      <c r="A945" s="18" t="s">
        <v>273</v>
      </c>
      <c r="B945" s="18" t="s">
        <v>274</v>
      </c>
      <c r="C945" s="18" t="s">
        <v>206</v>
      </c>
      <c r="D945" s="18" t="s">
        <v>203</v>
      </c>
      <c r="E945" s="61">
        <v>2017</v>
      </c>
      <c r="F945" s="62">
        <v>746000000</v>
      </c>
      <c r="G945" s="62">
        <v>-254000000</v>
      </c>
      <c r="H945" s="62">
        <v>740030536</v>
      </c>
      <c r="I945" s="62">
        <v>747061020</v>
      </c>
      <c r="J945" s="62">
        <f t="shared" si="154"/>
        <v>1.0080665103797826</v>
      </c>
      <c r="K945" s="62">
        <f t="shared" si="155"/>
        <v>-0.33999900034939584</v>
      </c>
      <c r="L945" s="63">
        <f t="shared" si="156"/>
        <v>-1.3404825737265416</v>
      </c>
      <c r="M945" s="63">
        <f t="shared" si="157"/>
        <v>9.5002620270253288E-3</v>
      </c>
      <c r="N945" s="63">
        <f t="shared" si="158"/>
        <v>-1.3372783411099565</v>
      </c>
      <c r="O945" s="62">
        <f t="shared" si="159"/>
        <v>-0.34322907994164176</v>
      </c>
      <c r="P945" s="62">
        <f t="shared" si="160"/>
        <v>-1.3512955903214243</v>
      </c>
      <c r="Q945" s="62">
        <f t="shared" si="161"/>
        <v>3.2300795922459158E-3</v>
      </c>
      <c r="R945" s="63">
        <f t="shared" si="162"/>
        <v>-1.3404825737265416</v>
      </c>
      <c r="S945" s="63">
        <f t="shared" si="163"/>
        <v>3.2042326165849949E-3</v>
      </c>
      <c r="T945" s="63">
        <f t="shared" si="164"/>
        <v>-1.3372783411099565</v>
      </c>
    </row>
    <row r="946" spans="1:20" x14ac:dyDescent="0.3">
      <c r="A946" s="18" t="s">
        <v>273</v>
      </c>
      <c r="B946" s="18" t="s">
        <v>274</v>
      </c>
      <c r="C946" s="18" t="s">
        <v>206</v>
      </c>
      <c r="D946" s="18" t="s">
        <v>203</v>
      </c>
      <c r="E946" s="61">
        <v>2018</v>
      </c>
      <c r="F946" s="62">
        <v>-254000000</v>
      </c>
      <c r="G946" s="62">
        <v>-188000000</v>
      </c>
      <c r="H946" s="62">
        <v>747061020</v>
      </c>
      <c r="I946" s="62">
        <v>775059936</v>
      </c>
      <c r="J946" s="62">
        <f t="shared" si="154"/>
        <v>-0.33999900034939584</v>
      </c>
      <c r="K946" s="62">
        <f t="shared" si="155"/>
        <v>-0.24256188620746874</v>
      </c>
      <c r="L946" s="63">
        <f t="shared" si="156"/>
        <v>0.25984251968503935</v>
      </c>
      <c r="M946" s="63">
        <f t="shared" si="157"/>
        <v>3.7478753743569702E-2</v>
      </c>
      <c r="N946" s="63">
        <f t="shared" si="158"/>
        <v>0.28658059006584441</v>
      </c>
      <c r="O946" s="62">
        <f t="shared" si="159"/>
        <v>-0.25165280340821422</v>
      </c>
      <c r="P946" s="62">
        <f t="shared" si="160"/>
        <v>8.8346196941181621E-2</v>
      </c>
      <c r="Q946" s="62">
        <f t="shared" si="161"/>
        <v>9.0909172007454797E-3</v>
      </c>
      <c r="R946" s="63">
        <f t="shared" si="162"/>
        <v>0.25984251968503946</v>
      </c>
      <c r="S946" s="63">
        <f t="shared" si="163"/>
        <v>2.673807038080497E-2</v>
      </c>
      <c r="T946" s="63">
        <f t="shared" si="164"/>
        <v>0.28658059006584441</v>
      </c>
    </row>
    <row r="947" spans="1:20" x14ac:dyDescent="0.3">
      <c r="A947" s="18" t="s">
        <v>273</v>
      </c>
      <c r="B947" s="18" t="s">
        <v>274</v>
      </c>
      <c r="C947" s="18" t="s">
        <v>206</v>
      </c>
      <c r="D947" s="18" t="s">
        <v>203</v>
      </c>
      <c r="E947" s="61">
        <v>2019</v>
      </c>
      <c r="F947" s="62">
        <v>-188000000</v>
      </c>
      <c r="G947" s="62">
        <v>1129000000</v>
      </c>
      <c r="H947" s="62">
        <v>775059936</v>
      </c>
      <c r="I947" s="62">
        <v>790674090</v>
      </c>
      <c r="J947" s="62">
        <f t="shared" si="154"/>
        <v>-0.24256188620746874</v>
      </c>
      <c r="K947" s="62">
        <f t="shared" si="155"/>
        <v>1.4278955315204525</v>
      </c>
      <c r="L947" s="63">
        <f t="shared" si="156"/>
        <v>7.0053191489361701</v>
      </c>
      <c r="M947" s="63">
        <f t="shared" si="157"/>
        <v>2.0145737477520707E-2</v>
      </c>
      <c r="N947" s="63">
        <f t="shared" si="158"/>
        <v>6.886726698270893</v>
      </c>
      <c r="O947" s="62">
        <f t="shared" si="159"/>
        <v>1.4566615400437883</v>
      </c>
      <c r="P947" s="62">
        <f t="shared" si="160"/>
        <v>1.6992234262512571</v>
      </c>
      <c r="Q947" s="62">
        <f t="shared" si="161"/>
        <v>-2.8766008523335884E-2</v>
      </c>
      <c r="R947" s="63">
        <f t="shared" si="162"/>
        <v>7.0053191489361701</v>
      </c>
      <c r="S947" s="63">
        <f t="shared" si="163"/>
        <v>-0.11859245066527747</v>
      </c>
      <c r="T947" s="63">
        <f t="shared" si="164"/>
        <v>6.886726698270893</v>
      </c>
    </row>
    <row r="948" spans="1:20" x14ac:dyDescent="0.3">
      <c r="A948" s="18" t="s">
        <v>273</v>
      </c>
      <c r="B948" s="18" t="s">
        <v>274</v>
      </c>
      <c r="C948" s="18" t="s">
        <v>206</v>
      </c>
      <c r="D948" s="18" t="s">
        <v>203</v>
      </c>
      <c r="E948" s="61">
        <v>2020</v>
      </c>
      <c r="F948" s="62">
        <v>1129000000</v>
      </c>
      <c r="G948" s="62">
        <v>641000000</v>
      </c>
      <c r="H948" s="62">
        <v>790674090</v>
      </c>
      <c r="I948" s="62">
        <v>805713713</v>
      </c>
      <c r="J948" s="62">
        <f t="shared" si="154"/>
        <v>1.4278955315204525</v>
      </c>
      <c r="K948" s="62">
        <f t="shared" si="155"/>
        <v>0.79556794138863063</v>
      </c>
      <c r="L948" s="63">
        <f t="shared" si="156"/>
        <v>-0.43224092116917628</v>
      </c>
      <c r="M948" s="63">
        <f t="shared" si="157"/>
        <v>1.9021267030515696E-2</v>
      </c>
      <c r="N948" s="63">
        <f t="shared" si="158"/>
        <v>-0.44283883251494349</v>
      </c>
      <c r="O948" s="62">
        <f t="shared" si="159"/>
        <v>0.81070065164270144</v>
      </c>
      <c r="P948" s="62">
        <f t="shared" si="160"/>
        <v>-0.61719487987775101</v>
      </c>
      <c r="Q948" s="62">
        <f t="shared" si="161"/>
        <v>-1.5132710254070814E-2</v>
      </c>
      <c r="R948" s="63">
        <f t="shared" si="162"/>
        <v>-0.43224092116917634</v>
      </c>
      <c r="S948" s="63">
        <f t="shared" si="163"/>
        <v>-1.0597911345767147E-2</v>
      </c>
      <c r="T948" s="63">
        <f t="shared" si="164"/>
        <v>-0.44283883251494349</v>
      </c>
    </row>
    <row r="949" spans="1:20" x14ac:dyDescent="0.3">
      <c r="A949" s="18" t="s">
        <v>273</v>
      </c>
      <c r="B949" s="18" t="s">
        <v>274</v>
      </c>
      <c r="C949" s="18" t="s">
        <v>206</v>
      </c>
      <c r="D949" s="18" t="s">
        <v>203</v>
      </c>
      <c r="E949" s="61">
        <v>2021</v>
      </c>
      <c r="F949" s="62">
        <v>641000000</v>
      </c>
      <c r="G949" s="62">
        <v>1072000000</v>
      </c>
      <c r="H949" s="62">
        <v>805713713</v>
      </c>
      <c r="I949" s="62">
        <v>786946494</v>
      </c>
      <c r="J949" s="62">
        <f t="shared" si="154"/>
        <v>0.79556794138863063</v>
      </c>
      <c r="K949" s="62">
        <f t="shared" si="155"/>
        <v>1.3622273028387111</v>
      </c>
      <c r="L949" s="63">
        <f t="shared" si="156"/>
        <v>0.67238689547581898</v>
      </c>
      <c r="M949" s="63">
        <f t="shared" si="157"/>
        <v>-2.3292664251824642E-2</v>
      </c>
      <c r="N949" s="63">
        <f t="shared" si="158"/>
        <v>0.71227023107668241</v>
      </c>
      <c r="O949" s="62">
        <f t="shared" si="159"/>
        <v>1.3304973996390204</v>
      </c>
      <c r="P949" s="62">
        <f t="shared" si="160"/>
        <v>0.53492945825038973</v>
      </c>
      <c r="Q949" s="62">
        <f t="shared" si="161"/>
        <v>3.1729903199690712E-2</v>
      </c>
      <c r="R949" s="63">
        <f t="shared" si="162"/>
        <v>0.67238689547581909</v>
      </c>
      <c r="S949" s="63">
        <f t="shared" si="163"/>
        <v>3.9883335600863316E-2</v>
      </c>
      <c r="T949" s="63">
        <f t="shared" si="164"/>
        <v>0.71227023107668241</v>
      </c>
    </row>
    <row r="950" spans="1:20" x14ac:dyDescent="0.3">
      <c r="A950" s="18" t="s">
        <v>273</v>
      </c>
      <c r="B950" s="18" t="s">
        <v>274</v>
      </c>
      <c r="C950" s="18" t="s">
        <v>206</v>
      </c>
      <c r="D950" s="18" t="s">
        <v>203</v>
      </c>
      <c r="E950" s="61">
        <v>2022</v>
      </c>
      <c r="F950" s="62">
        <v>1072000000</v>
      </c>
      <c r="G950" s="62">
        <v>1348000000</v>
      </c>
      <c r="H950" s="62">
        <v>786946494</v>
      </c>
      <c r="I950" s="62">
        <v>741377552</v>
      </c>
      <c r="J950" s="62">
        <f t="shared" si="154"/>
        <v>1.3622273028387111</v>
      </c>
      <c r="K950" s="62">
        <f t="shared" si="155"/>
        <v>1.8182368704899767</v>
      </c>
      <c r="L950" s="63">
        <f t="shared" si="156"/>
        <v>0.2574626865671642</v>
      </c>
      <c r="M950" s="63">
        <f t="shared" si="157"/>
        <v>-5.7906023277867223E-2</v>
      </c>
      <c r="N950" s="63">
        <f t="shared" si="158"/>
        <v>0.33475292023658521</v>
      </c>
      <c r="O950" s="62">
        <f t="shared" si="159"/>
        <v>1.7129500039427077</v>
      </c>
      <c r="P950" s="62">
        <f t="shared" si="160"/>
        <v>0.35072270110399661</v>
      </c>
      <c r="Q950" s="62">
        <f t="shared" si="161"/>
        <v>0.10528686654726904</v>
      </c>
      <c r="R950" s="63">
        <f t="shared" si="162"/>
        <v>0.25746268656716426</v>
      </c>
      <c r="S950" s="63">
        <f t="shared" si="163"/>
        <v>7.7290233669420949E-2</v>
      </c>
      <c r="T950" s="63">
        <f t="shared" si="164"/>
        <v>0.33475292023658521</v>
      </c>
    </row>
    <row r="951" spans="1:20" x14ac:dyDescent="0.3">
      <c r="A951" s="18" t="s">
        <v>273</v>
      </c>
      <c r="B951" s="18" t="s">
        <v>274</v>
      </c>
      <c r="C951" s="18" t="s">
        <v>206</v>
      </c>
      <c r="D951" s="18" t="s">
        <v>203</v>
      </c>
      <c r="E951" s="61">
        <v>2023</v>
      </c>
      <c r="F951" s="62">
        <v>1348000000</v>
      </c>
      <c r="G951" s="62">
        <v>1659000000</v>
      </c>
      <c r="H951" s="62">
        <v>741377552</v>
      </c>
      <c r="I951" s="62">
        <v>714170185</v>
      </c>
      <c r="J951" s="62">
        <f t="shared" si="154"/>
        <v>1.8182368704899767</v>
      </c>
      <c r="K951" s="62">
        <f t="shared" si="155"/>
        <v>2.3229757204159958</v>
      </c>
      <c r="L951" s="63">
        <f t="shared" si="156"/>
        <v>0.23071216617210683</v>
      </c>
      <c r="M951" s="63">
        <f t="shared" si="157"/>
        <v>-3.6698396015098118E-2</v>
      </c>
      <c r="N951" s="63">
        <f t="shared" si="158"/>
        <v>0.27759796213460486</v>
      </c>
      <c r="O951" s="62">
        <f t="shared" si="159"/>
        <v>2.2377262374947118</v>
      </c>
      <c r="P951" s="62">
        <f t="shared" si="160"/>
        <v>0.41948936700473505</v>
      </c>
      <c r="Q951" s="62">
        <f t="shared" si="161"/>
        <v>8.5249482921283981E-2</v>
      </c>
      <c r="R951" s="63">
        <f t="shared" si="162"/>
        <v>0.23071216617210685</v>
      </c>
      <c r="S951" s="63">
        <f t="shared" si="163"/>
        <v>4.688579596249802E-2</v>
      </c>
      <c r="T951" s="63">
        <f t="shared" si="164"/>
        <v>0.27759796213460486</v>
      </c>
    </row>
    <row r="952" spans="1:20" x14ac:dyDescent="0.3">
      <c r="A952" s="18" t="s">
        <v>273</v>
      </c>
      <c r="B952" s="18" t="s">
        <v>274</v>
      </c>
      <c r="C952" s="18" t="s">
        <v>206</v>
      </c>
      <c r="D952" s="18" t="s">
        <v>203</v>
      </c>
      <c r="E952" s="61">
        <v>2024</v>
      </c>
      <c r="F952" s="62">
        <v>1659000000</v>
      </c>
      <c r="G952" s="62">
        <v>723000000</v>
      </c>
      <c r="H952" s="62">
        <v>714170185</v>
      </c>
      <c r="I952" s="62">
        <v>669712548</v>
      </c>
      <c r="J952" s="62">
        <f t="shared" si="154"/>
        <v>2.3229757204159958</v>
      </c>
      <c r="K952" s="62">
        <f t="shared" si="155"/>
        <v>1.0795676475812426</v>
      </c>
      <c r="L952" s="63">
        <f t="shared" si="156"/>
        <v>-0.56419529837251359</v>
      </c>
      <c r="M952" s="63">
        <f t="shared" si="157"/>
        <v>-6.2250760300221718E-2</v>
      </c>
      <c r="N952" s="63">
        <f t="shared" si="158"/>
        <v>-0.53526520398245281</v>
      </c>
      <c r="O952" s="62">
        <f t="shared" si="159"/>
        <v>1.0123637407237884</v>
      </c>
      <c r="P952" s="62">
        <f t="shared" si="160"/>
        <v>-1.3106119796922073</v>
      </c>
      <c r="Q952" s="62">
        <f t="shared" si="161"/>
        <v>6.7203906857454143E-2</v>
      </c>
      <c r="R952" s="63">
        <f t="shared" si="162"/>
        <v>-0.56419529837251359</v>
      </c>
      <c r="S952" s="63">
        <f t="shared" si="163"/>
        <v>2.8930094390060758E-2</v>
      </c>
      <c r="T952" s="63">
        <f t="shared" si="164"/>
        <v>-0.53526520398245281</v>
      </c>
    </row>
    <row r="953" spans="1:20" x14ac:dyDescent="0.3">
      <c r="A953" s="18" t="s">
        <v>275</v>
      </c>
      <c r="B953" s="18" t="s">
        <v>276</v>
      </c>
      <c r="C953" s="18" t="s">
        <v>206</v>
      </c>
      <c r="D953" s="18" t="s">
        <v>203</v>
      </c>
      <c r="E953" s="61">
        <v>2016</v>
      </c>
      <c r="F953" s="62">
        <v>177000000</v>
      </c>
      <c r="G953" s="62">
        <v>180000000</v>
      </c>
      <c r="H953" s="62">
        <v>227773000</v>
      </c>
      <c r="I953" s="62">
        <v>230113056</v>
      </c>
      <c r="J953" s="62">
        <f t="shared" si="154"/>
        <v>0.77708947065718936</v>
      </c>
      <c r="K953" s="62">
        <f t="shared" si="155"/>
        <v>0.78222419504958463</v>
      </c>
      <c r="L953" s="63">
        <f t="shared" si="156"/>
        <v>1.6949152542372881E-2</v>
      </c>
      <c r="M953" s="63">
        <f t="shared" si="157"/>
        <v>1.0273632081063164E-2</v>
      </c>
      <c r="N953" s="63">
        <f t="shared" si="158"/>
        <v>6.6076360397121251E-3</v>
      </c>
      <c r="O953" s="62">
        <f t="shared" si="159"/>
        <v>0.79026047863442994</v>
      </c>
      <c r="P953" s="62">
        <f t="shared" si="160"/>
        <v>1.3171007977240579E-2</v>
      </c>
      <c r="Q953" s="62">
        <f t="shared" si="161"/>
        <v>-8.0362835848453162E-3</v>
      </c>
      <c r="R953" s="63">
        <f t="shared" si="162"/>
        <v>1.6949152542372985E-2</v>
      </c>
      <c r="S953" s="63">
        <f t="shared" si="163"/>
        <v>-1.0341516502660861E-2</v>
      </c>
      <c r="T953" s="63">
        <f t="shared" si="164"/>
        <v>6.6076360397121243E-3</v>
      </c>
    </row>
    <row r="954" spans="1:20" x14ac:dyDescent="0.3">
      <c r="A954" s="18" t="s">
        <v>275</v>
      </c>
      <c r="B954" s="18" t="s">
        <v>276</v>
      </c>
      <c r="C954" s="18" t="s">
        <v>206</v>
      </c>
      <c r="D954" s="18" t="s">
        <v>203</v>
      </c>
      <c r="E954" s="61">
        <v>2017</v>
      </c>
      <c r="F954" s="62">
        <v>180000000</v>
      </c>
      <c r="G954" s="62">
        <v>241000000</v>
      </c>
      <c r="H954" s="62">
        <v>230113056</v>
      </c>
      <c r="I954" s="62">
        <v>233064000</v>
      </c>
      <c r="J954" s="62">
        <f t="shared" si="154"/>
        <v>0.78222419504958463</v>
      </c>
      <c r="K954" s="62">
        <f t="shared" si="155"/>
        <v>1.0340507328459136</v>
      </c>
      <c r="L954" s="63">
        <f t="shared" si="156"/>
        <v>0.33888888888888891</v>
      </c>
      <c r="M954" s="63">
        <f t="shared" si="157"/>
        <v>1.2823887750202231E-2</v>
      </c>
      <c r="N954" s="63">
        <f t="shared" si="158"/>
        <v>0.32193652330118211</v>
      </c>
      <c r="O954" s="62">
        <f t="shared" si="159"/>
        <v>1.047311283371944</v>
      </c>
      <c r="P954" s="62">
        <f t="shared" si="160"/>
        <v>0.26508708832235939</v>
      </c>
      <c r="Q954" s="62">
        <f t="shared" si="161"/>
        <v>-1.3260550526030368E-2</v>
      </c>
      <c r="R954" s="63">
        <f t="shared" si="162"/>
        <v>0.33888888888888907</v>
      </c>
      <c r="S954" s="63">
        <f t="shared" si="163"/>
        <v>-1.6952365587706977E-2</v>
      </c>
      <c r="T954" s="63">
        <f t="shared" si="164"/>
        <v>0.32193652330118211</v>
      </c>
    </row>
    <row r="955" spans="1:20" x14ac:dyDescent="0.3">
      <c r="A955" s="18" t="s">
        <v>275</v>
      </c>
      <c r="B955" s="18" t="s">
        <v>276</v>
      </c>
      <c r="C955" s="18" t="s">
        <v>206</v>
      </c>
      <c r="D955" s="18" t="s">
        <v>203</v>
      </c>
      <c r="E955" s="61">
        <v>2018</v>
      </c>
      <c r="F955" s="62">
        <v>241000000</v>
      </c>
      <c r="G955" s="62">
        <v>254000000</v>
      </c>
      <c r="H955" s="62">
        <v>233064000</v>
      </c>
      <c r="I955" s="62">
        <v>236451000</v>
      </c>
      <c r="J955" s="62">
        <f t="shared" si="154"/>
        <v>1.0340507328459136</v>
      </c>
      <c r="K955" s="62">
        <f t="shared" si="155"/>
        <v>1.0742183369915965</v>
      </c>
      <c r="L955" s="63">
        <f t="shared" si="156"/>
        <v>5.3941908713692949E-2</v>
      </c>
      <c r="M955" s="63">
        <f t="shared" si="157"/>
        <v>1.4532488930079291E-2</v>
      </c>
      <c r="N955" s="63">
        <f t="shared" si="158"/>
        <v>3.8844906608337899E-2</v>
      </c>
      <c r="O955" s="62">
        <f t="shared" si="159"/>
        <v>1.0898294030824152</v>
      </c>
      <c r="P955" s="62">
        <f t="shared" si="160"/>
        <v>5.5778670236501515E-2</v>
      </c>
      <c r="Q955" s="62">
        <f t="shared" si="161"/>
        <v>-1.5611066090818637E-2</v>
      </c>
      <c r="R955" s="63">
        <f t="shared" si="162"/>
        <v>5.39419087136929E-2</v>
      </c>
      <c r="S955" s="63">
        <f t="shared" si="163"/>
        <v>-1.5097002105354999E-2</v>
      </c>
      <c r="T955" s="63">
        <f t="shared" si="164"/>
        <v>3.8844906608337899E-2</v>
      </c>
    </row>
    <row r="956" spans="1:20" x14ac:dyDescent="0.3">
      <c r="A956" s="18" t="s">
        <v>275</v>
      </c>
      <c r="B956" s="18" t="s">
        <v>276</v>
      </c>
      <c r="C956" s="18" t="s">
        <v>206</v>
      </c>
      <c r="D956" s="18" t="s">
        <v>203</v>
      </c>
      <c r="E956" s="61">
        <v>2019</v>
      </c>
      <c r="F956" s="62">
        <v>254000000</v>
      </c>
      <c r="G956" s="62">
        <v>312000000</v>
      </c>
      <c r="H956" s="62">
        <v>236451000</v>
      </c>
      <c r="I956" s="62">
        <v>240766760</v>
      </c>
      <c r="J956" s="62">
        <f t="shared" si="154"/>
        <v>1.0742183369915965</v>
      </c>
      <c r="K956" s="62">
        <f t="shared" si="155"/>
        <v>1.295859943457311</v>
      </c>
      <c r="L956" s="63">
        <f t="shared" si="156"/>
        <v>0.2283464566929134</v>
      </c>
      <c r="M956" s="63">
        <f t="shared" si="157"/>
        <v>1.8252238307302569E-2</v>
      </c>
      <c r="N956" s="63">
        <f t="shared" si="158"/>
        <v>0.20632826571033333</v>
      </c>
      <c r="O956" s="62">
        <f t="shared" si="159"/>
        <v>1.3195122879581815</v>
      </c>
      <c r="P956" s="62">
        <f t="shared" si="160"/>
        <v>0.24529395096658502</v>
      </c>
      <c r="Q956" s="62">
        <f t="shared" si="161"/>
        <v>-2.3652344500870504E-2</v>
      </c>
      <c r="R956" s="63">
        <f t="shared" si="162"/>
        <v>0.22834645669291337</v>
      </c>
      <c r="S956" s="63">
        <f t="shared" si="163"/>
        <v>-2.2018190982580045E-2</v>
      </c>
      <c r="T956" s="63">
        <f t="shared" si="164"/>
        <v>0.20632826571033333</v>
      </c>
    </row>
    <row r="957" spans="1:20" x14ac:dyDescent="0.3">
      <c r="A957" s="18" t="s">
        <v>275</v>
      </c>
      <c r="B957" s="18" t="s">
        <v>276</v>
      </c>
      <c r="C957" s="18" t="s">
        <v>206</v>
      </c>
      <c r="D957" s="18" t="s">
        <v>203</v>
      </c>
      <c r="E957" s="61">
        <v>2020</v>
      </c>
      <c r="F957" s="62">
        <v>312000000</v>
      </c>
      <c r="G957" s="62">
        <v>238000000</v>
      </c>
      <c r="H957" s="62">
        <v>240766760</v>
      </c>
      <c r="I957" s="62">
        <v>244338168</v>
      </c>
      <c r="J957" s="62">
        <f t="shared" si="154"/>
        <v>1.295859943457311</v>
      </c>
      <c r="K957" s="62">
        <f t="shared" si="155"/>
        <v>0.97405985298211784</v>
      </c>
      <c r="L957" s="63">
        <f t="shared" si="156"/>
        <v>-0.23717948717948717</v>
      </c>
      <c r="M957" s="63">
        <f t="shared" si="157"/>
        <v>1.4833476182509579E-2</v>
      </c>
      <c r="N957" s="63">
        <f t="shared" si="158"/>
        <v>-0.24832937548531772</v>
      </c>
      <c r="O957" s="62">
        <f t="shared" si="159"/>
        <v>0.98850854661166687</v>
      </c>
      <c r="P957" s="62">
        <f t="shared" si="160"/>
        <v>-0.30735139684564416</v>
      </c>
      <c r="Q957" s="62">
        <f t="shared" si="161"/>
        <v>-1.4448693629549036E-2</v>
      </c>
      <c r="R957" s="63">
        <f t="shared" si="162"/>
        <v>-0.23717948717948709</v>
      </c>
      <c r="S957" s="63">
        <f t="shared" si="163"/>
        <v>-1.1149888305830647E-2</v>
      </c>
      <c r="T957" s="63">
        <f t="shared" si="164"/>
        <v>-0.24832937548531772</v>
      </c>
    </row>
    <row r="958" spans="1:20" x14ac:dyDescent="0.3">
      <c r="A958" s="18" t="s">
        <v>275</v>
      </c>
      <c r="B958" s="18" t="s">
        <v>276</v>
      </c>
      <c r="C958" s="18" t="s">
        <v>206</v>
      </c>
      <c r="D958" s="18" t="s">
        <v>203</v>
      </c>
      <c r="E958" s="61">
        <v>2021</v>
      </c>
      <c r="F958" s="62">
        <v>238000000</v>
      </c>
      <c r="G958" s="62">
        <v>313000000</v>
      </c>
      <c r="H958" s="62">
        <v>244338168</v>
      </c>
      <c r="I958" s="62">
        <v>247730265</v>
      </c>
      <c r="J958" s="62">
        <f t="shared" si="154"/>
        <v>0.97405985298211784</v>
      </c>
      <c r="K958" s="62">
        <f t="shared" si="155"/>
        <v>1.2634709771936827</v>
      </c>
      <c r="L958" s="63">
        <f t="shared" si="156"/>
        <v>0.31512605042016806</v>
      </c>
      <c r="M958" s="63">
        <f t="shared" si="157"/>
        <v>1.388279624000455E-2</v>
      </c>
      <c r="N958" s="63">
        <f t="shared" si="158"/>
        <v>0.29711841970031178</v>
      </c>
      <c r="O958" s="62">
        <f t="shared" si="159"/>
        <v>1.2810114873252221</v>
      </c>
      <c r="P958" s="62">
        <f t="shared" si="160"/>
        <v>0.30695163434310424</v>
      </c>
      <c r="Q958" s="62">
        <f t="shared" si="161"/>
        <v>-1.7540510131539344E-2</v>
      </c>
      <c r="R958" s="63">
        <f t="shared" si="162"/>
        <v>0.31512605042016795</v>
      </c>
      <c r="S958" s="63">
        <f t="shared" si="163"/>
        <v>-1.8007630719856144E-2</v>
      </c>
      <c r="T958" s="63">
        <f t="shared" si="164"/>
        <v>0.29711841970031183</v>
      </c>
    </row>
    <row r="959" spans="1:20" x14ac:dyDescent="0.3">
      <c r="A959" s="18" t="s">
        <v>275</v>
      </c>
      <c r="B959" s="18" t="s">
        <v>276</v>
      </c>
      <c r="C959" s="18" t="s">
        <v>206</v>
      </c>
      <c r="D959" s="18" t="s">
        <v>203</v>
      </c>
      <c r="E959" s="61">
        <v>2022</v>
      </c>
      <c r="F959" s="62">
        <v>313000000</v>
      </c>
      <c r="G959" s="62">
        <v>386000000</v>
      </c>
      <c r="H959" s="62">
        <v>247730265</v>
      </c>
      <c r="I959" s="62">
        <v>248992939</v>
      </c>
      <c r="J959" s="62">
        <f t="shared" si="154"/>
        <v>1.2634709771936827</v>
      </c>
      <c r="K959" s="62">
        <f t="shared" si="155"/>
        <v>1.5502447641697985</v>
      </c>
      <c r="L959" s="63">
        <f t="shared" si="156"/>
        <v>0.23322683706070288</v>
      </c>
      <c r="M959" s="63">
        <f t="shared" si="157"/>
        <v>5.0969710947509784E-3</v>
      </c>
      <c r="N959" s="63">
        <f t="shared" si="158"/>
        <v>0.22697299119056458</v>
      </c>
      <c r="O959" s="62">
        <f t="shared" si="159"/>
        <v>1.5581463169225609</v>
      </c>
      <c r="P959" s="62">
        <f t="shared" si="160"/>
        <v>0.29467533972887816</v>
      </c>
      <c r="Q959" s="62">
        <f t="shared" si="161"/>
        <v>-7.9015527527623863E-3</v>
      </c>
      <c r="R959" s="63">
        <f t="shared" si="162"/>
        <v>0.23322683706070294</v>
      </c>
      <c r="S959" s="63">
        <f t="shared" si="163"/>
        <v>-6.2538458701383564E-3</v>
      </c>
      <c r="T959" s="63">
        <f t="shared" si="164"/>
        <v>0.22697299119056458</v>
      </c>
    </row>
    <row r="960" spans="1:20" x14ac:dyDescent="0.3">
      <c r="A960" s="18" t="s">
        <v>275</v>
      </c>
      <c r="B960" s="18" t="s">
        <v>276</v>
      </c>
      <c r="C960" s="18" t="s">
        <v>206</v>
      </c>
      <c r="D960" s="18" t="s">
        <v>203</v>
      </c>
      <c r="E960" s="61">
        <v>2023</v>
      </c>
      <c r="F960" s="62">
        <v>386000000</v>
      </c>
      <c r="G960" s="62">
        <v>267000000</v>
      </c>
      <c r="H960" s="62">
        <v>248992939</v>
      </c>
      <c r="I960" s="62">
        <v>249032353</v>
      </c>
      <c r="J960" s="62">
        <f t="shared" si="154"/>
        <v>1.5502447641697985</v>
      </c>
      <c r="K960" s="62">
        <f t="shared" si="155"/>
        <v>1.0721498503449469</v>
      </c>
      <c r="L960" s="63">
        <f t="shared" si="156"/>
        <v>-0.30829015544041449</v>
      </c>
      <c r="M960" s="63">
        <f t="shared" si="157"/>
        <v>1.5829364542743117E-4</v>
      </c>
      <c r="N960" s="63">
        <f t="shared" si="158"/>
        <v>-0.30839963138394177</v>
      </c>
      <c r="O960" s="62">
        <f t="shared" si="159"/>
        <v>1.0723195648532025</v>
      </c>
      <c r="P960" s="62">
        <f t="shared" si="160"/>
        <v>-0.47792519931659605</v>
      </c>
      <c r="Q960" s="62">
        <f t="shared" si="161"/>
        <v>-1.6971450825553624E-4</v>
      </c>
      <c r="R960" s="63">
        <f t="shared" si="162"/>
        <v>-0.3082901554404146</v>
      </c>
      <c r="S960" s="63">
        <f t="shared" si="163"/>
        <v>-1.0947594352716511E-4</v>
      </c>
      <c r="T960" s="63">
        <f t="shared" si="164"/>
        <v>-0.30839963138394177</v>
      </c>
    </row>
    <row r="961" spans="1:20" x14ac:dyDescent="0.3">
      <c r="A961" s="18" t="s">
        <v>275</v>
      </c>
      <c r="B961" s="18" t="s">
        <v>276</v>
      </c>
      <c r="C961" s="18" t="s">
        <v>206</v>
      </c>
      <c r="D961" s="18" t="s">
        <v>203</v>
      </c>
      <c r="E961" s="61">
        <v>2024</v>
      </c>
      <c r="F961" s="62">
        <v>267000000</v>
      </c>
      <c r="G961" s="62">
        <v>507000000</v>
      </c>
      <c r="H961" s="62">
        <v>249032353</v>
      </c>
      <c r="I961" s="62">
        <v>245286351</v>
      </c>
      <c r="J961" s="62">
        <f t="shared" si="154"/>
        <v>1.0721498503449469</v>
      </c>
      <c r="K961" s="62">
        <f t="shared" si="155"/>
        <v>2.0669719205044554</v>
      </c>
      <c r="L961" s="63">
        <f t="shared" si="156"/>
        <v>0.898876404494382</v>
      </c>
      <c r="M961" s="63">
        <f t="shared" si="157"/>
        <v>-1.504223027599952E-2</v>
      </c>
      <c r="N961" s="63">
        <f t="shared" si="158"/>
        <v>0.92787595860731642</v>
      </c>
      <c r="O961" s="62">
        <f t="shared" si="159"/>
        <v>2.0358800529022028</v>
      </c>
      <c r="P961" s="62">
        <f t="shared" si="160"/>
        <v>0.96373020255725583</v>
      </c>
      <c r="Q961" s="62">
        <f t="shared" si="161"/>
        <v>3.1091867602252687E-2</v>
      </c>
      <c r="R961" s="63">
        <f t="shared" si="162"/>
        <v>0.89887640449438222</v>
      </c>
      <c r="S961" s="63">
        <f t="shared" si="163"/>
        <v>2.8999554112934287E-2</v>
      </c>
      <c r="T961" s="63">
        <f t="shared" si="164"/>
        <v>0.92787595860731653</v>
      </c>
    </row>
    <row r="962" spans="1:20" x14ac:dyDescent="0.3">
      <c r="A962" s="18" t="s">
        <v>277</v>
      </c>
      <c r="B962" s="18" t="s">
        <v>278</v>
      </c>
      <c r="C962" s="18" t="s">
        <v>206</v>
      </c>
      <c r="D962" s="18" t="s">
        <v>203</v>
      </c>
      <c r="E962" s="61">
        <v>2016</v>
      </c>
      <c r="F962" s="62">
        <v>110500000</v>
      </c>
      <c r="G962" s="62">
        <v>179100000</v>
      </c>
      <c r="H962" s="62">
        <v>118392857</v>
      </c>
      <c r="I962" s="62">
        <v>118041702</v>
      </c>
      <c r="J962" s="62">
        <f t="shared" si="154"/>
        <v>0.93333333445952738</v>
      </c>
      <c r="K962" s="62">
        <f t="shared" si="155"/>
        <v>1.5172604000576</v>
      </c>
      <c r="L962" s="63">
        <f t="shared" si="156"/>
        <v>0.62081447963800906</v>
      </c>
      <c r="M962" s="63">
        <f t="shared" si="157"/>
        <v>-2.9660150865351616E-3</v>
      </c>
      <c r="N962" s="63">
        <f t="shared" si="158"/>
        <v>0.62563614095730524</v>
      </c>
      <c r="O962" s="62">
        <f t="shared" si="159"/>
        <v>1.5127601828208268</v>
      </c>
      <c r="P962" s="62">
        <f t="shared" si="160"/>
        <v>0.57942684836129943</v>
      </c>
      <c r="Q962" s="62">
        <f t="shared" si="161"/>
        <v>4.5002172367731852E-3</v>
      </c>
      <c r="R962" s="63">
        <f t="shared" si="162"/>
        <v>0.62081447963800918</v>
      </c>
      <c r="S962" s="63">
        <f t="shared" si="163"/>
        <v>4.8216613192961343E-3</v>
      </c>
      <c r="T962" s="63">
        <f t="shared" si="164"/>
        <v>0.62563614095730535</v>
      </c>
    </row>
    <row r="963" spans="1:20" x14ac:dyDescent="0.3">
      <c r="A963" s="18" t="s">
        <v>277</v>
      </c>
      <c r="B963" s="18" t="s">
        <v>278</v>
      </c>
      <c r="C963" s="18" t="s">
        <v>206</v>
      </c>
      <c r="D963" s="18" t="s">
        <v>203</v>
      </c>
      <c r="E963" s="61">
        <v>2017</v>
      </c>
      <c r="F963" s="62">
        <v>179100000</v>
      </c>
      <c r="G963" s="62">
        <v>238100000</v>
      </c>
      <c r="H963" s="62">
        <v>118041702</v>
      </c>
      <c r="I963" s="62">
        <v>117871287</v>
      </c>
      <c r="J963" s="62">
        <f t="shared" si="154"/>
        <v>1.5172604000576</v>
      </c>
      <c r="K963" s="62">
        <f t="shared" si="155"/>
        <v>2.020000002205796</v>
      </c>
      <c r="L963" s="63">
        <f t="shared" si="156"/>
        <v>0.32942490228922389</v>
      </c>
      <c r="M963" s="63">
        <f t="shared" si="157"/>
        <v>-1.4436847072909877E-3</v>
      </c>
      <c r="N963" s="63">
        <f t="shared" si="158"/>
        <v>0.33134694751745347</v>
      </c>
      <c r="O963" s="62">
        <f t="shared" si="159"/>
        <v>2.0170837590938837</v>
      </c>
      <c r="P963" s="62">
        <f t="shared" si="160"/>
        <v>0.49982335903628372</v>
      </c>
      <c r="Q963" s="62">
        <f t="shared" si="161"/>
        <v>2.9162431119122978E-3</v>
      </c>
      <c r="R963" s="63">
        <f t="shared" si="162"/>
        <v>0.32942490228922394</v>
      </c>
      <c r="S963" s="63">
        <f t="shared" si="163"/>
        <v>1.9220452282295037E-3</v>
      </c>
      <c r="T963" s="63">
        <f t="shared" si="164"/>
        <v>0.33134694751745347</v>
      </c>
    </row>
    <row r="964" spans="1:20" x14ac:dyDescent="0.3">
      <c r="A964" s="18" t="s">
        <v>277</v>
      </c>
      <c r="B964" s="18" t="s">
        <v>278</v>
      </c>
      <c r="C964" s="18" t="s">
        <v>206</v>
      </c>
      <c r="D964" s="18" t="s">
        <v>203</v>
      </c>
      <c r="E964" s="61">
        <v>2018</v>
      </c>
      <c r="F964" s="62">
        <v>238100000</v>
      </c>
      <c r="G964" s="62">
        <v>256600000</v>
      </c>
      <c r="H964" s="62">
        <v>117871287</v>
      </c>
      <c r="I964" s="62">
        <v>117791777</v>
      </c>
      <c r="J964" s="62">
        <f t="shared" si="154"/>
        <v>2.020000002205796</v>
      </c>
      <c r="K964" s="62">
        <f t="shared" si="155"/>
        <v>2.1784203153671755</v>
      </c>
      <c r="L964" s="63">
        <f t="shared" si="156"/>
        <v>7.769844603107938E-2</v>
      </c>
      <c r="M964" s="63">
        <f t="shared" si="157"/>
        <v>-6.7454934974961293E-4</v>
      </c>
      <c r="N964" s="63">
        <f t="shared" si="158"/>
        <v>7.8425897519003945E-2</v>
      </c>
      <c r="O964" s="62">
        <f t="shared" si="159"/>
        <v>2.1769508633599632</v>
      </c>
      <c r="P964" s="62">
        <f t="shared" si="160"/>
        <v>0.15695086115416723</v>
      </c>
      <c r="Q964" s="62">
        <f t="shared" si="161"/>
        <v>1.4694520072122685E-3</v>
      </c>
      <c r="R964" s="63">
        <f t="shared" si="162"/>
        <v>7.7698446031079366E-2</v>
      </c>
      <c r="S964" s="63">
        <f t="shared" si="163"/>
        <v>7.274514879245836E-4</v>
      </c>
      <c r="T964" s="63">
        <f t="shared" si="164"/>
        <v>7.8425897519003945E-2</v>
      </c>
    </row>
    <row r="965" spans="1:20" x14ac:dyDescent="0.3">
      <c r="A965" s="18" t="s">
        <v>277</v>
      </c>
      <c r="B965" s="18" t="s">
        <v>278</v>
      </c>
      <c r="C965" s="18" t="s">
        <v>206</v>
      </c>
      <c r="D965" s="18" t="s">
        <v>203</v>
      </c>
      <c r="E965" s="61">
        <v>2019</v>
      </c>
      <c r="F965" s="62">
        <v>256600000</v>
      </c>
      <c r="G965" s="62">
        <v>272800000</v>
      </c>
      <c r="H965" s="62">
        <v>117791777</v>
      </c>
      <c r="I965" s="62">
        <v>118302104</v>
      </c>
      <c r="J965" s="62">
        <f t="shared" ref="J965:J1028" si="165">F965/H965</f>
        <v>2.1784203153671755</v>
      </c>
      <c r="K965" s="62">
        <f t="shared" ref="K965:K1028" si="166">G965/I965</f>
        <v>2.3059606784339186</v>
      </c>
      <c r="L965" s="63">
        <f t="shared" ref="L965:L1028" si="167">IF(F965=0,"",((G965-F965)/ABS(F965)))</f>
        <v>6.313328137178488E-2</v>
      </c>
      <c r="M965" s="63">
        <f t="shared" ref="M965:M1028" si="168">(I965-H965)/H965</f>
        <v>4.3324501335946395E-3</v>
      </c>
      <c r="N965" s="63">
        <f t="shared" ref="N965:N1028" si="169">IF(J965=0,"",((K965-J965)/ABS(J965)))</f>
        <v>5.8547178506846605E-2</v>
      </c>
      <c r="O965" s="62">
        <f t="shared" ref="O965:O1028" si="170">G965/H965</f>
        <v>2.3159511380832636</v>
      </c>
      <c r="P965" s="62">
        <f t="shared" ref="P965:P1028" si="171">O965-J965</f>
        <v>0.13753082271608807</v>
      </c>
      <c r="Q965" s="62">
        <f t="shared" ref="Q965:Q1028" si="172">K965-O965</f>
        <v>-9.9904596493449738E-3</v>
      </c>
      <c r="R965" s="63">
        <f t="shared" ref="R965:R1028" si="173">IF(J965=0,"",P965/ABS(J965))</f>
        <v>6.3133281371784797E-2</v>
      </c>
      <c r="S965" s="63">
        <f t="shared" ref="S965:S1028" si="174">IF(J965=0,"",Q965/ABS(J965))</f>
        <v>-4.5861028649381965E-3</v>
      </c>
      <c r="T965" s="63">
        <f t="shared" ref="T965:T1028" si="175">R965+S965</f>
        <v>5.8547178506846598E-2</v>
      </c>
    </row>
    <row r="966" spans="1:20" x14ac:dyDescent="0.3">
      <c r="A966" s="18" t="s">
        <v>277</v>
      </c>
      <c r="B966" s="18" t="s">
        <v>278</v>
      </c>
      <c r="C966" s="18" t="s">
        <v>206</v>
      </c>
      <c r="D966" s="18" t="s">
        <v>203</v>
      </c>
      <c r="E966" s="61">
        <v>2020</v>
      </c>
      <c r="F966" s="62">
        <v>272800000</v>
      </c>
      <c r="G966" s="62">
        <v>404400000</v>
      </c>
      <c r="H966" s="62">
        <v>118302104</v>
      </c>
      <c r="I966" s="62">
        <v>118146538</v>
      </c>
      <c r="J966" s="62">
        <f t="shared" si="165"/>
        <v>2.3059606784339186</v>
      </c>
      <c r="K966" s="62">
        <f t="shared" si="166"/>
        <v>3.4228679641886757</v>
      </c>
      <c r="L966" s="63">
        <f t="shared" si="167"/>
        <v>0.48240469208211145</v>
      </c>
      <c r="M966" s="63">
        <f t="shared" si="168"/>
        <v>-1.3149892921600109E-3</v>
      </c>
      <c r="N966" s="63">
        <f t="shared" si="169"/>
        <v>0.48435660512359602</v>
      </c>
      <c r="O966" s="62">
        <f t="shared" si="170"/>
        <v>3.41836692946729</v>
      </c>
      <c r="P966" s="62">
        <f t="shared" si="171"/>
        <v>1.1124062510333714</v>
      </c>
      <c r="Q966" s="62">
        <f t="shared" si="172"/>
        <v>4.5010347213856328E-3</v>
      </c>
      <c r="R966" s="63">
        <f t="shared" si="173"/>
        <v>0.48240469208211151</v>
      </c>
      <c r="S966" s="63">
        <f t="shared" si="174"/>
        <v>1.9519130414845094E-3</v>
      </c>
      <c r="T966" s="63">
        <f t="shared" si="175"/>
        <v>0.48435660512359602</v>
      </c>
    </row>
    <row r="967" spans="1:20" x14ac:dyDescent="0.3">
      <c r="A967" s="18" t="s">
        <v>277</v>
      </c>
      <c r="B967" s="18" t="s">
        <v>278</v>
      </c>
      <c r="C967" s="18" t="s">
        <v>206</v>
      </c>
      <c r="D967" s="18" t="s">
        <v>203</v>
      </c>
      <c r="E967" s="61">
        <v>2021</v>
      </c>
      <c r="F967" s="62">
        <v>404400000</v>
      </c>
      <c r="G967" s="62">
        <v>601100000</v>
      </c>
      <c r="H967" s="62">
        <v>118146538</v>
      </c>
      <c r="I967" s="62">
        <v>118265377</v>
      </c>
      <c r="J967" s="62">
        <f t="shared" si="165"/>
        <v>3.4228679641886757</v>
      </c>
      <c r="K967" s="62">
        <f t="shared" si="166"/>
        <v>5.0826371610010597</v>
      </c>
      <c r="L967" s="63">
        <f t="shared" si="167"/>
        <v>0.48639960435212659</v>
      </c>
      <c r="M967" s="63">
        <f t="shared" si="168"/>
        <v>1.0058610435119139E-3</v>
      </c>
      <c r="N967" s="63">
        <f t="shared" si="169"/>
        <v>0.48490599525821909</v>
      </c>
      <c r="O967" s="62">
        <f t="shared" si="170"/>
        <v>5.0877495877196166</v>
      </c>
      <c r="P967" s="62">
        <f t="shared" si="171"/>
        <v>1.6648816235309409</v>
      </c>
      <c r="Q967" s="62">
        <f t="shared" si="172"/>
        <v>-5.1124267185569394E-3</v>
      </c>
      <c r="R967" s="63">
        <f t="shared" si="173"/>
        <v>0.48639960435212659</v>
      </c>
      <c r="S967" s="63">
        <f t="shared" si="174"/>
        <v>-1.493609093907524E-3</v>
      </c>
      <c r="T967" s="63">
        <f t="shared" si="175"/>
        <v>0.48490599525821909</v>
      </c>
    </row>
    <row r="968" spans="1:20" x14ac:dyDescent="0.3">
      <c r="A968" s="18" t="s">
        <v>277</v>
      </c>
      <c r="B968" s="18" t="s">
        <v>278</v>
      </c>
      <c r="C968" s="18" t="s">
        <v>206</v>
      </c>
      <c r="D968" s="18" t="s">
        <v>203</v>
      </c>
      <c r="E968" s="61">
        <v>2022</v>
      </c>
      <c r="F968" s="62">
        <v>601100000</v>
      </c>
      <c r="G968" s="62">
        <v>452400000</v>
      </c>
      <c r="H968" s="62">
        <v>118265377</v>
      </c>
      <c r="I968" s="62">
        <v>117946146</v>
      </c>
      <c r="J968" s="62">
        <f t="shared" si="165"/>
        <v>5.0826371610010597</v>
      </c>
      <c r="K968" s="62">
        <f t="shared" si="166"/>
        <v>3.8356488562161242</v>
      </c>
      <c r="L968" s="63">
        <f t="shared" si="167"/>
        <v>-0.24737980369322907</v>
      </c>
      <c r="M968" s="63">
        <f t="shared" si="168"/>
        <v>-2.6992768982590739E-3</v>
      </c>
      <c r="N968" s="63">
        <f t="shared" si="169"/>
        <v>-0.24534277487935668</v>
      </c>
      <c r="O968" s="62">
        <f t="shared" si="170"/>
        <v>3.8252953778687062</v>
      </c>
      <c r="P968" s="62">
        <f t="shared" si="171"/>
        <v>-1.2573417831323535</v>
      </c>
      <c r="Q968" s="62">
        <f t="shared" si="172"/>
        <v>1.0353478347417955E-2</v>
      </c>
      <c r="R968" s="63">
        <f t="shared" si="173"/>
        <v>-0.24737980369322912</v>
      </c>
      <c r="S968" s="63">
        <f t="shared" si="174"/>
        <v>2.0370288138724362E-3</v>
      </c>
      <c r="T968" s="63">
        <f t="shared" si="175"/>
        <v>-0.24534277487935668</v>
      </c>
    </row>
    <row r="969" spans="1:20" x14ac:dyDescent="0.3">
      <c r="A969" s="18" t="s">
        <v>277</v>
      </c>
      <c r="B969" s="18" t="s">
        <v>278</v>
      </c>
      <c r="C969" s="18" t="s">
        <v>206</v>
      </c>
      <c r="D969" s="18" t="s">
        <v>203</v>
      </c>
      <c r="E969" s="61">
        <v>2023</v>
      </c>
      <c r="F969" s="62">
        <v>452400000</v>
      </c>
      <c r="G969" s="62">
        <v>357600000</v>
      </c>
      <c r="H969" s="62">
        <v>117946146</v>
      </c>
      <c r="I969" s="62">
        <v>118052805</v>
      </c>
      <c r="J969" s="62">
        <f t="shared" si="165"/>
        <v>3.8356488562161242</v>
      </c>
      <c r="K969" s="62">
        <f t="shared" si="166"/>
        <v>3.0291529286407046</v>
      </c>
      <c r="L969" s="63">
        <f t="shared" si="167"/>
        <v>-0.20954907161803712</v>
      </c>
      <c r="M969" s="63">
        <f t="shared" si="168"/>
        <v>9.0430254499371265E-4</v>
      </c>
      <c r="N969" s="63">
        <f t="shared" si="169"/>
        <v>-0.21026323258668406</v>
      </c>
      <c r="O969" s="62">
        <f t="shared" si="170"/>
        <v>3.0318921993432495</v>
      </c>
      <c r="P969" s="62">
        <f t="shared" si="171"/>
        <v>-0.80375665687287468</v>
      </c>
      <c r="Q969" s="62">
        <f t="shared" si="172"/>
        <v>-2.7392707025448715E-3</v>
      </c>
      <c r="R969" s="63">
        <f t="shared" si="173"/>
        <v>-0.2095490716180371</v>
      </c>
      <c r="S969" s="63">
        <f t="shared" si="174"/>
        <v>-7.1416096864694958E-4</v>
      </c>
      <c r="T969" s="63">
        <f t="shared" si="175"/>
        <v>-0.21026323258668406</v>
      </c>
    </row>
    <row r="970" spans="1:20" x14ac:dyDescent="0.3">
      <c r="A970" s="18" t="s">
        <v>277</v>
      </c>
      <c r="B970" s="18" t="s">
        <v>278</v>
      </c>
      <c r="C970" s="18" t="s">
        <v>206</v>
      </c>
      <c r="D970" s="18" t="s">
        <v>203</v>
      </c>
      <c r="E970" s="61">
        <v>2024</v>
      </c>
      <c r="F970" s="62">
        <v>357600000</v>
      </c>
      <c r="G970" s="62">
        <v>432200000</v>
      </c>
      <c r="H970" s="62">
        <v>118052805</v>
      </c>
      <c r="I970" s="62">
        <v>117765668</v>
      </c>
      <c r="J970" s="62">
        <f t="shared" si="165"/>
        <v>3.0291529286407046</v>
      </c>
      <c r="K970" s="62">
        <f t="shared" si="166"/>
        <v>3.6699999867533548</v>
      </c>
      <c r="L970" s="63">
        <f t="shared" si="167"/>
        <v>0.20861297539149889</v>
      </c>
      <c r="M970" s="63">
        <f t="shared" si="168"/>
        <v>-2.4322759632860905E-3</v>
      </c>
      <c r="N970" s="63">
        <f t="shared" si="169"/>
        <v>0.21155982322761846</v>
      </c>
      <c r="O970" s="62">
        <f t="shared" si="170"/>
        <v>3.6610735340003147</v>
      </c>
      <c r="P970" s="62">
        <f t="shared" si="171"/>
        <v>0.63192060535961003</v>
      </c>
      <c r="Q970" s="62">
        <f t="shared" si="172"/>
        <v>8.9264527530401594E-3</v>
      </c>
      <c r="R970" s="63">
        <f t="shared" si="173"/>
        <v>0.20861297539149887</v>
      </c>
      <c r="S970" s="63">
        <f t="shared" si="174"/>
        <v>2.9468478361195836E-3</v>
      </c>
      <c r="T970" s="63">
        <f t="shared" si="175"/>
        <v>0.21155982322761846</v>
      </c>
    </row>
    <row r="971" spans="1:20" x14ac:dyDescent="0.3">
      <c r="A971" s="18" t="s">
        <v>283</v>
      </c>
      <c r="B971" s="18" t="s">
        <v>284</v>
      </c>
      <c r="C971" s="18" t="s">
        <v>282</v>
      </c>
      <c r="D971" s="18" t="s">
        <v>279</v>
      </c>
      <c r="E971" s="61">
        <v>2016</v>
      </c>
      <c r="F971" s="62">
        <v>6566000000</v>
      </c>
      <c r="G971" s="62">
        <v>6204000000</v>
      </c>
      <c r="H971" s="62">
        <v>14973482000</v>
      </c>
      <c r="I971" s="62">
        <v>15042293000</v>
      </c>
      <c r="J971" s="62">
        <f t="shared" si="165"/>
        <v>0.43850855799606264</v>
      </c>
      <c r="K971" s="62">
        <f t="shared" si="166"/>
        <v>0.41243711979284009</v>
      </c>
      <c r="L971" s="63">
        <f t="shared" si="167"/>
        <v>-5.5132500761498629E-2</v>
      </c>
      <c r="M971" s="63">
        <f t="shared" si="168"/>
        <v>4.5955242741801804E-3</v>
      </c>
      <c r="N971" s="63">
        <f t="shared" si="169"/>
        <v>-5.945479906336662E-2</v>
      </c>
      <c r="O971" s="62">
        <f t="shared" si="170"/>
        <v>0.41433248458842104</v>
      </c>
      <c r="P971" s="62">
        <f t="shared" si="171"/>
        <v>-2.4176073407641607E-2</v>
      </c>
      <c r="Q971" s="62">
        <f t="shared" si="172"/>
        <v>-1.8953647955809449E-3</v>
      </c>
      <c r="R971" s="63">
        <f t="shared" si="173"/>
        <v>-5.5132500761498671E-2</v>
      </c>
      <c r="S971" s="63">
        <f t="shared" si="174"/>
        <v>-4.3222983018679495E-3</v>
      </c>
      <c r="T971" s="63">
        <f t="shared" si="175"/>
        <v>-5.945479906336662E-2</v>
      </c>
    </row>
    <row r="972" spans="1:20" x14ac:dyDescent="0.3">
      <c r="A972" s="18" t="s">
        <v>283</v>
      </c>
      <c r="B972" s="18" t="s">
        <v>284</v>
      </c>
      <c r="C972" s="18" t="s">
        <v>282</v>
      </c>
      <c r="D972" s="18" t="s">
        <v>279</v>
      </c>
      <c r="E972" s="61">
        <v>2017</v>
      </c>
      <c r="F972" s="62">
        <v>6204000000</v>
      </c>
      <c r="G972" s="62">
        <v>6619000000</v>
      </c>
      <c r="H972" s="62">
        <v>15042293000</v>
      </c>
      <c r="I972" s="62">
        <v>16063779000</v>
      </c>
      <c r="J972" s="62">
        <f t="shared" si="165"/>
        <v>0.41243711979284009</v>
      </c>
      <c r="K972" s="62">
        <f t="shared" si="166"/>
        <v>0.4120450113264133</v>
      </c>
      <c r="L972" s="63">
        <f t="shared" si="167"/>
        <v>6.6892327530625406E-2</v>
      </c>
      <c r="M972" s="63">
        <f t="shared" si="168"/>
        <v>6.790759892790281E-2</v>
      </c>
      <c r="N972" s="63">
        <f t="shared" si="169"/>
        <v>-9.5071090260677167E-4</v>
      </c>
      <c r="O972" s="62">
        <f t="shared" si="170"/>
        <v>0.44002599869581055</v>
      </c>
      <c r="P972" s="62">
        <f t="shared" si="171"/>
        <v>2.758887890297046E-2</v>
      </c>
      <c r="Q972" s="62">
        <f t="shared" si="172"/>
        <v>-2.7980987369397248E-2</v>
      </c>
      <c r="R972" s="63">
        <f t="shared" si="173"/>
        <v>6.6892327530625434E-2</v>
      </c>
      <c r="S972" s="63">
        <f t="shared" si="174"/>
        <v>-6.7843038433232208E-2</v>
      </c>
      <c r="T972" s="63">
        <f t="shared" si="175"/>
        <v>-9.5071090260677449E-4</v>
      </c>
    </row>
    <row r="973" spans="1:20" x14ac:dyDescent="0.3">
      <c r="A973" s="18" t="s">
        <v>283</v>
      </c>
      <c r="B973" s="18" t="s">
        <v>284</v>
      </c>
      <c r="C973" s="18" t="s">
        <v>282</v>
      </c>
      <c r="D973" s="18" t="s">
        <v>279</v>
      </c>
      <c r="E973" s="61">
        <v>2018</v>
      </c>
      <c r="F973" s="62">
        <v>6619000000</v>
      </c>
      <c r="G973" s="62">
        <v>7810000000</v>
      </c>
      <c r="H973" s="62">
        <v>16063779000</v>
      </c>
      <c r="I973" s="62">
        <v>16150091000</v>
      </c>
      <c r="J973" s="62">
        <f t="shared" si="165"/>
        <v>0.4120450113264133</v>
      </c>
      <c r="K973" s="62">
        <f t="shared" si="166"/>
        <v>0.48358860640475648</v>
      </c>
      <c r="L973" s="63">
        <f t="shared" si="167"/>
        <v>0.17993654630608855</v>
      </c>
      <c r="M973" s="63">
        <f t="shared" si="168"/>
        <v>5.3730818881410156E-3</v>
      </c>
      <c r="N973" s="63">
        <f t="shared" si="169"/>
        <v>0.17363053334400855</v>
      </c>
      <c r="O973" s="62">
        <f t="shared" si="170"/>
        <v>0.48618696758714125</v>
      </c>
      <c r="P973" s="62">
        <f t="shared" si="171"/>
        <v>7.4141956260727948E-2</v>
      </c>
      <c r="Q973" s="62">
        <f t="shared" si="172"/>
        <v>-2.5983611823847674E-3</v>
      </c>
      <c r="R973" s="63">
        <f t="shared" si="173"/>
        <v>0.17993654630608855</v>
      </c>
      <c r="S973" s="63">
        <f t="shared" si="174"/>
        <v>-6.3060129620800117E-3</v>
      </c>
      <c r="T973" s="63">
        <f t="shared" si="175"/>
        <v>0.17363053334400855</v>
      </c>
    </row>
    <row r="974" spans="1:20" x14ac:dyDescent="0.3">
      <c r="A974" s="18" t="s">
        <v>283</v>
      </c>
      <c r="B974" s="18" t="s">
        <v>284</v>
      </c>
      <c r="C974" s="18" t="s">
        <v>282</v>
      </c>
      <c r="D974" s="18" t="s">
        <v>279</v>
      </c>
      <c r="E974" s="61">
        <v>2019</v>
      </c>
      <c r="F974" s="62">
        <v>7810000000</v>
      </c>
      <c r="G974" s="62">
        <v>6515000000</v>
      </c>
      <c r="H974" s="62">
        <v>16150091000</v>
      </c>
      <c r="I974" s="62">
        <v>17059222000</v>
      </c>
      <c r="J974" s="62">
        <f t="shared" si="165"/>
        <v>0.48358860640475648</v>
      </c>
      <c r="K974" s="62">
        <f t="shared" si="166"/>
        <v>0.38190487233239595</v>
      </c>
      <c r="L974" s="63">
        <f t="shared" si="167"/>
        <v>-0.16581306017925737</v>
      </c>
      <c r="M974" s="63">
        <f t="shared" si="168"/>
        <v>5.6292623985833887E-2</v>
      </c>
      <c r="N974" s="63">
        <f t="shared" si="169"/>
        <v>-0.21026908559390822</v>
      </c>
      <c r="O974" s="62">
        <f t="shared" si="170"/>
        <v>0.40340329970896138</v>
      </c>
      <c r="P974" s="62">
        <f t="shared" si="171"/>
        <v>-8.01853066957951E-2</v>
      </c>
      <c r="Q974" s="62">
        <f t="shared" si="172"/>
        <v>-2.1498427376565432E-2</v>
      </c>
      <c r="R974" s="63">
        <f t="shared" si="173"/>
        <v>-0.1658130601792574</v>
      </c>
      <c r="S974" s="63">
        <f t="shared" si="174"/>
        <v>-4.4456025414650831E-2</v>
      </c>
      <c r="T974" s="63">
        <f t="shared" si="175"/>
        <v>-0.21026908559390822</v>
      </c>
    </row>
    <row r="975" spans="1:20" x14ac:dyDescent="0.3">
      <c r="A975" s="18" t="s">
        <v>283</v>
      </c>
      <c r="B975" s="18" t="s">
        <v>284</v>
      </c>
      <c r="C975" s="18" t="s">
        <v>282</v>
      </c>
      <c r="D975" s="18" t="s">
        <v>279</v>
      </c>
      <c r="E975" s="61">
        <v>2020</v>
      </c>
      <c r="F975" s="62">
        <v>6515000000</v>
      </c>
      <c r="G975" s="62">
        <v>-8771000000</v>
      </c>
      <c r="H975" s="62">
        <v>17059222000</v>
      </c>
      <c r="I975" s="62">
        <v>17316289000</v>
      </c>
      <c r="J975" s="62">
        <f t="shared" si="165"/>
        <v>0.38190487233239595</v>
      </c>
      <c r="K975" s="62">
        <f t="shared" si="166"/>
        <v>-0.50651730287014729</v>
      </c>
      <c r="L975" s="63">
        <f t="shared" si="167"/>
        <v>-2.3462778204144281</v>
      </c>
      <c r="M975" s="63">
        <f t="shared" si="168"/>
        <v>1.5069092834362552E-2</v>
      </c>
      <c r="N975" s="63">
        <f t="shared" si="169"/>
        <v>-2.3262918060634044</v>
      </c>
      <c r="O975" s="62">
        <f t="shared" si="170"/>
        <v>-0.51415005912930845</v>
      </c>
      <c r="P975" s="62">
        <f t="shared" si="171"/>
        <v>-0.89605493146170434</v>
      </c>
      <c r="Q975" s="62">
        <f t="shared" si="172"/>
        <v>7.6327562591611553E-3</v>
      </c>
      <c r="R975" s="63">
        <f t="shared" si="173"/>
        <v>-2.3462778204144281</v>
      </c>
      <c r="S975" s="63">
        <f t="shared" si="174"/>
        <v>1.9986014351023741E-2</v>
      </c>
      <c r="T975" s="63">
        <f t="shared" si="175"/>
        <v>-2.3262918060634044</v>
      </c>
    </row>
    <row r="976" spans="1:20" x14ac:dyDescent="0.3">
      <c r="A976" s="18" t="s">
        <v>283</v>
      </c>
      <c r="B976" s="18" t="s">
        <v>284</v>
      </c>
      <c r="C976" s="18" t="s">
        <v>282</v>
      </c>
      <c r="D976" s="18" t="s">
        <v>279</v>
      </c>
      <c r="E976" s="61">
        <v>2021</v>
      </c>
      <c r="F976" s="62">
        <v>-8771000000</v>
      </c>
      <c r="G976" s="62">
        <v>8124000000</v>
      </c>
      <c r="H976" s="62">
        <v>17316289000</v>
      </c>
      <c r="I976" s="62">
        <v>17272055000</v>
      </c>
      <c r="J976" s="62">
        <f t="shared" si="165"/>
        <v>-0.50651730287014729</v>
      </c>
      <c r="K976" s="62">
        <f t="shared" si="166"/>
        <v>0.47035514882276602</v>
      </c>
      <c r="L976" s="63">
        <f t="shared" si="167"/>
        <v>1.9262341808231673</v>
      </c>
      <c r="M976" s="63">
        <f t="shared" si="168"/>
        <v>-2.5544734209506435E-3</v>
      </c>
      <c r="N976" s="63">
        <f t="shared" si="169"/>
        <v>1.9286062808862188</v>
      </c>
      <c r="O976" s="62">
        <f t="shared" si="170"/>
        <v>0.469153639096691</v>
      </c>
      <c r="P976" s="62">
        <f t="shared" si="171"/>
        <v>0.97567094196683835</v>
      </c>
      <c r="Q976" s="62">
        <f t="shared" si="172"/>
        <v>1.2015097260750229E-3</v>
      </c>
      <c r="R976" s="63">
        <f t="shared" si="173"/>
        <v>1.9262341808231673</v>
      </c>
      <c r="S976" s="63">
        <f t="shared" si="174"/>
        <v>2.3721000630516397E-3</v>
      </c>
      <c r="T976" s="63">
        <f t="shared" si="175"/>
        <v>1.928606280886219</v>
      </c>
    </row>
    <row r="977" spans="1:20" x14ac:dyDescent="0.3">
      <c r="A977" s="18" t="s">
        <v>283</v>
      </c>
      <c r="B977" s="18" t="s">
        <v>284</v>
      </c>
      <c r="C977" s="18" t="s">
        <v>282</v>
      </c>
      <c r="D977" s="18" t="s">
        <v>279</v>
      </c>
      <c r="E977" s="61">
        <v>2022</v>
      </c>
      <c r="F977" s="62">
        <v>8124000000</v>
      </c>
      <c r="G977" s="62">
        <v>9605000000</v>
      </c>
      <c r="H977" s="62">
        <v>17272055000</v>
      </c>
      <c r="I977" s="62">
        <v>16848345000</v>
      </c>
      <c r="J977" s="62">
        <f t="shared" si="165"/>
        <v>0.47035514882276602</v>
      </c>
      <c r="K977" s="62">
        <f t="shared" si="166"/>
        <v>0.57008566716790288</v>
      </c>
      <c r="L977" s="63">
        <f t="shared" si="167"/>
        <v>0.18229935992122107</v>
      </c>
      <c r="M977" s="63">
        <f t="shared" si="168"/>
        <v>-2.4531533740484269E-2</v>
      </c>
      <c r="N977" s="63">
        <f t="shared" si="169"/>
        <v>0.21203237297337674</v>
      </c>
      <c r="O977" s="62">
        <f t="shared" si="170"/>
        <v>0.55610059138880696</v>
      </c>
      <c r="P977" s="62">
        <f t="shared" si="171"/>
        <v>8.5745442566040941E-2</v>
      </c>
      <c r="Q977" s="62">
        <f t="shared" si="172"/>
        <v>1.3985075779095912E-2</v>
      </c>
      <c r="R977" s="63">
        <f t="shared" si="173"/>
        <v>0.18229935992122109</v>
      </c>
      <c r="S977" s="63">
        <f t="shared" si="174"/>
        <v>2.9733013052155643E-2</v>
      </c>
      <c r="T977" s="63">
        <f t="shared" si="175"/>
        <v>0.21203237297337674</v>
      </c>
    </row>
    <row r="978" spans="1:20" x14ac:dyDescent="0.3">
      <c r="A978" s="18" t="s">
        <v>283</v>
      </c>
      <c r="B978" s="18" t="s">
        <v>284</v>
      </c>
      <c r="C978" s="18" t="s">
        <v>282</v>
      </c>
      <c r="D978" s="18" t="s">
        <v>279</v>
      </c>
      <c r="E978" s="61">
        <v>2023</v>
      </c>
      <c r="F978" s="62">
        <v>9605000000</v>
      </c>
      <c r="G978" s="62">
        <v>11076000000</v>
      </c>
      <c r="H978" s="62">
        <v>16848345000</v>
      </c>
      <c r="I978" s="62">
        <v>16172085000</v>
      </c>
      <c r="J978" s="62">
        <f t="shared" si="165"/>
        <v>0.57008566716790288</v>
      </c>
      <c r="K978" s="62">
        <f t="shared" si="166"/>
        <v>0.68488386005886071</v>
      </c>
      <c r="L978" s="63">
        <f t="shared" si="167"/>
        <v>0.15314940135346175</v>
      </c>
      <c r="M978" s="63">
        <f t="shared" si="168"/>
        <v>-4.013806697334367E-2</v>
      </c>
      <c r="N978" s="63">
        <f t="shared" si="169"/>
        <v>0.20137007383689795</v>
      </c>
      <c r="O978" s="62">
        <f t="shared" si="170"/>
        <v>0.657393945814856</v>
      </c>
      <c r="P978" s="62">
        <f t="shared" si="171"/>
        <v>8.7308278646953119E-2</v>
      </c>
      <c r="Q978" s="62">
        <f t="shared" si="172"/>
        <v>2.748991424400471E-2</v>
      </c>
      <c r="R978" s="63">
        <f t="shared" si="173"/>
        <v>0.15314940135346167</v>
      </c>
      <c r="S978" s="63">
        <f t="shared" si="174"/>
        <v>4.8220672483436283E-2</v>
      </c>
      <c r="T978" s="63">
        <f t="shared" si="175"/>
        <v>0.20137007383689795</v>
      </c>
    </row>
    <row r="979" spans="1:20" x14ac:dyDescent="0.3">
      <c r="A979" s="18" t="s">
        <v>283</v>
      </c>
      <c r="B979" s="18" t="s">
        <v>284</v>
      </c>
      <c r="C979" s="18" t="s">
        <v>282</v>
      </c>
      <c r="D979" s="18" t="s">
        <v>279</v>
      </c>
      <c r="E979" s="61">
        <v>2024</v>
      </c>
      <c r="F979" s="62">
        <v>11076000000</v>
      </c>
      <c r="G979" s="62">
        <v>12574000000</v>
      </c>
      <c r="H979" s="62">
        <v>16172085000</v>
      </c>
      <c r="I979" s="62">
        <v>15497607000</v>
      </c>
      <c r="J979" s="62">
        <f t="shared" si="165"/>
        <v>0.68488386005886071</v>
      </c>
      <c r="K979" s="62">
        <f t="shared" si="166"/>
        <v>0.81135106858755679</v>
      </c>
      <c r="L979" s="63">
        <f t="shared" si="167"/>
        <v>0.13524738172625497</v>
      </c>
      <c r="M979" s="63">
        <f t="shared" si="168"/>
        <v>-4.1706310596314577E-2</v>
      </c>
      <c r="N979" s="63">
        <f t="shared" si="169"/>
        <v>0.18465496984821217</v>
      </c>
      <c r="O979" s="62">
        <f t="shared" si="170"/>
        <v>0.77751260891839236</v>
      </c>
      <c r="P979" s="62">
        <f t="shared" si="171"/>
        <v>9.2628748859531651E-2</v>
      </c>
      <c r="Q979" s="62">
        <f t="shared" si="172"/>
        <v>3.3838459669164433E-2</v>
      </c>
      <c r="R979" s="63">
        <f t="shared" si="173"/>
        <v>0.13524738172625486</v>
      </c>
      <c r="S979" s="63">
        <f t="shared" si="174"/>
        <v>4.9407588121957301E-2</v>
      </c>
      <c r="T979" s="63">
        <f t="shared" si="175"/>
        <v>0.18465496984821217</v>
      </c>
    </row>
    <row r="980" spans="1:20" x14ac:dyDescent="0.3">
      <c r="A980" s="18" t="s">
        <v>285</v>
      </c>
      <c r="B980" s="18" t="s">
        <v>286</v>
      </c>
      <c r="C980" s="18" t="s">
        <v>282</v>
      </c>
      <c r="D980" s="18" t="s">
        <v>279</v>
      </c>
      <c r="E980" s="61">
        <v>2016</v>
      </c>
      <c r="F980" s="62">
        <v>2443033000</v>
      </c>
      <c r="G980" s="62">
        <v>2727931000</v>
      </c>
      <c r="H980" s="62">
        <v>6351224068</v>
      </c>
      <c r="I980" s="62">
        <v>6625942701</v>
      </c>
      <c r="J980" s="62">
        <f t="shared" si="165"/>
        <v>0.38465545756903374</v>
      </c>
      <c r="K980" s="62">
        <f t="shared" si="166"/>
        <v>0.4117045865169186</v>
      </c>
      <c r="L980" s="63">
        <f t="shared" si="167"/>
        <v>0.11661651725539524</v>
      </c>
      <c r="M980" s="63">
        <f t="shared" si="168"/>
        <v>4.3254438838670806E-2</v>
      </c>
      <c r="N980" s="63">
        <f t="shared" si="169"/>
        <v>7.032040860366677E-2</v>
      </c>
      <c r="O980" s="62">
        <f t="shared" si="170"/>
        <v>0.42951263737401496</v>
      </c>
      <c r="P980" s="62">
        <f t="shared" si="171"/>
        <v>4.4857179804981218E-2</v>
      </c>
      <c r="Q980" s="62">
        <f t="shared" si="172"/>
        <v>-1.7808050857096358E-2</v>
      </c>
      <c r="R980" s="63">
        <f t="shared" si="173"/>
        <v>0.11661651725539535</v>
      </c>
      <c r="S980" s="63">
        <f t="shared" si="174"/>
        <v>-4.6296108651728576E-2</v>
      </c>
      <c r="T980" s="63">
        <f t="shared" si="175"/>
        <v>7.032040860366677E-2</v>
      </c>
    </row>
    <row r="981" spans="1:20" x14ac:dyDescent="0.3">
      <c r="A981" s="18" t="s">
        <v>285</v>
      </c>
      <c r="B981" s="18" t="s">
        <v>286</v>
      </c>
      <c r="C981" s="18" t="s">
        <v>282</v>
      </c>
      <c r="D981" s="18" t="s">
        <v>279</v>
      </c>
      <c r="E981" s="61">
        <v>2017</v>
      </c>
      <c r="F981" s="62">
        <v>2727931000</v>
      </c>
      <c r="G981" s="62">
        <v>2803994000</v>
      </c>
      <c r="H981" s="62">
        <v>6625942701</v>
      </c>
      <c r="I981" s="62">
        <v>6680254609</v>
      </c>
      <c r="J981" s="62">
        <f t="shared" si="165"/>
        <v>0.4117045865169186</v>
      </c>
      <c r="K981" s="62">
        <f t="shared" si="166"/>
        <v>0.41974358226141678</v>
      </c>
      <c r="L981" s="63">
        <f t="shared" si="167"/>
        <v>2.7883036631058483E-2</v>
      </c>
      <c r="M981" s="63">
        <f t="shared" si="168"/>
        <v>8.1968574813970456E-3</v>
      </c>
      <c r="N981" s="63">
        <f t="shared" si="169"/>
        <v>1.9526126275418172E-2</v>
      </c>
      <c r="O981" s="62">
        <f t="shared" si="170"/>
        <v>0.42318416058394465</v>
      </c>
      <c r="P981" s="62">
        <f t="shared" si="171"/>
        <v>1.1479574067026044E-2</v>
      </c>
      <c r="Q981" s="62">
        <f t="shared" si="172"/>
        <v>-3.4405783225278652E-3</v>
      </c>
      <c r="R981" s="63">
        <f t="shared" si="173"/>
        <v>2.7883036631058521E-2</v>
      </c>
      <c r="S981" s="63">
        <f t="shared" si="174"/>
        <v>-8.3569103556403491E-3</v>
      </c>
      <c r="T981" s="63">
        <f t="shared" si="175"/>
        <v>1.9526126275418172E-2</v>
      </c>
    </row>
    <row r="982" spans="1:20" x14ac:dyDescent="0.3">
      <c r="A982" s="18" t="s">
        <v>285</v>
      </c>
      <c r="B982" s="18" t="s">
        <v>286</v>
      </c>
      <c r="C982" s="18" t="s">
        <v>282</v>
      </c>
      <c r="D982" s="18" t="s">
        <v>279</v>
      </c>
      <c r="E982" s="61">
        <v>2018</v>
      </c>
      <c r="F982" s="62">
        <v>2803994000</v>
      </c>
      <c r="G982" s="62">
        <v>3014052000</v>
      </c>
      <c r="H982" s="62">
        <v>6680254609</v>
      </c>
      <c r="I982" s="62">
        <v>6739846883</v>
      </c>
      <c r="J982" s="62">
        <f t="shared" si="165"/>
        <v>0.41974358226141678</v>
      </c>
      <c r="K982" s="62">
        <f t="shared" si="166"/>
        <v>0.44719888334590818</v>
      </c>
      <c r="L982" s="63">
        <f t="shared" si="167"/>
        <v>7.4913855022514311E-2</v>
      </c>
      <c r="M982" s="63">
        <f t="shared" si="168"/>
        <v>8.9206590898068573E-3</v>
      </c>
      <c r="N982" s="63">
        <f t="shared" si="169"/>
        <v>6.5409698312890965E-2</v>
      </c>
      <c r="O982" s="62">
        <f t="shared" si="170"/>
        <v>0.45118819212957934</v>
      </c>
      <c r="P982" s="62">
        <f t="shared" si="171"/>
        <v>3.1444609868162554E-2</v>
      </c>
      <c r="Q982" s="62">
        <f t="shared" si="172"/>
        <v>-3.9893087836711527E-3</v>
      </c>
      <c r="R982" s="63">
        <f t="shared" si="173"/>
        <v>7.4913855022514228E-2</v>
      </c>
      <c r="S982" s="63">
        <f t="shared" si="174"/>
        <v>-9.5041567096232731E-3</v>
      </c>
      <c r="T982" s="63">
        <f t="shared" si="175"/>
        <v>6.5409698312890951E-2</v>
      </c>
    </row>
    <row r="983" spans="1:20" x14ac:dyDescent="0.3">
      <c r="A983" s="18" t="s">
        <v>285</v>
      </c>
      <c r="B983" s="18" t="s">
        <v>286</v>
      </c>
      <c r="C983" s="18" t="s">
        <v>282</v>
      </c>
      <c r="D983" s="18" t="s">
        <v>279</v>
      </c>
      <c r="E983" s="61">
        <v>2019</v>
      </c>
      <c r="F983" s="62">
        <v>3014052000</v>
      </c>
      <c r="G983" s="62">
        <v>3406311000</v>
      </c>
      <c r="H983" s="62">
        <v>6739846883</v>
      </c>
      <c r="I983" s="62">
        <v>6674166000</v>
      </c>
      <c r="J983" s="62">
        <f t="shared" si="165"/>
        <v>0.44719888334590818</v>
      </c>
      <c r="K983" s="62">
        <f t="shared" si="166"/>
        <v>0.51037253193882204</v>
      </c>
      <c r="L983" s="63">
        <f t="shared" si="167"/>
        <v>0.13014340827563692</v>
      </c>
      <c r="M983" s="63">
        <f t="shared" si="168"/>
        <v>-9.7451595177433046E-3</v>
      </c>
      <c r="N983" s="63">
        <f t="shared" si="169"/>
        <v>0.14126521989557175</v>
      </c>
      <c r="O983" s="62">
        <f t="shared" si="170"/>
        <v>0.50539887020160368</v>
      </c>
      <c r="P983" s="62">
        <f t="shared" si="171"/>
        <v>5.8199986855695496E-2</v>
      </c>
      <c r="Q983" s="62">
        <f t="shared" si="172"/>
        <v>4.97366173721836E-3</v>
      </c>
      <c r="R983" s="63">
        <f t="shared" si="173"/>
        <v>0.130143408275637</v>
      </c>
      <c r="S983" s="63">
        <f t="shared" si="174"/>
        <v>1.1121811619934736E-2</v>
      </c>
      <c r="T983" s="63">
        <f t="shared" si="175"/>
        <v>0.14126521989557173</v>
      </c>
    </row>
    <row r="984" spans="1:20" x14ac:dyDescent="0.3">
      <c r="A984" s="18" t="s">
        <v>285</v>
      </c>
      <c r="B984" s="18" t="s">
        <v>286</v>
      </c>
      <c r="C984" s="18" t="s">
        <v>282</v>
      </c>
      <c r="D984" s="18" t="s">
        <v>279</v>
      </c>
      <c r="E984" s="61">
        <v>2020</v>
      </c>
      <c r="F984" s="62">
        <v>3406311000</v>
      </c>
      <c r="G984" s="62">
        <v>3611000000</v>
      </c>
      <c r="H984" s="62">
        <v>6674166000</v>
      </c>
      <c r="I984" s="62">
        <v>6437104000</v>
      </c>
      <c r="J984" s="62">
        <f t="shared" si="165"/>
        <v>0.51037253193882204</v>
      </c>
      <c r="K984" s="62">
        <f t="shared" si="166"/>
        <v>0.56096654644697364</v>
      </c>
      <c r="L984" s="63">
        <f t="shared" si="167"/>
        <v>6.0091107359251696E-2</v>
      </c>
      <c r="M984" s="63">
        <f t="shared" si="168"/>
        <v>-3.5519344289608616E-2</v>
      </c>
      <c r="N984" s="63">
        <f t="shared" si="169"/>
        <v>9.9131538909339775E-2</v>
      </c>
      <c r="O984" s="62">
        <f t="shared" si="170"/>
        <v>0.54104138254877088</v>
      </c>
      <c r="P984" s="62">
        <f t="shared" si="171"/>
        <v>3.0668850609948839E-2</v>
      </c>
      <c r="Q984" s="62">
        <f t="shared" si="172"/>
        <v>1.9925163898202758E-2</v>
      </c>
      <c r="R984" s="63">
        <f t="shared" si="173"/>
        <v>6.0091107359251633E-2</v>
      </c>
      <c r="S984" s="63">
        <f t="shared" si="174"/>
        <v>3.9040431550088149E-2</v>
      </c>
      <c r="T984" s="63">
        <f t="shared" si="175"/>
        <v>9.9131538909339789E-2</v>
      </c>
    </row>
    <row r="985" spans="1:20" x14ac:dyDescent="0.3">
      <c r="A985" s="18" t="s">
        <v>285</v>
      </c>
      <c r="B985" s="18" t="s">
        <v>286</v>
      </c>
      <c r="C985" s="18" t="s">
        <v>282</v>
      </c>
      <c r="D985" s="18" t="s">
        <v>279</v>
      </c>
      <c r="E985" s="61">
        <v>2021</v>
      </c>
      <c r="F985" s="62">
        <v>3611000000</v>
      </c>
      <c r="G985" s="62">
        <v>3885000000</v>
      </c>
      <c r="H985" s="62">
        <v>6437104000</v>
      </c>
      <c r="I985" s="62">
        <v>6439532000</v>
      </c>
      <c r="J985" s="62">
        <f t="shared" si="165"/>
        <v>0.56096654644697364</v>
      </c>
      <c r="K985" s="62">
        <f t="shared" si="166"/>
        <v>0.60330471220579385</v>
      </c>
      <c r="L985" s="63">
        <f t="shared" si="167"/>
        <v>7.5879257823317642E-2</v>
      </c>
      <c r="M985" s="63">
        <f t="shared" si="168"/>
        <v>3.7718825111416563E-4</v>
      </c>
      <c r="N985" s="63">
        <f t="shared" si="169"/>
        <v>7.5473601816329172E-2</v>
      </c>
      <c r="O985" s="62">
        <f t="shared" si="170"/>
        <v>0.60353227165507972</v>
      </c>
      <c r="P985" s="62">
        <f t="shared" si="171"/>
        <v>4.2565725208106087E-2</v>
      </c>
      <c r="Q985" s="62">
        <f t="shared" si="172"/>
        <v>-2.2755944928587457E-4</v>
      </c>
      <c r="R985" s="63">
        <f t="shared" si="173"/>
        <v>7.5879257823317794E-2</v>
      </c>
      <c r="S985" s="63">
        <f t="shared" si="174"/>
        <v>-4.0565600698861824E-4</v>
      </c>
      <c r="T985" s="63">
        <f t="shared" si="175"/>
        <v>7.5473601816329172E-2</v>
      </c>
    </row>
    <row r="986" spans="1:20" x14ac:dyDescent="0.3">
      <c r="A986" s="18" t="s">
        <v>285</v>
      </c>
      <c r="B986" s="18" t="s">
        <v>286</v>
      </c>
      <c r="C986" s="18" t="s">
        <v>282</v>
      </c>
      <c r="D986" s="18" t="s">
        <v>279</v>
      </c>
      <c r="E986" s="61">
        <v>2022</v>
      </c>
      <c r="F986" s="62">
        <v>3885000000</v>
      </c>
      <c r="G986" s="62">
        <v>4339000000</v>
      </c>
      <c r="H986" s="62">
        <v>6439532000</v>
      </c>
      <c r="I986" s="62">
        <v>6657793000</v>
      </c>
      <c r="J986" s="62">
        <f t="shared" si="165"/>
        <v>0.60330471220579385</v>
      </c>
      <c r="K986" s="62">
        <f t="shared" si="166"/>
        <v>0.65171746853649548</v>
      </c>
      <c r="L986" s="63">
        <f t="shared" si="167"/>
        <v>0.11685971685971686</v>
      </c>
      <c r="M986" s="63">
        <f t="shared" si="168"/>
        <v>3.3893922726061461E-2</v>
      </c>
      <c r="N986" s="63">
        <f t="shared" si="169"/>
        <v>8.0245944298521429E-2</v>
      </c>
      <c r="O986" s="62">
        <f t="shared" si="170"/>
        <v>0.67380673005429592</v>
      </c>
      <c r="P986" s="62">
        <f t="shared" si="171"/>
        <v>7.0502017848502074E-2</v>
      </c>
      <c r="Q986" s="62">
        <f t="shared" si="172"/>
        <v>-2.208926151780044E-2</v>
      </c>
      <c r="R986" s="63">
        <f t="shared" si="173"/>
        <v>0.11685971685971693</v>
      </c>
      <c r="S986" s="63">
        <f t="shared" si="174"/>
        <v>-3.6613772561195496E-2</v>
      </c>
      <c r="T986" s="63">
        <f t="shared" si="175"/>
        <v>8.0245944298521429E-2</v>
      </c>
    </row>
    <row r="987" spans="1:20" x14ac:dyDescent="0.3">
      <c r="A987" s="18" t="s">
        <v>285</v>
      </c>
      <c r="B987" s="18" t="s">
        <v>286</v>
      </c>
      <c r="C987" s="18" t="s">
        <v>282</v>
      </c>
      <c r="D987" s="18" t="s">
        <v>279</v>
      </c>
      <c r="E987" s="61">
        <v>2023</v>
      </c>
      <c r="F987" s="62">
        <v>4339000000</v>
      </c>
      <c r="G987" s="62">
        <v>4803000000</v>
      </c>
      <c r="H987" s="62">
        <v>6657793000</v>
      </c>
      <c r="I987" s="62">
        <v>6431576000</v>
      </c>
      <c r="J987" s="62">
        <f t="shared" si="165"/>
        <v>0.65171746853649548</v>
      </c>
      <c r="K987" s="62">
        <f t="shared" si="166"/>
        <v>0.74678430294534337</v>
      </c>
      <c r="L987" s="63">
        <f t="shared" si="167"/>
        <v>0.10693708227702235</v>
      </c>
      <c r="M987" s="63">
        <f t="shared" si="168"/>
        <v>-3.3977776118903069E-2</v>
      </c>
      <c r="N987" s="63">
        <f t="shared" si="169"/>
        <v>0.1458712386861919</v>
      </c>
      <c r="O987" s="62">
        <f t="shared" si="170"/>
        <v>0.72141023309075547</v>
      </c>
      <c r="P987" s="62">
        <f t="shared" si="171"/>
        <v>6.9692764554259989E-2</v>
      </c>
      <c r="Q987" s="62">
        <f t="shared" si="172"/>
        <v>2.53740698545879E-2</v>
      </c>
      <c r="R987" s="63">
        <f t="shared" si="173"/>
        <v>0.10693708227702242</v>
      </c>
      <c r="S987" s="63">
        <f t="shared" si="174"/>
        <v>3.8934156409169474E-2</v>
      </c>
      <c r="T987" s="63">
        <f t="shared" si="175"/>
        <v>0.1458712386861919</v>
      </c>
    </row>
    <row r="988" spans="1:20" x14ac:dyDescent="0.3">
      <c r="A988" s="18" t="s">
        <v>285</v>
      </c>
      <c r="B988" s="18" t="s">
        <v>286</v>
      </c>
      <c r="C988" s="18" t="s">
        <v>282</v>
      </c>
      <c r="D988" s="18" t="s">
        <v>279</v>
      </c>
      <c r="E988" s="61">
        <v>2024</v>
      </c>
      <c r="F988" s="62">
        <v>4803000000</v>
      </c>
      <c r="G988" s="62">
        <v>5612000000</v>
      </c>
      <c r="H988" s="62">
        <v>6431576000</v>
      </c>
      <c r="I988" s="62">
        <v>6440265000</v>
      </c>
      <c r="J988" s="62">
        <f t="shared" si="165"/>
        <v>0.74678430294534337</v>
      </c>
      <c r="K988" s="62">
        <f t="shared" si="166"/>
        <v>0.87139271443022914</v>
      </c>
      <c r="L988" s="63">
        <f t="shared" si="167"/>
        <v>0.16843639392046639</v>
      </c>
      <c r="M988" s="63">
        <f t="shared" si="168"/>
        <v>1.3509907991447198E-3</v>
      </c>
      <c r="N988" s="63">
        <f t="shared" si="169"/>
        <v>0.1668599768278817</v>
      </c>
      <c r="O988" s="62">
        <f t="shared" si="170"/>
        <v>0.87256995796986614</v>
      </c>
      <c r="P988" s="62">
        <f t="shared" si="171"/>
        <v>0.12578565502452277</v>
      </c>
      <c r="Q988" s="62">
        <f t="shared" si="172"/>
        <v>-1.1772435396369962E-3</v>
      </c>
      <c r="R988" s="63">
        <f t="shared" si="173"/>
        <v>0.16843639392046639</v>
      </c>
      <c r="S988" s="63">
        <f t="shared" si="174"/>
        <v>-1.5764170925847084E-3</v>
      </c>
      <c r="T988" s="63">
        <f t="shared" si="175"/>
        <v>0.16685997682788167</v>
      </c>
    </row>
    <row r="989" spans="1:20" x14ac:dyDescent="0.3">
      <c r="A989" s="18" t="s">
        <v>287</v>
      </c>
      <c r="B989" s="18" t="s">
        <v>288</v>
      </c>
      <c r="C989" s="18" t="s">
        <v>282</v>
      </c>
      <c r="D989" s="18" t="s">
        <v>279</v>
      </c>
      <c r="E989" s="61">
        <v>2016</v>
      </c>
      <c r="F989" s="62">
        <v>2642000000</v>
      </c>
      <c r="G989" s="62">
        <v>3475000000</v>
      </c>
      <c r="H989" s="62">
        <v>6517000000</v>
      </c>
      <c r="I989" s="62">
        <v>6950000000</v>
      </c>
      <c r="J989" s="62">
        <f t="shared" si="165"/>
        <v>0.40540125824765999</v>
      </c>
      <c r="K989" s="62">
        <f t="shared" si="166"/>
        <v>0.5</v>
      </c>
      <c r="L989" s="63">
        <f t="shared" si="167"/>
        <v>0.31529144587433761</v>
      </c>
      <c r="M989" s="63">
        <f t="shared" si="168"/>
        <v>6.6441614239680841E-2</v>
      </c>
      <c r="N989" s="63">
        <f t="shared" si="169"/>
        <v>0.23334595003785005</v>
      </c>
      <c r="O989" s="62">
        <f t="shared" si="170"/>
        <v>0.53322080711984043</v>
      </c>
      <c r="P989" s="62">
        <f t="shared" si="171"/>
        <v>0.12781954887218044</v>
      </c>
      <c r="Q989" s="62">
        <f t="shared" si="172"/>
        <v>-3.3220807119840434E-2</v>
      </c>
      <c r="R989" s="63">
        <f t="shared" si="173"/>
        <v>0.31529144587433761</v>
      </c>
      <c r="S989" s="63">
        <f t="shared" si="174"/>
        <v>-8.1945495836487553E-2</v>
      </c>
      <c r="T989" s="63">
        <f t="shared" si="175"/>
        <v>0.23334595003785005</v>
      </c>
    </row>
    <row r="990" spans="1:20" x14ac:dyDescent="0.3">
      <c r="A990" s="18" t="s">
        <v>287</v>
      </c>
      <c r="B990" s="18" t="s">
        <v>288</v>
      </c>
      <c r="C990" s="18" t="s">
        <v>282</v>
      </c>
      <c r="D990" s="18" t="s">
        <v>279</v>
      </c>
      <c r="E990" s="61">
        <v>2017</v>
      </c>
      <c r="F990" s="62">
        <v>3475000000</v>
      </c>
      <c r="G990" s="62">
        <v>3514000000</v>
      </c>
      <c r="H990" s="62">
        <v>6950000000</v>
      </c>
      <c r="I990" s="62">
        <v>7331250000</v>
      </c>
      <c r="J990" s="62">
        <f t="shared" si="165"/>
        <v>0.5</v>
      </c>
      <c r="K990" s="62">
        <f t="shared" si="166"/>
        <v>0.47931798806479115</v>
      </c>
      <c r="L990" s="63">
        <f t="shared" si="167"/>
        <v>1.1223021582733812E-2</v>
      </c>
      <c r="M990" s="63">
        <f t="shared" si="168"/>
        <v>5.4856115107913668E-2</v>
      </c>
      <c r="N990" s="63">
        <f t="shared" si="169"/>
        <v>-4.136402387041771E-2</v>
      </c>
      <c r="O990" s="62">
        <f t="shared" si="170"/>
        <v>0.5056115107913669</v>
      </c>
      <c r="P990" s="62">
        <f t="shared" si="171"/>
        <v>5.6115107913669027E-3</v>
      </c>
      <c r="Q990" s="62">
        <f t="shared" si="172"/>
        <v>-2.6293522726575758E-2</v>
      </c>
      <c r="R990" s="63">
        <f t="shared" si="173"/>
        <v>1.1223021582733805E-2</v>
      </c>
      <c r="S990" s="63">
        <f t="shared" si="174"/>
        <v>-5.2587045453151515E-2</v>
      </c>
      <c r="T990" s="63">
        <f t="shared" si="175"/>
        <v>-4.136402387041771E-2</v>
      </c>
    </row>
    <row r="991" spans="1:20" x14ac:dyDescent="0.3">
      <c r="A991" s="18" t="s">
        <v>287</v>
      </c>
      <c r="B991" s="18" t="s">
        <v>288</v>
      </c>
      <c r="C991" s="18" t="s">
        <v>282</v>
      </c>
      <c r="D991" s="18" t="s">
        <v>279</v>
      </c>
      <c r="E991" s="61">
        <v>2018</v>
      </c>
      <c r="F991" s="62">
        <v>3514000000</v>
      </c>
      <c r="G991" s="62">
        <v>5400000000</v>
      </c>
      <c r="H991" s="62">
        <v>7331250000</v>
      </c>
      <c r="I991" s="62">
        <v>6636000000</v>
      </c>
      <c r="J991" s="62">
        <f t="shared" si="165"/>
        <v>0.47931798806479115</v>
      </c>
      <c r="K991" s="62">
        <f t="shared" si="166"/>
        <v>0.8137432188065099</v>
      </c>
      <c r="L991" s="63">
        <f t="shared" si="167"/>
        <v>0.53671030165054068</v>
      </c>
      <c r="M991" s="63">
        <f t="shared" si="168"/>
        <v>-9.4833759590792835E-2</v>
      </c>
      <c r="N991" s="63">
        <f t="shared" si="169"/>
        <v>0.69771057850746321</v>
      </c>
      <c r="O991" s="62">
        <f t="shared" si="170"/>
        <v>0.73657289002557547</v>
      </c>
      <c r="P991" s="62">
        <f t="shared" si="171"/>
        <v>0.25725490196078432</v>
      </c>
      <c r="Q991" s="62">
        <f t="shared" si="172"/>
        <v>7.7170328780934438E-2</v>
      </c>
      <c r="R991" s="63">
        <f t="shared" si="173"/>
        <v>0.53671030165054068</v>
      </c>
      <c r="S991" s="63">
        <f t="shared" si="174"/>
        <v>0.16100027685692248</v>
      </c>
      <c r="T991" s="63">
        <f t="shared" si="175"/>
        <v>0.6977105785074631</v>
      </c>
    </row>
    <row r="992" spans="1:20" x14ac:dyDescent="0.3">
      <c r="A992" s="18" t="s">
        <v>287</v>
      </c>
      <c r="B992" s="18" t="s">
        <v>288</v>
      </c>
      <c r="C992" s="18" t="s">
        <v>282</v>
      </c>
      <c r="D992" s="18" t="s">
        <v>279</v>
      </c>
      <c r="E992" s="61">
        <v>2019</v>
      </c>
      <c r="F992" s="62">
        <v>5400000000</v>
      </c>
      <c r="G992" s="62">
        <v>3512000000</v>
      </c>
      <c r="H992" s="62">
        <v>6636000000</v>
      </c>
      <c r="I992" s="62">
        <v>6648000000</v>
      </c>
      <c r="J992" s="62">
        <f t="shared" si="165"/>
        <v>0.8137432188065099</v>
      </c>
      <c r="K992" s="62">
        <f t="shared" si="166"/>
        <v>0.52827918170878463</v>
      </c>
      <c r="L992" s="63">
        <f t="shared" si="167"/>
        <v>-0.34962962962962962</v>
      </c>
      <c r="M992" s="63">
        <f t="shared" si="168"/>
        <v>1.8083182640144665E-3</v>
      </c>
      <c r="N992" s="63">
        <f t="shared" si="169"/>
        <v>-0.35080358336676021</v>
      </c>
      <c r="O992" s="62">
        <f t="shared" si="170"/>
        <v>0.52923447860156725</v>
      </c>
      <c r="P992" s="62">
        <f t="shared" si="171"/>
        <v>-0.28450874020494266</v>
      </c>
      <c r="Q992" s="62">
        <f t="shared" si="172"/>
        <v>-9.5529689278261998E-4</v>
      </c>
      <c r="R992" s="63">
        <f t="shared" si="173"/>
        <v>-0.34962962962962957</v>
      </c>
      <c r="S992" s="63">
        <f t="shared" si="174"/>
        <v>-1.173953737130642E-3</v>
      </c>
      <c r="T992" s="63">
        <f t="shared" si="175"/>
        <v>-0.35080358336676021</v>
      </c>
    </row>
    <row r="993" spans="1:20" x14ac:dyDescent="0.3">
      <c r="A993" s="18" t="s">
        <v>287</v>
      </c>
      <c r="B993" s="18" t="s">
        <v>288</v>
      </c>
      <c r="C993" s="18" t="s">
        <v>282</v>
      </c>
      <c r="D993" s="18" t="s">
        <v>279</v>
      </c>
      <c r="E993" s="61">
        <v>2020</v>
      </c>
      <c r="F993" s="62">
        <v>3512000000</v>
      </c>
      <c r="G993" s="62">
        <v>1305000000</v>
      </c>
      <c r="H993" s="62">
        <v>6648000000</v>
      </c>
      <c r="I993" s="62">
        <v>6653534000</v>
      </c>
      <c r="J993" s="62">
        <f t="shared" si="165"/>
        <v>0.52827918170878463</v>
      </c>
      <c r="K993" s="62">
        <f t="shared" si="166"/>
        <v>0.19613636903335882</v>
      </c>
      <c r="L993" s="63">
        <f t="shared" si="167"/>
        <v>-0.62841685649202739</v>
      </c>
      <c r="M993" s="63">
        <f t="shared" si="168"/>
        <v>8.3243080625752103E-4</v>
      </c>
      <c r="N993" s="63">
        <f t="shared" si="169"/>
        <v>-0.62872591647671705</v>
      </c>
      <c r="O993" s="62">
        <f t="shared" si="170"/>
        <v>0.19629963898916966</v>
      </c>
      <c r="P993" s="62">
        <f t="shared" si="171"/>
        <v>-0.33197954271961494</v>
      </c>
      <c r="Q993" s="62">
        <f t="shared" si="172"/>
        <v>-1.6326995581084081E-4</v>
      </c>
      <c r="R993" s="63">
        <f t="shared" si="173"/>
        <v>-0.62841685649202728</v>
      </c>
      <c r="S993" s="63">
        <f t="shared" si="174"/>
        <v>-3.0905998468976927E-4</v>
      </c>
      <c r="T993" s="63">
        <f t="shared" si="175"/>
        <v>-0.62872591647671705</v>
      </c>
    </row>
    <row r="994" spans="1:20" x14ac:dyDescent="0.3">
      <c r="A994" s="18" t="s">
        <v>287</v>
      </c>
      <c r="B994" s="18" t="s">
        <v>288</v>
      </c>
      <c r="C994" s="18" t="s">
        <v>282</v>
      </c>
      <c r="D994" s="18" t="s">
        <v>279</v>
      </c>
      <c r="E994" s="61">
        <v>2021</v>
      </c>
      <c r="F994" s="62">
        <v>1305000000</v>
      </c>
      <c r="G994" s="62">
        <v>4653000000</v>
      </c>
      <c r="H994" s="62">
        <v>6653534000</v>
      </c>
      <c r="I994" s="62">
        <v>6401000000</v>
      </c>
      <c r="J994" s="62">
        <f t="shared" si="165"/>
        <v>0.19613636903335882</v>
      </c>
      <c r="K994" s="62">
        <f t="shared" si="166"/>
        <v>0.72691766911420086</v>
      </c>
      <c r="L994" s="63">
        <f t="shared" si="167"/>
        <v>2.5655172413793101</v>
      </c>
      <c r="M994" s="63">
        <f t="shared" si="168"/>
        <v>-3.7954867293080639E-2</v>
      </c>
      <c r="N994" s="63">
        <f t="shared" si="169"/>
        <v>2.7061850012659656</v>
      </c>
      <c r="O994" s="62">
        <f t="shared" si="170"/>
        <v>0.69932760544997585</v>
      </c>
      <c r="P994" s="62">
        <f t="shared" si="171"/>
        <v>0.503191236416617</v>
      </c>
      <c r="Q994" s="62">
        <f t="shared" si="172"/>
        <v>2.7590063664225006E-2</v>
      </c>
      <c r="R994" s="63">
        <f t="shared" si="173"/>
        <v>2.5655172413793097</v>
      </c>
      <c r="S994" s="63">
        <f t="shared" si="174"/>
        <v>0.14066775988665567</v>
      </c>
      <c r="T994" s="63">
        <f t="shared" si="175"/>
        <v>2.7061850012659652</v>
      </c>
    </row>
    <row r="995" spans="1:20" x14ac:dyDescent="0.3">
      <c r="A995" s="18" t="s">
        <v>287</v>
      </c>
      <c r="B995" s="18" t="s">
        <v>288</v>
      </c>
      <c r="C995" s="18" t="s">
        <v>282</v>
      </c>
      <c r="D995" s="18" t="s">
        <v>279</v>
      </c>
      <c r="E995" s="61">
        <v>2022</v>
      </c>
      <c r="F995" s="62">
        <v>4653000000</v>
      </c>
      <c r="G995" s="62">
        <v>6358000000</v>
      </c>
      <c r="H995" s="62">
        <v>6401000000</v>
      </c>
      <c r="I995" s="62">
        <v>6189000000</v>
      </c>
      <c r="J995" s="62">
        <f t="shared" si="165"/>
        <v>0.72691766911420086</v>
      </c>
      <c r="K995" s="62">
        <f t="shared" si="166"/>
        <v>1.0273065115527549</v>
      </c>
      <c r="L995" s="63">
        <f t="shared" si="167"/>
        <v>0.3664302600472813</v>
      </c>
      <c r="M995" s="63">
        <f t="shared" si="168"/>
        <v>-3.3119825027339476E-2</v>
      </c>
      <c r="N995" s="63">
        <f t="shared" si="169"/>
        <v>0.41323640241761966</v>
      </c>
      <c r="O995" s="62">
        <f t="shared" si="170"/>
        <v>0.99328229964068115</v>
      </c>
      <c r="P995" s="62">
        <f t="shared" si="171"/>
        <v>0.26636463052648029</v>
      </c>
      <c r="Q995" s="62">
        <f t="shared" si="172"/>
        <v>3.4024211912073721E-2</v>
      </c>
      <c r="R995" s="63">
        <f t="shared" si="173"/>
        <v>0.36643026004728141</v>
      </c>
      <c r="S995" s="63">
        <f t="shared" si="174"/>
        <v>4.6806142370338255E-2</v>
      </c>
      <c r="T995" s="63">
        <f t="shared" si="175"/>
        <v>0.41323640241761966</v>
      </c>
    </row>
    <row r="996" spans="1:20" x14ac:dyDescent="0.3">
      <c r="A996" s="18" t="s">
        <v>287</v>
      </c>
      <c r="B996" s="18" t="s">
        <v>288</v>
      </c>
      <c r="C996" s="18" t="s">
        <v>282</v>
      </c>
      <c r="D996" s="18" t="s">
        <v>279</v>
      </c>
      <c r="E996" s="61">
        <v>2023</v>
      </c>
      <c r="F996" s="62">
        <v>6358000000</v>
      </c>
      <c r="G996" s="62">
        <v>8019000000</v>
      </c>
      <c r="H996" s="62">
        <v>6189000000</v>
      </c>
      <c r="I996" s="62">
        <v>5955000000</v>
      </c>
      <c r="J996" s="62">
        <f t="shared" si="165"/>
        <v>1.0273065115527549</v>
      </c>
      <c r="K996" s="62">
        <f t="shared" si="166"/>
        <v>1.3465994962216625</v>
      </c>
      <c r="L996" s="63">
        <f t="shared" si="167"/>
        <v>0.26124567474048443</v>
      </c>
      <c r="M996" s="63">
        <f t="shared" si="168"/>
        <v>-3.7809015996122151E-2</v>
      </c>
      <c r="N996" s="63">
        <f t="shared" si="169"/>
        <v>0.31080595818116852</v>
      </c>
      <c r="O996" s="62">
        <f t="shared" si="170"/>
        <v>1.2956858943286476</v>
      </c>
      <c r="P996" s="62">
        <f t="shared" si="171"/>
        <v>0.26837938277589268</v>
      </c>
      <c r="Q996" s="62">
        <f t="shared" si="172"/>
        <v>5.091360189301497E-2</v>
      </c>
      <c r="R996" s="63">
        <f t="shared" si="173"/>
        <v>0.26124567474048438</v>
      </c>
      <c r="S996" s="63">
        <f t="shared" si="174"/>
        <v>4.9560283440684125E-2</v>
      </c>
      <c r="T996" s="63">
        <f t="shared" si="175"/>
        <v>0.31080595818116852</v>
      </c>
    </row>
    <row r="997" spans="1:20" x14ac:dyDescent="0.3">
      <c r="A997" s="18" t="s">
        <v>287</v>
      </c>
      <c r="B997" s="18" t="s">
        <v>288</v>
      </c>
      <c r="C997" s="18" t="s">
        <v>282</v>
      </c>
      <c r="D997" s="18" t="s">
        <v>279</v>
      </c>
      <c r="E997" s="61">
        <v>2024</v>
      </c>
      <c r="F997" s="62">
        <v>8019000000</v>
      </c>
      <c r="G997" s="62">
        <v>10054000000</v>
      </c>
      <c r="H997" s="62">
        <v>5955000000</v>
      </c>
      <c r="I997" s="62">
        <v>6026477000</v>
      </c>
      <c r="J997" s="62">
        <f t="shared" si="165"/>
        <v>1.3465994962216625</v>
      </c>
      <c r="K997" s="62">
        <f t="shared" si="166"/>
        <v>1.6683047160057194</v>
      </c>
      <c r="L997" s="63">
        <f t="shared" si="167"/>
        <v>0.25377229080932784</v>
      </c>
      <c r="M997" s="63">
        <f t="shared" si="168"/>
        <v>1.2002854743912678E-2</v>
      </c>
      <c r="N997" s="63">
        <f t="shared" si="169"/>
        <v>0.23890193089089146</v>
      </c>
      <c r="O997" s="62">
        <f t="shared" si="170"/>
        <v>1.6883291351805205</v>
      </c>
      <c r="P997" s="62">
        <f t="shared" si="171"/>
        <v>0.341729638958858</v>
      </c>
      <c r="Q997" s="62">
        <f t="shared" si="172"/>
        <v>-2.0024419174801134E-2</v>
      </c>
      <c r="R997" s="63">
        <f t="shared" si="173"/>
        <v>0.25377229080932778</v>
      </c>
      <c r="S997" s="63">
        <f t="shared" si="174"/>
        <v>-1.4870359918436308E-2</v>
      </c>
      <c r="T997" s="63">
        <f t="shared" si="175"/>
        <v>0.23890193089089148</v>
      </c>
    </row>
    <row r="998" spans="1:20" x14ac:dyDescent="0.3">
      <c r="A998" s="18" t="s">
        <v>289</v>
      </c>
      <c r="B998" s="18" t="s">
        <v>290</v>
      </c>
      <c r="C998" s="18" t="s">
        <v>282</v>
      </c>
      <c r="D998" s="18" t="s">
        <v>279</v>
      </c>
      <c r="E998" s="61">
        <v>2016</v>
      </c>
      <c r="F998" s="62">
        <v>2745000000</v>
      </c>
      <c r="G998" s="62">
        <v>2369000000</v>
      </c>
      <c r="H998" s="62">
        <v>4928000000</v>
      </c>
      <c r="I998" s="62">
        <v>4909254000</v>
      </c>
      <c r="J998" s="62">
        <f t="shared" si="165"/>
        <v>0.55702110389610393</v>
      </c>
      <c r="K998" s="62">
        <f t="shared" si="166"/>
        <v>0.48255804242355355</v>
      </c>
      <c r="L998" s="63">
        <f t="shared" si="167"/>
        <v>-0.13697632058287795</v>
      </c>
      <c r="M998" s="63">
        <f t="shared" si="168"/>
        <v>-3.8039772727272727E-3</v>
      </c>
      <c r="N998" s="63">
        <f t="shared" si="169"/>
        <v>-0.13368086227203216</v>
      </c>
      <c r="O998" s="62">
        <f t="shared" si="170"/>
        <v>0.48072240259740262</v>
      </c>
      <c r="P998" s="62">
        <f t="shared" si="171"/>
        <v>-7.629870129870131E-2</v>
      </c>
      <c r="Q998" s="62">
        <f t="shared" si="172"/>
        <v>1.8356398261509255E-3</v>
      </c>
      <c r="R998" s="63">
        <f t="shared" si="173"/>
        <v>-0.13697632058287798</v>
      </c>
      <c r="S998" s="63">
        <f t="shared" si="174"/>
        <v>3.2954583108458142E-3</v>
      </c>
      <c r="T998" s="63">
        <f t="shared" si="175"/>
        <v>-0.13368086227203216</v>
      </c>
    </row>
    <row r="999" spans="1:20" x14ac:dyDescent="0.3">
      <c r="A999" s="18" t="s">
        <v>289</v>
      </c>
      <c r="B999" s="18" t="s">
        <v>290</v>
      </c>
      <c r="C999" s="18" t="s">
        <v>282</v>
      </c>
      <c r="D999" s="18" t="s">
        <v>279</v>
      </c>
      <c r="E999" s="61">
        <v>2017</v>
      </c>
      <c r="F999" s="62">
        <v>2369000000</v>
      </c>
      <c r="G999" s="62">
        <v>3132000000</v>
      </c>
      <c r="H999" s="62">
        <v>4909254000</v>
      </c>
      <c r="I999" s="62">
        <v>5110188000</v>
      </c>
      <c r="J999" s="62">
        <f t="shared" si="165"/>
        <v>0.48255804242355355</v>
      </c>
      <c r="K999" s="62">
        <f t="shared" si="166"/>
        <v>0.61289330255560071</v>
      </c>
      <c r="L999" s="63">
        <f t="shared" si="167"/>
        <v>0.32207682566483747</v>
      </c>
      <c r="M999" s="63">
        <f t="shared" si="168"/>
        <v>4.0929640226396925E-2</v>
      </c>
      <c r="N999" s="63">
        <f t="shared" si="169"/>
        <v>0.27009240065187551</v>
      </c>
      <c r="O999" s="62">
        <f t="shared" si="170"/>
        <v>0.63797880492636971</v>
      </c>
      <c r="P999" s="62">
        <f t="shared" si="171"/>
        <v>0.15542076250281617</v>
      </c>
      <c r="Q999" s="62">
        <f t="shared" si="172"/>
        <v>-2.5085502370769008E-2</v>
      </c>
      <c r="R999" s="63">
        <f t="shared" si="173"/>
        <v>0.32207682566483758</v>
      </c>
      <c r="S999" s="63">
        <f t="shared" si="174"/>
        <v>-5.1984425012962111E-2</v>
      </c>
      <c r="T999" s="63">
        <f t="shared" si="175"/>
        <v>0.27009240065187545</v>
      </c>
    </row>
    <row r="1000" spans="1:20" x14ac:dyDescent="0.3">
      <c r="A1000" s="18" t="s">
        <v>289</v>
      </c>
      <c r="B1000" s="18" t="s">
        <v>290</v>
      </c>
      <c r="C1000" s="18" t="s">
        <v>282</v>
      </c>
      <c r="D1000" s="18" t="s">
        <v>279</v>
      </c>
      <c r="E1000" s="61">
        <v>2018</v>
      </c>
      <c r="F1000" s="62">
        <v>3132000000</v>
      </c>
      <c r="G1000" s="62">
        <v>3331000000</v>
      </c>
      <c r="H1000" s="62">
        <v>5110188000</v>
      </c>
      <c r="I1000" s="62">
        <v>5126575000</v>
      </c>
      <c r="J1000" s="62">
        <f t="shared" si="165"/>
        <v>0.61289330255560071</v>
      </c>
      <c r="K1000" s="62">
        <f t="shared" si="166"/>
        <v>0.64975153977070466</v>
      </c>
      <c r="L1000" s="63">
        <f t="shared" si="167"/>
        <v>6.3537675606641128E-2</v>
      </c>
      <c r="M1000" s="63">
        <f t="shared" si="168"/>
        <v>3.2067313374772124E-3</v>
      </c>
      <c r="N1000" s="63">
        <f t="shared" si="169"/>
        <v>6.0138097547183147E-2</v>
      </c>
      <c r="O1000" s="62">
        <f t="shared" si="170"/>
        <v>0.65183511839486141</v>
      </c>
      <c r="P1000" s="62">
        <f t="shared" si="171"/>
        <v>3.8941815839260707E-2</v>
      </c>
      <c r="Q1000" s="62">
        <f t="shared" si="172"/>
        <v>-2.0835786241567567E-3</v>
      </c>
      <c r="R1000" s="63">
        <f t="shared" si="173"/>
        <v>6.3537675606641128E-2</v>
      </c>
      <c r="S1000" s="63">
        <f t="shared" si="174"/>
        <v>-3.3995780594579719E-3</v>
      </c>
      <c r="T1000" s="63">
        <f t="shared" si="175"/>
        <v>6.0138097547183154E-2</v>
      </c>
    </row>
    <row r="1001" spans="1:20" x14ac:dyDescent="0.3">
      <c r="A1001" s="18" t="s">
        <v>289</v>
      </c>
      <c r="B1001" s="18" t="s">
        <v>290</v>
      </c>
      <c r="C1001" s="18" t="s">
        <v>282</v>
      </c>
      <c r="D1001" s="18" t="s">
        <v>279</v>
      </c>
      <c r="E1001" s="61">
        <v>2019</v>
      </c>
      <c r="F1001" s="62">
        <v>3331000000</v>
      </c>
      <c r="G1001" s="62">
        <v>1664000000</v>
      </c>
      <c r="H1001" s="62">
        <v>5126575000</v>
      </c>
      <c r="I1001" s="62">
        <v>5119138000</v>
      </c>
      <c r="J1001" s="62">
        <f t="shared" si="165"/>
        <v>0.64975153977070466</v>
      </c>
      <c r="K1001" s="62">
        <f t="shared" si="166"/>
        <v>0.32505472601051194</v>
      </c>
      <c r="L1001" s="63">
        <f t="shared" si="167"/>
        <v>-0.50045031522065442</v>
      </c>
      <c r="M1001" s="63">
        <f t="shared" si="168"/>
        <v>-1.4506761336759923E-3</v>
      </c>
      <c r="N1001" s="63">
        <f t="shared" si="169"/>
        <v>-0.49972457760512157</v>
      </c>
      <c r="O1001" s="62">
        <f t="shared" si="170"/>
        <v>0.32458317687734989</v>
      </c>
      <c r="P1001" s="62">
        <f t="shared" si="171"/>
        <v>-0.32516836289335477</v>
      </c>
      <c r="Q1001" s="62">
        <f t="shared" si="172"/>
        <v>4.7154913316205249E-4</v>
      </c>
      <c r="R1001" s="63">
        <f t="shared" si="173"/>
        <v>-0.50045031522065453</v>
      </c>
      <c r="S1001" s="63">
        <f t="shared" si="174"/>
        <v>7.2573761553294781E-4</v>
      </c>
      <c r="T1001" s="63">
        <f t="shared" si="175"/>
        <v>-0.49972457760512157</v>
      </c>
    </row>
    <row r="1002" spans="1:20" x14ac:dyDescent="0.3">
      <c r="A1002" s="18" t="s">
        <v>289</v>
      </c>
      <c r="B1002" s="18" t="s">
        <v>290</v>
      </c>
      <c r="C1002" s="18" t="s">
        <v>282</v>
      </c>
      <c r="D1002" s="18" t="s">
        <v>279</v>
      </c>
      <c r="E1002" s="61">
        <v>2020</v>
      </c>
      <c r="F1002" s="62">
        <v>1664000000</v>
      </c>
      <c r="G1002" s="62">
        <v>1582000000</v>
      </c>
      <c r="H1002" s="62">
        <v>5119138000</v>
      </c>
      <c r="I1002" s="62">
        <v>5471160000</v>
      </c>
      <c r="J1002" s="62">
        <f t="shared" si="165"/>
        <v>0.32505472601051194</v>
      </c>
      <c r="K1002" s="62">
        <f t="shared" si="166"/>
        <v>0.28915257459112875</v>
      </c>
      <c r="L1002" s="63">
        <f t="shared" si="167"/>
        <v>-4.9278846153846152E-2</v>
      </c>
      <c r="M1002" s="63">
        <f t="shared" si="168"/>
        <v>6.8765874254610837E-2</v>
      </c>
      <c r="N1002" s="63">
        <f t="shared" si="169"/>
        <v>-0.1104495598634125</v>
      </c>
      <c r="O1002" s="62">
        <f t="shared" si="170"/>
        <v>0.30903640417585931</v>
      </c>
      <c r="P1002" s="62">
        <f t="shared" si="171"/>
        <v>-1.6018321834652627E-2</v>
      </c>
      <c r="Q1002" s="62">
        <f t="shared" si="172"/>
        <v>-1.9883829584730561E-2</v>
      </c>
      <c r="R1002" s="63">
        <f t="shared" si="173"/>
        <v>-4.9278846153846138E-2</v>
      </c>
      <c r="S1002" s="63">
        <f t="shared" si="174"/>
        <v>-6.1170713709566366E-2</v>
      </c>
      <c r="T1002" s="63">
        <f t="shared" si="175"/>
        <v>-0.11044955986341251</v>
      </c>
    </row>
    <row r="1003" spans="1:20" x14ac:dyDescent="0.3">
      <c r="A1003" s="18" t="s">
        <v>289</v>
      </c>
      <c r="B1003" s="18" t="s">
        <v>290</v>
      </c>
      <c r="C1003" s="18" t="s">
        <v>282</v>
      </c>
      <c r="D1003" s="18" t="s">
        <v>279</v>
      </c>
      <c r="E1003" s="61">
        <v>2021</v>
      </c>
      <c r="F1003" s="62">
        <v>1582000000</v>
      </c>
      <c r="G1003" s="62">
        <v>8137000000</v>
      </c>
      <c r="H1003" s="62">
        <v>5471160000</v>
      </c>
      <c r="I1003" s="62">
        <v>5726631000</v>
      </c>
      <c r="J1003" s="62">
        <f t="shared" si="165"/>
        <v>0.28915257459112875</v>
      </c>
      <c r="K1003" s="62">
        <f t="shared" si="166"/>
        <v>1.4209052407951552</v>
      </c>
      <c r="L1003" s="63">
        <f t="shared" si="167"/>
        <v>4.1434892541087232</v>
      </c>
      <c r="M1003" s="63">
        <f t="shared" si="168"/>
        <v>4.66941197113592E-2</v>
      </c>
      <c r="N1003" s="63">
        <f t="shared" si="169"/>
        <v>3.9140328174644892</v>
      </c>
      <c r="O1003" s="62">
        <f t="shared" si="170"/>
        <v>1.4872531602073418</v>
      </c>
      <c r="P1003" s="62">
        <f t="shared" si="171"/>
        <v>1.198100585616213</v>
      </c>
      <c r="Q1003" s="62">
        <f t="shared" si="172"/>
        <v>-6.634791941218654E-2</v>
      </c>
      <c r="R1003" s="63">
        <f t="shared" si="173"/>
        <v>4.1434892541087232</v>
      </c>
      <c r="S1003" s="63">
        <f t="shared" si="174"/>
        <v>-0.22945643664423421</v>
      </c>
      <c r="T1003" s="63">
        <f t="shared" si="175"/>
        <v>3.9140328174644887</v>
      </c>
    </row>
    <row r="1004" spans="1:20" x14ac:dyDescent="0.3">
      <c r="A1004" s="18" t="s">
        <v>289</v>
      </c>
      <c r="B1004" s="18" t="s">
        <v>290</v>
      </c>
      <c r="C1004" s="18" t="s">
        <v>282</v>
      </c>
      <c r="D1004" s="18" t="s">
        <v>279</v>
      </c>
      <c r="E1004" s="61">
        <v>2022</v>
      </c>
      <c r="F1004" s="62">
        <v>8137000000</v>
      </c>
      <c r="G1004" s="62">
        <v>2011000000</v>
      </c>
      <c r="H1004" s="62">
        <v>5726631000</v>
      </c>
      <c r="I1004" s="62">
        <v>5740105000</v>
      </c>
      <c r="J1004" s="62">
        <f t="shared" si="165"/>
        <v>1.4209052407951552</v>
      </c>
      <c r="K1004" s="62">
        <f t="shared" si="166"/>
        <v>0.35034202336019987</v>
      </c>
      <c r="L1004" s="63">
        <f t="shared" si="167"/>
        <v>-0.75285731842202286</v>
      </c>
      <c r="M1004" s="63">
        <f t="shared" si="168"/>
        <v>2.3528668077269165E-3</v>
      </c>
      <c r="N1004" s="63">
        <f t="shared" si="169"/>
        <v>-0.75343744726837347</v>
      </c>
      <c r="O1004" s="62">
        <f t="shared" si="170"/>
        <v>0.35116633147831594</v>
      </c>
      <c r="P1004" s="62">
        <f t="shared" si="171"/>
        <v>-1.0697389093168392</v>
      </c>
      <c r="Q1004" s="62">
        <f t="shared" si="172"/>
        <v>-8.243081181160683E-4</v>
      </c>
      <c r="R1004" s="63">
        <f t="shared" si="173"/>
        <v>-0.75285731842202286</v>
      </c>
      <c r="S1004" s="63">
        <f t="shared" si="174"/>
        <v>-5.8012884635063754E-4</v>
      </c>
      <c r="T1004" s="63">
        <f t="shared" si="175"/>
        <v>-0.75343744726837347</v>
      </c>
    </row>
    <row r="1005" spans="1:20" x14ac:dyDescent="0.3">
      <c r="A1005" s="18" t="s">
        <v>289</v>
      </c>
      <c r="B1005" s="18" t="s">
        <v>290</v>
      </c>
      <c r="C1005" s="18" t="s">
        <v>282</v>
      </c>
      <c r="D1005" s="18" t="s">
        <v>279</v>
      </c>
      <c r="E1005" s="61">
        <v>2023</v>
      </c>
      <c r="F1005" s="62">
        <v>2011000000</v>
      </c>
      <c r="G1005" s="62">
        <v>-892000000</v>
      </c>
      <c r="H1005" s="62">
        <v>5740105000</v>
      </c>
      <c r="I1005" s="62">
        <v>5668142000</v>
      </c>
      <c r="J1005" s="62">
        <f t="shared" si="165"/>
        <v>0.35034202336019987</v>
      </c>
      <c r="K1005" s="62">
        <f t="shared" si="166"/>
        <v>-0.15737079275713275</v>
      </c>
      <c r="L1005" s="63">
        <f t="shared" si="167"/>
        <v>-1.4435604177026355</v>
      </c>
      <c r="M1005" s="63">
        <f t="shared" si="168"/>
        <v>-1.2536878680790682E-2</v>
      </c>
      <c r="N1005" s="63">
        <f t="shared" si="169"/>
        <v>-1.4491918818295284</v>
      </c>
      <c r="O1005" s="62">
        <f t="shared" si="170"/>
        <v>-0.15539785422043673</v>
      </c>
      <c r="P1005" s="62">
        <f t="shared" si="171"/>
        <v>-0.50573987758063654</v>
      </c>
      <c r="Q1005" s="62">
        <f t="shared" si="172"/>
        <v>-1.9729385366960284E-3</v>
      </c>
      <c r="R1005" s="63">
        <f t="shared" si="173"/>
        <v>-1.4435604177026353</v>
      </c>
      <c r="S1005" s="63">
        <f t="shared" si="174"/>
        <v>-5.631464126892867E-3</v>
      </c>
      <c r="T1005" s="63">
        <f t="shared" si="175"/>
        <v>-1.4491918818295282</v>
      </c>
    </row>
    <row r="1006" spans="1:20" x14ac:dyDescent="0.3">
      <c r="A1006" s="18" t="s">
        <v>289</v>
      </c>
      <c r="B1006" s="18" t="s">
        <v>290</v>
      </c>
      <c r="C1006" s="18" t="s">
        <v>282</v>
      </c>
      <c r="D1006" s="18" t="s">
        <v>279</v>
      </c>
      <c r="E1006" s="61">
        <v>2024</v>
      </c>
      <c r="F1006" s="62">
        <v>-892000000</v>
      </c>
      <c r="G1006" s="62">
        <v>-49000000</v>
      </c>
      <c r="H1006" s="62">
        <v>5668142000</v>
      </c>
      <c r="I1006" s="62">
        <v>5635695000</v>
      </c>
      <c r="J1006" s="62">
        <f t="shared" si="165"/>
        <v>-0.15737079275713275</v>
      </c>
      <c r="K1006" s="62">
        <f t="shared" si="166"/>
        <v>-8.6945798166863184E-3</v>
      </c>
      <c r="L1006" s="63">
        <f t="shared" si="167"/>
        <v>0.94506726457399104</v>
      </c>
      <c r="M1006" s="63">
        <f t="shared" si="168"/>
        <v>-5.7244507988684825E-3</v>
      </c>
      <c r="N1006" s="63">
        <f t="shared" si="169"/>
        <v>0.94475099435951571</v>
      </c>
      <c r="O1006" s="62">
        <f t="shared" si="170"/>
        <v>-8.644808122308863E-3</v>
      </c>
      <c r="P1006" s="62">
        <f t="shared" si="171"/>
        <v>0.14872598463482389</v>
      </c>
      <c r="Q1006" s="62">
        <f t="shared" si="172"/>
        <v>-4.9771694377455378E-5</v>
      </c>
      <c r="R1006" s="63">
        <f t="shared" si="173"/>
        <v>0.94506726457399104</v>
      </c>
      <c r="S1006" s="63">
        <f t="shared" si="174"/>
        <v>-3.1627021447535729E-4</v>
      </c>
      <c r="T1006" s="63">
        <f t="shared" si="175"/>
        <v>0.94475099435951571</v>
      </c>
    </row>
    <row r="1007" spans="1:20" x14ac:dyDescent="0.3">
      <c r="A1007" s="18" t="s">
        <v>291</v>
      </c>
      <c r="B1007" s="18" t="s">
        <v>292</v>
      </c>
      <c r="C1007" s="18" t="s">
        <v>282</v>
      </c>
      <c r="D1007" s="18" t="s">
        <v>279</v>
      </c>
      <c r="E1007" s="61">
        <v>2016</v>
      </c>
      <c r="F1007" s="62">
        <v>720000000</v>
      </c>
      <c r="G1007" s="62">
        <v>376000000</v>
      </c>
      <c r="H1007" s="62">
        <v>731860000</v>
      </c>
      <c r="I1007" s="62">
        <v>759432000</v>
      </c>
      <c r="J1007" s="62">
        <f t="shared" si="165"/>
        <v>0.98379471483617087</v>
      </c>
      <c r="K1007" s="62">
        <f t="shared" si="166"/>
        <v>0.49510686934445741</v>
      </c>
      <c r="L1007" s="63">
        <f t="shared" si="167"/>
        <v>-0.4777777777777778</v>
      </c>
      <c r="M1007" s="63">
        <f t="shared" si="168"/>
        <v>3.7673872052031807E-2</v>
      </c>
      <c r="N1007" s="63">
        <f t="shared" si="169"/>
        <v>-0.49673762027995194</v>
      </c>
      <c r="O1007" s="62">
        <f t="shared" si="170"/>
        <v>0.51375946219222257</v>
      </c>
      <c r="P1007" s="62">
        <f t="shared" si="171"/>
        <v>-0.4700352526439483</v>
      </c>
      <c r="Q1007" s="62">
        <f t="shared" si="172"/>
        <v>-1.8652592847765159E-2</v>
      </c>
      <c r="R1007" s="63">
        <f t="shared" si="173"/>
        <v>-0.47777777777777775</v>
      </c>
      <c r="S1007" s="63">
        <f t="shared" si="174"/>
        <v>-1.8959842502174178E-2</v>
      </c>
      <c r="T1007" s="63">
        <f t="shared" si="175"/>
        <v>-0.49673762027995194</v>
      </c>
    </row>
    <row r="1008" spans="1:20" x14ac:dyDescent="0.3">
      <c r="A1008" s="18" t="s">
        <v>291</v>
      </c>
      <c r="B1008" s="18" t="s">
        <v>292</v>
      </c>
      <c r="C1008" s="18" t="s">
        <v>282</v>
      </c>
      <c r="D1008" s="18" t="s">
        <v>279</v>
      </c>
      <c r="E1008" s="61">
        <v>2017</v>
      </c>
      <c r="F1008" s="62">
        <v>376000000</v>
      </c>
      <c r="G1008" s="62">
        <v>454000000</v>
      </c>
      <c r="H1008" s="62">
        <v>759432000</v>
      </c>
      <c r="I1008" s="62">
        <v>730892000</v>
      </c>
      <c r="J1008" s="62">
        <f t="shared" si="165"/>
        <v>0.49510686934445741</v>
      </c>
      <c r="K1008" s="62">
        <f t="shared" si="166"/>
        <v>0.62115880321579664</v>
      </c>
      <c r="L1008" s="63">
        <f t="shared" si="167"/>
        <v>0.20744680851063829</v>
      </c>
      <c r="M1008" s="63">
        <f t="shared" si="168"/>
        <v>-3.7580718220986208E-2</v>
      </c>
      <c r="N1008" s="63">
        <f t="shared" si="169"/>
        <v>0.25459540490366728</v>
      </c>
      <c r="O1008" s="62">
        <f t="shared" si="170"/>
        <v>0.59781520926165876</v>
      </c>
      <c r="P1008" s="62">
        <f t="shared" si="171"/>
        <v>0.10270833991720135</v>
      </c>
      <c r="Q1008" s="62">
        <f t="shared" si="172"/>
        <v>2.3343593954137876E-2</v>
      </c>
      <c r="R1008" s="63">
        <f t="shared" si="173"/>
        <v>0.20744680851063846</v>
      </c>
      <c r="S1008" s="63">
        <f t="shared" si="174"/>
        <v>4.7148596393028819E-2</v>
      </c>
      <c r="T1008" s="63">
        <f t="shared" si="175"/>
        <v>0.25459540490366728</v>
      </c>
    </row>
    <row r="1009" spans="1:20" x14ac:dyDescent="0.3">
      <c r="A1009" s="18" t="s">
        <v>291</v>
      </c>
      <c r="B1009" s="18" t="s">
        <v>292</v>
      </c>
      <c r="C1009" s="18" t="s">
        <v>282</v>
      </c>
      <c r="D1009" s="18" t="s">
        <v>279</v>
      </c>
      <c r="E1009" s="61">
        <v>2018</v>
      </c>
      <c r="F1009" s="62">
        <v>454000000</v>
      </c>
      <c r="G1009" s="62">
        <v>-448000000</v>
      </c>
      <c r="H1009" s="62">
        <v>730892000</v>
      </c>
      <c r="I1009" s="62">
        <v>809388000</v>
      </c>
      <c r="J1009" s="62">
        <f t="shared" si="165"/>
        <v>0.62115880321579664</v>
      </c>
      <c r="K1009" s="62">
        <f t="shared" si="166"/>
        <v>-0.55350462324620575</v>
      </c>
      <c r="L1009" s="63">
        <f t="shared" si="167"/>
        <v>-1.9867841409691629</v>
      </c>
      <c r="M1009" s="63">
        <f t="shared" si="168"/>
        <v>0.10739753616129333</v>
      </c>
      <c r="N1009" s="63">
        <f t="shared" si="169"/>
        <v>-1.8910839231138012</v>
      </c>
      <c r="O1009" s="62">
        <f t="shared" si="170"/>
        <v>-0.61294965603673324</v>
      </c>
      <c r="P1009" s="62">
        <f t="shared" si="171"/>
        <v>-1.2341084592525298</v>
      </c>
      <c r="Q1009" s="62">
        <f t="shared" si="172"/>
        <v>5.9445032790527486E-2</v>
      </c>
      <c r="R1009" s="63">
        <f t="shared" si="173"/>
        <v>-1.9867841409691629</v>
      </c>
      <c r="S1009" s="63">
        <f t="shared" si="174"/>
        <v>9.5700217855361702E-2</v>
      </c>
      <c r="T1009" s="63">
        <f t="shared" si="175"/>
        <v>-1.8910839231138012</v>
      </c>
    </row>
    <row r="1010" spans="1:20" x14ac:dyDescent="0.3">
      <c r="A1010" s="18" t="s">
        <v>291</v>
      </c>
      <c r="B1010" s="18" t="s">
        <v>292</v>
      </c>
      <c r="C1010" s="18" t="s">
        <v>282</v>
      </c>
      <c r="D1010" s="18" t="s">
        <v>279</v>
      </c>
      <c r="E1010" s="61">
        <v>2019</v>
      </c>
      <c r="F1010" s="62">
        <v>-448000000</v>
      </c>
      <c r="G1010" s="62">
        <v>268000000</v>
      </c>
      <c r="H1010" s="62">
        <v>809388000</v>
      </c>
      <c r="I1010" s="62">
        <v>731679000</v>
      </c>
      <c r="J1010" s="62">
        <f t="shared" si="165"/>
        <v>-0.55350462324620575</v>
      </c>
      <c r="K1010" s="62">
        <f t="shared" si="166"/>
        <v>0.36628084173524184</v>
      </c>
      <c r="L1010" s="63">
        <f t="shared" si="167"/>
        <v>1.5982142857142858</v>
      </c>
      <c r="M1010" s="63">
        <f t="shared" si="168"/>
        <v>-9.6009577606784385E-2</v>
      </c>
      <c r="N1010" s="63">
        <f t="shared" si="169"/>
        <v>1.6617484775232232</v>
      </c>
      <c r="O1010" s="62">
        <f t="shared" si="170"/>
        <v>0.33111437283478379</v>
      </c>
      <c r="P1010" s="62">
        <f t="shared" si="171"/>
        <v>0.88461899608098959</v>
      </c>
      <c r="Q1010" s="62">
        <f t="shared" si="172"/>
        <v>3.5166468900458048E-2</v>
      </c>
      <c r="R1010" s="63">
        <f t="shared" si="173"/>
        <v>1.5982142857142858</v>
      </c>
      <c r="S1010" s="63">
        <f t="shared" si="174"/>
        <v>6.3534191808937365E-2</v>
      </c>
      <c r="T1010" s="63">
        <f t="shared" si="175"/>
        <v>1.6617484775232232</v>
      </c>
    </row>
    <row r="1011" spans="1:20" x14ac:dyDescent="0.3">
      <c r="A1011" s="18" t="s">
        <v>291</v>
      </c>
      <c r="B1011" s="18" t="s">
        <v>292</v>
      </c>
      <c r="C1011" s="18" t="s">
        <v>282</v>
      </c>
      <c r="D1011" s="18" t="s">
        <v>279</v>
      </c>
      <c r="E1011" s="61">
        <v>2020</v>
      </c>
      <c r="F1011" s="62">
        <v>268000000</v>
      </c>
      <c r="G1011" s="62">
        <v>-424000000</v>
      </c>
      <c r="H1011" s="62">
        <v>731679000</v>
      </c>
      <c r="I1011" s="62">
        <v>746866000</v>
      </c>
      <c r="J1011" s="62">
        <f t="shared" si="165"/>
        <v>0.36628084173524184</v>
      </c>
      <c r="K1011" s="62">
        <f t="shared" si="166"/>
        <v>-0.56770558574094954</v>
      </c>
      <c r="L1011" s="63">
        <f t="shared" si="167"/>
        <v>-2.5820895522388061</v>
      </c>
      <c r="M1011" s="63">
        <f t="shared" si="168"/>
        <v>2.0756369938183274E-2</v>
      </c>
      <c r="N1011" s="63">
        <f t="shared" si="169"/>
        <v>-2.549918862945344</v>
      </c>
      <c r="O1011" s="62">
        <f t="shared" si="170"/>
        <v>-0.57948909289456174</v>
      </c>
      <c r="P1011" s="62">
        <f t="shared" si="171"/>
        <v>-0.94576993462980363</v>
      </c>
      <c r="Q1011" s="62">
        <f t="shared" si="172"/>
        <v>1.1783507153612205E-2</v>
      </c>
      <c r="R1011" s="63">
        <f t="shared" si="173"/>
        <v>-2.5820895522388061</v>
      </c>
      <c r="S1011" s="63">
        <f t="shared" si="174"/>
        <v>3.2170689293462028E-2</v>
      </c>
      <c r="T1011" s="63">
        <f t="shared" si="175"/>
        <v>-2.549918862945344</v>
      </c>
    </row>
    <row r="1012" spans="1:20" x14ac:dyDescent="0.3">
      <c r="A1012" s="18" t="s">
        <v>291</v>
      </c>
      <c r="B1012" s="18" t="s">
        <v>292</v>
      </c>
      <c r="C1012" s="18" t="s">
        <v>282</v>
      </c>
      <c r="D1012" s="18" t="s">
        <v>279</v>
      </c>
      <c r="E1012" s="61">
        <v>2021</v>
      </c>
      <c r="F1012" s="62">
        <v>-424000000</v>
      </c>
      <c r="G1012" s="62">
        <v>1198000000</v>
      </c>
      <c r="H1012" s="62">
        <v>746866000</v>
      </c>
      <c r="I1012" s="62">
        <v>731772000</v>
      </c>
      <c r="J1012" s="62">
        <f t="shared" si="165"/>
        <v>-0.56770558574094954</v>
      </c>
      <c r="K1012" s="62">
        <f t="shared" si="166"/>
        <v>1.6371219450867209</v>
      </c>
      <c r="L1012" s="63">
        <f t="shared" si="167"/>
        <v>3.8254716981132075</v>
      </c>
      <c r="M1012" s="63">
        <f t="shared" si="168"/>
        <v>-2.0209783281070499E-2</v>
      </c>
      <c r="N1012" s="63">
        <f t="shared" si="169"/>
        <v>3.8837516949036295</v>
      </c>
      <c r="O1012" s="62">
        <f t="shared" si="170"/>
        <v>1.6040360653718337</v>
      </c>
      <c r="P1012" s="62">
        <f t="shared" si="171"/>
        <v>2.1717416511127832</v>
      </c>
      <c r="Q1012" s="62">
        <f t="shared" si="172"/>
        <v>3.308587971488719E-2</v>
      </c>
      <c r="R1012" s="63">
        <f t="shared" si="173"/>
        <v>3.8254716981132071</v>
      </c>
      <c r="S1012" s="63">
        <f t="shared" si="174"/>
        <v>5.8279996790422013E-2</v>
      </c>
      <c r="T1012" s="63">
        <f t="shared" si="175"/>
        <v>3.883751694903629</v>
      </c>
    </row>
    <row r="1013" spans="1:20" x14ac:dyDescent="0.3">
      <c r="A1013" s="18" t="s">
        <v>291</v>
      </c>
      <c r="B1013" s="18" t="s">
        <v>292</v>
      </c>
      <c r="C1013" s="18" t="s">
        <v>282</v>
      </c>
      <c r="D1013" s="18" t="s">
        <v>279</v>
      </c>
      <c r="E1013" s="61">
        <v>2022</v>
      </c>
      <c r="F1013" s="62">
        <v>1198000000</v>
      </c>
      <c r="G1013" s="62">
        <v>188000000</v>
      </c>
      <c r="H1013" s="62">
        <v>731772000</v>
      </c>
      <c r="I1013" s="62">
        <v>723477000</v>
      </c>
      <c r="J1013" s="62">
        <f t="shared" si="165"/>
        <v>1.6371219450867209</v>
      </c>
      <c r="K1013" s="62">
        <f t="shared" si="166"/>
        <v>0.25985622210519477</v>
      </c>
      <c r="L1013" s="63">
        <f t="shared" si="167"/>
        <v>-0.84307178631051749</v>
      </c>
      <c r="M1013" s="63">
        <f t="shared" si="168"/>
        <v>-1.1335497941981928E-2</v>
      </c>
      <c r="N1013" s="63">
        <f t="shared" si="169"/>
        <v>-0.8412725314170596</v>
      </c>
      <c r="O1013" s="62">
        <f t="shared" si="170"/>
        <v>0.25691062243431012</v>
      </c>
      <c r="P1013" s="62">
        <f t="shared" si="171"/>
        <v>-1.3802113226524109</v>
      </c>
      <c r="Q1013" s="62">
        <f t="shared" si="172"/>
        <v>2.9455996708846466E-3</v>
      </c>
      <c r="R1013" s="63">
        <f t="shared" si="173"/>
        <v>-0.8430717863105176</v>
      </c>
      <c r="S1013" s="63">
        <f t="shared" si="174"/>
        <v>1.7992548934579295E-3</v>
      </c>
      <c r="T1013" s="63">
        <f t="shared" si="175"/>
        <v>-0.84127253141705971</v>
      </c>
    </row>
    <row r="1014" spans="1:20" x14ac:dyDescent="0.3">
      <c r="A1014" s="18" t="s">
        <v>291</v>
      </c>
      <c r="B1014" s="18" t="s">
        <v>292</v>
      </c>
      <c r="C1014" s="18" t="s">
        <v>282</v>
      </c>
      <c r="D1014" s="18" t="s">
        <v>279</v>
      </c>
      <c r="E1014" s="61">
        <v>2023</v>
      </c>
      <c r="F1014" s="62">
        <v>188000000</v>
      </c>
      <c r="G1014" s="62">
        <v>460000000</v>
      </c>
      <c r="H1014" s="62">
        <v>723477000</v>
      </c>
      <c r="I1014" s="62">
        <v>728255000</v>
      </c>
      <c r="J1014" s="62">
        <f t="shared" si="165"/>
        <v>0.25985622210519477</v>
      </c>
      <c r="K1014" s="62">
        <f t="shared" si="166"/>
        <v>0.63164688193009322</v>
      </c>
      <c r="L1014" s="63">
        <f t="shared" si="167"/>
        <v>1.446808510638298</v>
      </c>
      <c r="M1014" s="63">
        <f t="shared" si="168"/>
        <v>6.6042182405245779E-3</v>
      </c>
      <c r="N1014" s="63">
        <f t="shared" si="169"/>
        <v>1.4307552723305217</v>
      </c>
      <c r="O1014" s="62">
        <f t="shared" si="170"/>
        <v>0.63581841578930631</v>
      </c>
      <c r="P1014" s="62">
        <f t="shared" si="171"/>
        <v>0.37596219368411155</v>
      </c>
      <c r="Q1014" s="62">
        <f t="shared" si="172"/>
        <v>-4.1715338592130946E-3</v>
      </c>
      <c r="R1014" s="63">
        <f t="shared" si="173"/>
        <v>1.4468085106382977</v>
      </c>
      <c r="S1014" s="63">
        <f t="shared" si="174"/>
        <v>-1.6053238307776128E-2</v>
      </c>
      <c r="T1014" s="63">
        <f t="shared" si="175"/>
        <v>1.4307552723305217</v>
      </c>
    </row>
    <row r="1015" spans="1:20" x14ac:dyDescent="0.3">
      <c r="A1015" s="18" t="s">
        <v>291</v>
      </c>
      <c r="B1015" s="18" t="s">
        <v>292</v>
      </c>
      <c r="C1015" s="18" t="s">
        <v>282</v>
      </c>
      <c r="D1015" s="18" t="s">
        <v>279</v>
      </c>
      <c r="E1015" s="61">
        <v>2024</v>
      </c>
      <c r="F1015" s="62">
        <v>460000000</v>
      </c>
      <c r="G1015" s="62">
        <v>3239000000</v>
      </c>
      <c r="H1015" s="62">
        <v>728255000</v>
      </c>
      <c r="I1015" s="62">
        <v>724191000</v>
      </c>
      <c r="J1015" s="62">
        <f t="shared" si="165"/>
        <v>0.63164688193009322</v>
      </c>
      <c r="K1015" s="62">
        <f t="shared" si="166"/>
        <v>4.4725769859056523</v>
      </c>
      <c r="L1015" s="63">
        <f t="shared" si="167"/>
        <v>6.0413043478260873</v>
      </c>
      <c r="M1015" s="63">
        <f t="shared" si="168"/>
        <v>-5.5804628873128235E-3</v>
      </c>
      <c r="N1015" s="63">
        <f t="shared" si="169"/>
        <v>6.0808185931972183</v>
      </c>
      <c r="O1015" s="62">
        <f t="shared" si="170"/>
        <v>4.4476179360251562</v>
      </c>
      <c r="P1015" s="62">
        <f t="shared" si="171"/>
        <v>3.8159710540950629</v>
      </c>
      <c r="Q1015" s="62">
        <f t="shared" si="172"/>
        <v>2.4959049880496131E-2</v>
      </c>
      <c r="R1015" s="63">
        <f t="shared" si="173"/>
        <v>6.0413043478260864</v>
      </c>
      <c r="S1015" s="63">
        <f t="shared" si="174"/>
        <v>3.9514245371131976E-2</v>
      </c>
      <c r="T1015" s="63">
        <f t="shared" si="175"/>
        <v>6.0808185931972183</v>
      </c>
    </row>
    <row r="1016" spans="1:20" x14ac:dyDescent="0.3">
      <c r="A1016" s="18" t="s">
        <v>293</v>
      </c>
      <c r="B1016" s="18" t="s">
        <v>294</v>
      </c>
      <c r="C1016" s="18" t="s">
        <v>282</v>
      </c>
      <c r="D1016" s="18" t="s">
        <v>279</v>
      </c>
      <c r="E1016" s="61">
        <v>2016</v>
      </c>
      <c r="F1016" s="62">
        <v>814460000</v>
      </c>
      <c r="G1016" s="62">
        <v>1047004000</v>
      </c>
      <c r="H1016" s="62">
        <v>5820365000</v>
      </c>
      <c r="I1016" s="62">
        <v>5841965000</v>
      </c>
      <c r="J1016" s="62">
        <f t="shared" si="165"/>
        <v>0.13993280490141083</v>
      </c>
      <c r="K1016" s="62">
        <f t="shared" si="166"/>
        <v>0.17922120382439813</v>
      </c>
      <c r="L1016" s="63">
        <f t="shared" si="167"/>
        <v>0.28551923974166932</v>
      </c>
      <c r="M1016" s="63">
        <f t="shared" si="168"/>
        <v>3.7111074649098467E-3</v>
      </c>
      <c r="N1016" s="63">
        <f t="shared" si="169"/>
        <v>0.28076617881466609</v>
      </c>
      <c r="O1016" s="62">
        <f t="shared" si="170"/>
        <v>0.17988631297178098</v>
      </c>
      <c r="P1016" s="62">
        <f t="shared" si="171"/>
        <v>3.9953508070370153E-2</v>
      </c>
      <c r="Q1016" s="62">
        <f t="shared" si="172"/>
        <v>-6.6510914738285298E-4</v>
      </c>
      <c r="R1016" s="63">
        <f t="shared" si="173"/>
        <v>0.28551923974166926</v>
      </c>
      <c r="S1016" s="63">
        <f t="shared" si="174"/>
        <v>-4.753060927003166E-3</v>
      </c>
      <c r="T1016" s="63">
        <f t="shared" si="175"/>
        <v>0.28076617881466609</v>
      </c>
    </row>
    <row r="1017" spans="1:20" x14ac:dyDescent="0.3">
      <c r="A1017" s="18" t="s">
        <v>293</v>
      </c>
      <c r="B1017" s="18" t="s">
        <v>294</v>
      </c>
      <c r="C1017" s="18" t="s">
        <v>282</v>
      </c>
      <c r="D1017" s="18" t="s">
        <v>279</v>
      </c>
      <c r="E1017" s="61">
        <v>2017</v>
      </c>
      <c r="F1017" s="62">
        <v>1047004000</v>
      </c>
      <c r="G1017" s="62">
        <v>1684000000</v>
      </c>
      <c r="H1017" s="62">
        <v>5841965000</v>
      </c>
      <c r="I1017" s="62">
        <v>5977811000</v>
      </c>
      <c r="J1017" s="62">
        <f t="shared" si="165"/>
        <v>0.17922120382439813</v>
      </c>
      <c r="K1017" s="62">
        <f t="shared" si="166"/>
        <v>0.28170847154585515</v>
      </c>
      <c r="L1017" s="63">
        <f t="shared" si="167"/>
        <v>0.60839882178100557</v>
      </c>
      <c r="M1017" s="63">
        <f t="shared" si="168"/>
        <v>2.3253477211862789E-2</v>
      </c>
      <c r="N1017" s="63">
        <f t="shared" si="169"/>
        <v>0.57184789262923708</v>
      </c>
      <c r="O1017" s="62">
        <f t="shared" si="170"/>
        <v>0.28825917306933541</v>
      </c>
      <c r="P1017" s="62">
        <f t="shared" si="171"/>
        <v>0.10903796924493728</v>
      </c>
      <c r="Q1017" s="62">
        <f t="shared" si="172"/>
        <v>-6.5507015234802513E-3</v>
      </c>
      <c r="R1017" s="63">
        <f t="shared" si="173"/>
        <v>0.60839882178100557</v>
      </c>
      <c r="S1017" s="63">
        <f t="shared" si="174"/>
        <v>-3.6550929151768573E-2</v>
      </c>
      <c r="T1017" s="63">
        <f t="shared" si="175"/>
        <v>0.57184789262923696</v>
      </c>
    </row>
    <row r="1018" spans="1:20" x14ac:dyDescent="0.3">
      <c r="A1018" s="18" t="s">
        <v>293</v>
      </c>
      <c r="B1018" s="18" t="s">
        <v>294</v>
      </c>
      <c r="C1018" s="18" t="s">
        <v>282</v>
      </c>
      <c r="D1018" s="18" t="s">
        <v>279</v>
      </c>
      <c r="E1018" s="61">
        <v>2018</v>
      </c>
      <c r="F1018" s="62">
        <v>1684000000</v>
      </c>
      <c r="G1018" s="62">
        <v>1985000000</v>
      </c>
      <c r="H1018" s="62">
        <v>5977811000</v>
      </c>
      <c r="I1018" s="62">
        <v>5978642000</v>
      </c>
      <c r="J1018" s="62">
        <f t="shared" si="165"/>
        <v>0.28170847154585515</v>
      </c>
      <c r="K1018" s="62">
        <f t="shared" si="166"/>
        <v>0.33201519676207408</v>
      </c>
      <c r="L1018" s="63">
        <f t="shared" si="167"/>
        <v>0.17874109263657958</v>
      </c>
      <c r="M1018" s="63">
        <f t="shared" si="168"/>
        <v>1.390140973008347E-4</v>
      </c>
      <c r="N1018" s="63">
        <f t="shared" si="169"/>
        <v>0.17857725378354566</v>
      </c>
      <c r="O1018" s="62">
        <f t="shared" si="170"/>
        <v>0.3320613515549421</v>
      </c>
      <c r="P1018" s="62">
        <f t="shared" si="171"/>
        <v>5.0352880009086942E-2</v>
      </c>
      <c r="Q1018" s="62">
        <f t="shared" si="172"/>
        <v>-4.6154792868013939E-5</v>
      </c>
      <c r="R1018" s="63">
        <f t="shared" si="173"/>
        <v>0.17874109263657958</v>
      </c>
      <c r="S1018" s="63">
        <f t="shared" si="174"/>
        <v>-1.6383885303392832E-4</v>
      </c>
      <c r="T1018" s="63">
        <f t="shared" si="175"/>
        <v>0.17857725378354566</v>
      </c>
    </row>
    <row r="1019" spans="1:20" x14ac:dyDescent="0.3">
      <c r="A1019" s="18" t="s">
        <v>293</v>
      </c>
      <c r="B1019" s="18" t="s">
        <v>294</v>
      </c>
      <c r="C1019" s="18" t="s">
        <v>282</v>
      </c>
      <c r="D1019" s="18" t="s">
        <v>279</v>
      </c>
      <c r="E1019" s="61">
        <v>2019</v>
      </c>
      <c r="F1019" s="62">
        <v>1985000000</v>
      </c>
      <c r="G1019" s="62">
        <v>1705000000</v>
      </c>
      <c r="H1019" s="62">
        <v>5978642000</v>
      </c>
      <c r="I1019" s="62">
        <v>5978000000</v>
      </c>
      <c r="J1019" s="62">
        <f t="shared" si="165"/>
        <v>0.33201519676207408</v>
      </c>
      <c r="K1019" s="62">
        <f t="shared" si="166"/>
        <v>0.28521244563399129</v>
      </c>
      <c r="L1019" s="63">
        <f t="shared" si="167"/>
        <v>-0.14105793450881612</v>
      </c>
      <c r="M1019" s="63">
        <f t="shared" si="168"/>
        <v>-1.0738224499811161E-4</v>
      </c>
      <c r="N1019" s="63">
        <f t="shared" si="169"/>
        <v>-0.14096568947602175</v>
      </c>
      <c r="O1019" s="62">
        <f t="shared" si="170"/>
        <v>0.28518181888127775</v>
      </c>
      <c r="P1019" s="62">
        <f t="shared" si="171"/>
        <v>-4.6833377880796334E-2</v>
      </c>
      <c r="Q1019" s="62">
        <f t="shared" si="172"/>
        <v>3.0626752713536209E-5</v>
      </c>
      <c r="R1019" s="63">
        <f t="shared" si="173"/>
        <v>-0.1410579345088161</v>
      </c>
      <c r="S1019" s="63">
        <f t="shared" si="174"/>
        <v>9.2245032794338312E-5</v>
      </c>
      <c r="T1019" s="63">
        <f t="shared" si="175"/>
        <v>-0.14096568947602175</v>
      </c>
    </row>
    <row r="1020" spans="1:20" x14ac:dyDescent="0.3">
      <c r="A1020" s="18" t="s">
        <v>293</v>
      </c>
      <c r="B1020" s="18" t="s">
        <v>294</v>
      </c>
      <c r="C1020" s="18" t="s">
        <v>282</v>
      </c>
      <c r="D1020" s="18" t="s">
        <v>279</v>
      </c>
      <c r="E1020" s="61">
        <v>2020</v>
      </c>
      <c r="F1020" s="62">
        <v>1705000000</v>
      </c>
      <c r="G1020" s="62">
        <v>1381000000</v>
      </c>
      <c r="H1020" s="62">
        <v>5978000000</v>
      </c>
      <c r="I1020" s="62">
        <v>5977000000</v>
      </c>
      <c r="J1020" s="62">
        <f t="shared" si="165"/>
        <v>0.28521244563399129</v>
      </c>
      <c r="K1020" s="62">
        <f t="shared" si="166"/>
        <v>0.23105236740839885</v>
      </c>
      <c r="L1020" s="63">
        <f t="shared" si="167"/>
        <v>-0.19002932551319648</v>
      </c>
      <c r="M1020" s="63">
        <f t="shared" si="168"/>
        <v>-1.6728002676480428E-4</v>
      </c>
      <c r="N1020" s="63">
        <f t="shared" si="169"/>
        <v>-0.1898938109282062</v>
      </c>
      <c r="O1020" s="62">
        <f t="shared" si="170"/>
        <v>0.23101371696219472</v>
      </c>
      <c r="P1020" s="62">
        <f t="shared" si="171"/>
        <v>-5.4198728671796564E-2</v>
      </c>
      <c r="Q1020" s="62">
        <f t="shared" si="172"/>
        <v>3.8650446204130384E-5</v>
      </c>
      <c r="R1020" s="63">
        <f t="shared" si="173"/>
        <v>-0.1900293255131964</v>
      </c>
      <c r="S1020" s="63">
        <f t="shared" si="174"/>
        <v>1.3551458499020026E-4</v>
      </c>
      <c r="T1020" s="63">
        <f t="shared" si="175"/>
        <v>-0.1898938109282062</v>
      </c>
    </row>
    <row r="1021" spans="1:20" x14ac:dyDescent="0.3">
      <c r="A1021" s="18" t="s">
        <v>293</v>
      </c>
      <c r="B1021" s="18" t="s">
        <v>294</v>
      </c>
      <c r="C1021" s="18" t="s">
        <v>282</v>
      </c>
      <c r="D1021" s="18" t="s">
        <v>279</v>
      </c>
      <c r="E1021" s="61">
        <v>2021</v>
      </c>
      <c r="F1021" s="62">
        <v>1381000000</v>
      </c>
      <c r="G1021" s="62">
        <v>5226000000</v>
      </c>
      <c r="H1021" s="62">
        <v>5977000000</v>
      </c>
      <c r="I1021" s="62">
        <v>7575000000</v>
      </c>
      <c r="J1021" s="62">
        <f t="shared" si="165"/>
        <v>0.23105236740839885</v>
      </c>
      <c r="K1021" s="62">
        <f t="shared" si="166"/>
        <v>0.68990099009900985</v>
      </c>
      <c r="L1021" s="63">
        <f t="shared" si="167"/>
        <v>2.7842143374366399</v>
      </c>
      <c r="M1021" s="63">
        <f t="shared" si="168"/>
        <v>0.26735820645808933</v>
      </c>
      <c r="N1021" s="63">
        <f t="shared" si="169"/>
        <v>1.9859074712684881</v>
      </c>
      <c r="O1021" s="62">
        <f t="shared" si="170"/>
        <v>0.87435168144554121</v>
      </c>
      <c r="P1021" s="62">
        <f t="shared" si="171"/>
        <v>0.64329931403714236</v>
      </c>
      <c r="Q1021" s="62">
        <f t="shared" si="172"/>
        <v>-0.18445069134653136</v>
      </c>
      <c r="R1021" s="63">
        <f t="shared" si="173"/>
        <v>2.7842143374366399</v>
      </c>
      <c r="S1021" s="63">
        <f t="shared" si="174"/>
        <v>-0.79830686616815205</v>
      </c>
      <c r="T1021" s="63">
        <f t="shared" si="175"/>
        <v>1.9859074712684879</v>
      </c>
    </row>
    <row r="1022" spans="1:20" x14ac:dyDescent="0.3">
      <c r="A1022" s="18" t="s">
        <v>293</v>
      </c>
      <c r="B1022" s="18" t="s">
        <v>294</v>
      </c>
      <c r="C1022" s="18" t="s">
        <v>282</v>
      </c>
      <c r="D1022" s="18" t="s">
        <v>279</v>
      </c>
      <c r="E1022" s="61">
        <v>2022</v>
      </c>
      <c r="F1022" s="62">
        <v>5226000000</v>
      </c>
      <c r="G1022" s="62">
        <v>3129000000</v>
      </c>
      <c r="H1022" s="62">
        <v>7575000000</v>
      </c>
      <c r="I1022" s="62">
        <v>7819000000</v>
      </c>
      <c r="J1022" s="62">
        <f t="shared" si="165"/>
        <v>0.68990099009900985</v>
      </c>
      <c r="K1022" s="62">
        <f t="shared" si="166"/>
        <v>0.40017905102954343</v>
      </c>
      <c r="L1022" s="63">
        <f t="shared" si="167"/>
        <v>-0.4012629161882893</v>
      </c>
      <c r="M1022" s="63">
        <f t="shared" si="168"/>
        <v>3.2211221122112214E-2</v>
      </c>
      <c r="N1022" s="63">
        <f t="shared" si="169"/>
        <v>-0.41994712752606356</v>
      </c>
      <c r="O1022" s="62">
        <f t="shared" si="170"/>
        <v>0.41306930693069305</v>
      </c>
      <c r="P1022" s="62">
        <f t="shared" si="171"/>
        <v>-0.2768316831683168</v>
      </c>
      <c r="Q1022" s="62">
        <f t="shared" si="172"/>
        <v>-1.2890255901149617E-2</v>
      </c>
      <c r="R1022" s="63">
        <f t="shared" si="173"/>
        <v>-0.4012629161882893</v>
      </c>
      <c r="S1022" s="63">
        <f t="shared" si="174"/>
        <v>-1.8684211337774273E-2</v>
      </c>
      <c r="T1022" s="63">
        <f t="shared" si="175"/>
        <v>-0.41994712752606356</v>
      </c>
    </row>
    <row r="1023" spans="1:20" x14ac:dyDescent="0.3">
      <c r="A1023" s="18" t="s">
        <v>293</v>
      </c>
      <c r="B1023" s="18" t="s">
        <v>294</v>
      </c>
      <c r="C1023" s="18" t="s">
        <v>282</v>
      </c>
      <c r="D1023" s="18" t="s">
        <v>279</v>
      </c>
      <c r="E1023" s="61">
        <v>2023</v>
      </c>
      <c r="F1023" s="62">
        <v>3129000000</v>
      </c>
      <c r="G1023" s="62">
        <v>4816000000</v>
      </c>
      <c r="H1023" s="62">
        <v>7819000000</v>
      </c>
      <c r="I1023" s="62">
        <v>7470000000</v>
      </c>
      <c r="J1023" s="62">
        <f t="shared" si="165"/>
        <v>0.40017905102954343</v>
      </c>
      <c r="K1023" s="62">
        <f t="shared" si="166"/>
        <v>0.64471218206157965</v>
      </c>
      <c r="L1023" s="63">
        <f t="shared" si="167"/>
        <v>0.53914988814317677</v>
      </c>
      <c r="M1023" s="63">
        <f t="shared" si="168"/>
        <v>-4.4634863793323952E-2</v>
      </c>
      <c r="N1023" s="63">
        <f t="shared" si="169"/>
        <v>0.61105930058788471</v>
      </c>
      <c r="O1023" s="62">
        <f t="shared" si="170"/>
        <v>0.61593554162936437</v>
      </c>
      <c r="P1023" s="62">
        <f t="shared" si="171"/>
        <v>0.21575649059982094</v>
      </c>
      <c r="Q1023" s="62">
        <f t="shared" si="172"/>
        <v>2.8776640432215284E-2</v>
      </c>
      <c r="R1023" s="63">
        <f t="shared" si="173"/>
        <v>0.53914988814317666</v>
      </c>
      <c r="S1023" s="63">
        <f t="shared" si="174"/>
        <v>7.1909412444707985E-2</v>
      </c>
      <c r="T1023" s="63">
        <f t="shared" si="175"/>
        <v>0.6110593005878846</v>
      </c>
    </row>
    <row r="1024" spans="1:20" x14ac:dyDescent="0.3">
      <c r="A1024" s="18" t="s">
        <v>293</v>
      </c>
      <c r="B1024" s="18" t="s">
        <v>294</v>
      </c>
      <c r="C1024" s="18" t="s">
        <v>282</v>
      </c>
      <c r="D1024" s="18" t="s">
        <v>279</v>
      </c>
      <c r="E1024" s="61">
        <v>2024</v>
      </c>
      <c r="F1024" s="62">
        <v>4816000000</v>
      </c>
      <c r="G1024" s="62">
        <v>5787000000</v>
      </c>
      <c r="H1024" s="62">
        <v>7470000000</v>
      </c>
      <c r="I1024" s="62">
        <v>7262000000</v>
      </c>
      <c r="J1024" s="62">
        <f t="shared" si="165"/>
        <v>0.64471218206157965</v>
      </c>
      <c r="K1024" s="62">
        <f t="shared" si="166"/>
        <v>0.79688790966675849</v>
      </c>
      <c r="L1024" s="63">
        <f t="shared" si="167"/>
        <v>0.20161960132890366</v>
      </c>
      <c r="M1024" s="63">
        <f t="shared" si="168"/>
        <v>-2.7844712182061578E-2</v>
      </c>
      <c r="N1024" s="63">
        <f t="shared" si="169"/>
        <v>0.23603668712846468</v>
      </c>
      <c r="O1024" s="62">
        <f t="shared" si="170"/>
        <v>0.77469879518072293</v>
      </c>
      <c r="P1024" s="62">
        <f t="shared" si="171"/>
        <v>0.12998661311914328</v>
      </c>
      <c r="Q1024" s="62">
        <f t="shared" si="172"/>
        <v>2.2189114486035555E-2</v>
      </c>
      <c r="R1024" s="63">
        <f t="shared" si="173"/>
        <v>0.20161960132890372</v>
      </c>
      <c r="S1024" s="63">
        <f t="shared" si="174"/>
        <v>3.4417085799560959E-2</v>
      </c>
      <c r="T1024" s="63">
        <f t="shared" si="175"/>
        <v>0.23603668712846468</v>
      </c>
    </row>
    <row r="1025" spans="1:20" x14ac:dyDescent="0.3">
      <c r="A1025" s="18" t="s">
        <v>295</v>
      </c>
      <c r="B1025" s="18" t="s">
        <v>296</v>
      </c>
      <c r="C1025" s="18" t="s">
        <v>282</v>
      </c>
      <c r="D1025" s="18" t="s">
        <v>279</v>
      </c>
      <c r="E1025" s="61">
        <v>2016</v>
      </c>
      <c r="F1025" s="62">
        <v>683937000</v>
      </c>
      <c r="G1025" s="62">
        <v>825500000</v>
      </c>
      <c r="H1025" s="62">
        <v>436568659</v>
      </c>
      <c r="I1025" s="62">
        <v>436819780</v>
      </c>
      <c r="J1025" s="62">
        <f t="shared" si="165"/>
        <v>1.5666195589179936</v>
      </c>
      <c r="K1025" s="62">
        <f t="shared" si="166"/>
        <v>1.8897953751087004</v>
      </c>
      <c r="L1025" s="63">
        <f t="shared" si="167"/>
        <v>0.20698251447136212</v>
      </c>
      <c r="M1025" s="63">
        <f t="shared" si="168"/>
        <v>5.7521536377626227E-4</v>
      </c>
      <c r="N1025" s="63">
        <f t="shared" si="169"/>
        <v>0.20628863871322556</v>
      </c>
      <c r="O1025" s="62">
        <f t="shared" si="170"/>
        <v>1.8908824144428562</v>
      </c>
      <c r="P1025" s="62">
        <f t="shared" si="171"/>
        <v>0.32426285552486256</v>
      </c>
      <c r="Q1025" s="62">
        <f t="shared" si="172"/>
        <v>-1.0870393341557705E-3</v>
      </c>
      <c r="R1025" s="63">
        <f t="shared" si="173"/>
        <v>0.20698251447136212</v>
      </c>
      <c r="S1025" s="63">
        <f t="shared" si="174"/>
        <v>-6.9387575813655001E-4</v>
      </c>
      <c r="T1025" s="63">
        <f t="shared" si="175"/>
        <v>0.20628863871322559</v>
      </c>
    </row>
    <row r="1026" spans="1:20" x14ac:dyDescent="0.3">
      <c r="A1026" s="18" t="s">
        <v>295</v>
      </c>
      <c r="B1026" s="18" t="s">
        <v>296</v>
      </c>
      <c r="C1026" s="18" t="s">
        <v>282</v>
      </c>
      <c r="D1026" s="18" t="s">
        <v>279</v>
      </c>
      <c r="E1026" s="61">
        <v>2017</v>
      </c>
      <c r="F1026" s="62">
        <v>825500000</v>
      </c>
      <c r="G1026" s="62">
        <v>1002900000</v>
      </c>
      <c r="H1026" s="62">
        <v>436819780</v>
      </c>
      <c r="I1026" s="62">
        <v>437148585</v>
      </c>
      <c r="J1026" s="62">
        <f t="shared" si="165"/>
        <v>1.8897953751087004</v>
      </c>
      <c r="K1026" s="62">
        <f t="shared" si="166"/>
        <v>2.2941856256952082</v>
      </c>
      <c r="L1026" s="63">
        <f t="shared" si="167"/>
        <v>0.2149000605693519</v>
      </c>
      <c r="M1026" s="63">
        <f t="shared" si="168"/>
        <v>7.5272461334054055E-4</v>
      </c>
      <c r="N1026" s="63">
        <f t="shared" si="169"/>
        <v>0.21398626322876221</v>
      </c>
      <c r="O1026" s="62">
        <f t="shared" si="170"/>
        <v>2.2959125156832414</v>
      </c>
      <c r="P1026" s="62">
        <f t="shared" si="171"/>
        <v>0.40611714057454096</v>
      </c>
      <c r="Q1026" s="62">
        <f t="shared" si="172"/>
        <v>-1.7268899880331645E-3</v>
      </c>
      <c r="R1026" s="63">
        <f t="shared" si="173"/>
        <v>0.21490006056935199</v>
      </c>
      <c r="S1026" s="63">
        <f t="shared" si="174"/>
        <v>-9.1379734058976325E-4</v>
      </c>
      <c r="T1026" s="63">
        <f t="shared" si="175"/>
        <v>0.21398626322876221</v>
      </c>
    </row>
    <row r="1027" spans="1:20" x14ac:dyDescent="0.3">
      <c r="A1027" s="18" t="s">
        <v>295</v>
      </c>
      <c r="B1027" s="18" t="s">
        <v>296</v>
      </c>
      <c r="C1027" s="18" t="s">
        <v>282</v>
      </c>
      <c r="D1027" s="18" t="s">
        <v>279</v>
      </c>
      <c r="E1027" s="61">
        <v>2018</v>
      </c>
      <c r="F1027" s="62">
        <v>1002900000</v>
      </c>
      <c r="G1027" s="62">
        <v>1002400000</v>
      </c>
      <c r="H1027" s="62">
        <v>437148585</v>
      </c>
      <c r="I1027" s="62">
        <v>430367526</v>
      </c>
      <c r="J1027" s="62">
        <f t="shared" si="165"/>
        <v>2.2941856256952082</v>
      </c>
      <c r="K1027" s="62">
        <f t="shared" si="166"/>
        <v>2.3291720202885382</v>
      </c>
      <c r="L1027" s="63">
        <f t="shared" si="167"/>
        <v>-4.9855419284076182E-4</v>
      </c>
      <c r="M1027" s="63">
        <f t="shared" si="168"/>
        <v>-1.5512023217460489E-2</v>
      </c>
      <c r="N1027" s="63">
        <f t="shared" si="169"/>
        <v>1.5250027810076627E-2</v>
      </c>
      <c r="O1027" s="62">
        <f t="shared" si="170"/>
        <v>2.2930418498323633</v>
      </c>
      <c r="P1027" s="62">
        <f t="shared" si="171"/>
        <v>-1.1437758628449757E-3</v>
      </c>
      <c r="Q1027" s="62">
        <f t="shared" si="172"/>
        <v>3.6130170456174948E-2</v>
      </c>
      <c r="R1027" s="63">
        <f t="shared" si="173"/>
        <v>-4.9855419284059745E-4</v>
      </c>
      <c r="S1027" s="63">
        <f t="shared" si="174"/>
        <v>1.5748582002917226E-2</v>
      </c>
      <c r="T1027" s="63">
        <f t="shared" si="175"/>
        <v>1.5250027810076628E-2</v>
      </c>
    </row>
    <row r="1028" spans="1:20" x14ac:dyDescent="0.3">
      <c r="A1028" s="18" t="s">
        <v>295</v>
      </c>
      <c r="B1028" s="18" t="s">
        <v>296</v>
      </c>
      <c r="C1028" s="18" t="s">
        <v>282</v>
      </c>
      <c r="D1028" s="18" t="s">
        <v>279</v>
      </c>
      <c r="E1028" s="61">
        <v>2019</v>
      </c>
      <c r="F1028" s="62">
        <v>1002400000</v>
      </c>
      <c r="G1028" s="62">
        <v>1113100000</v>
      </c>
      <c r="H1028" s="62">
        <v>430367526</v>
      </c>
      <c r="I1028" s="62">
        <v>430812845</v>
      </c>
      <c r="J1028" s="62">
        <f t="shared" si="165"/>
        <v>2.3291720202885382</v>
      </c>
      <c r="K1028" s="62">
        <f t="shared" si="166"/>
        <v>2.5837205480723306</v>
      </c>
      <c r="L1028" s="63">
        <f t="shared" si="167"/>
        <v>0.11043495610534716</v>
      </c>
      <c r="M1028" s="63">
        <f t="shared" si="168"/>
        <v>1.0347411760802789E-3</v>
      </c>
      <c r="N1028" s="63">
        <f t="shared" si="169"/>
        <v>0.10928713103476957</v>
      </c>
      <c r="O1028" s="62">
        <f t="shared" si="170"/>
        <v>2.5863940301109056</v>
      </c>
      <c r="P1028" s="62">
        <f t="shared" si="171"/>
        <v>0.25722200982236743</v>
      </c>
      <c r="Q1028" s="62">
        <f t="shared" si="172"/>
        <v>-2.6734820385749813E-3</v>
      </c>
      <c r="R1028" s="63">
        <f t="shared" si="173"/>
        <v>0.11043495610534713</v>
      </c>
      <c r="S1028" s="63">
        <f t="shared" si="174"/>
        <v>-1.1478250705775652E-3</v>
      </c>
      <c r="T1028" s="63">
        <f t="shared" si="175"/>
        <v>0.10928713103476957</v>
      </c>
    </row>
    <row r="1029" spans="1:20" x14ac:dyDescent="0.3">
      <c r="A1029" s="18" t="s">
        <v>295</v>
      </c>
      <c r="B1029" s="18" t="s">
        <v>296</v>
      </c>
      <c r="C1029" s="18" t="s">
        <v>282</v>
      </c>
      <c r="D1029" s="18" t="s">
        <v>279</v>
      </c>
      <c r="E1029" s="61">
        <v>2020</v>
      </c>
      <c r="F1029" s="62">
        <v>1113100000</v>
      </c>
      <c r="G1029" s="62">
        <v>-625400000</v>
      </c>
      <c r="H1029" s="62">
        <v>430812845</v>
      </c>
      <c r="I1029" s="62">
        <v>445207000</v>
      </c>
      <c r="J1029" s="62">
        <f t="shared" ref="J1029:J1092" si="176">F1029/H1029</f>
        <v>2.5837205480723306</v>
      </c>
      <c r="K1029" s="62">
        <f t="shared" ref="K1029:K1092" si="177">G1029/I1029</f>
        <v>-1.4047398176578536</v>
      </c>
      <c r="L1029" s="63">
        <f t="shared" ref="L1029:L1092" si="178">IF(F1029=0,"",((G1029-F1029)/ABS(F1029)))</f>
        <v>-1.5618542808373013</v>
      </c>
      <c r="M1029" s="63">
        <f t="shared" ref="M1029:M1092" si="179">(I1029-H1029)/H1029</f>
        <v>3.3411619841557882E-2</v>
      </c>
      <c r="N1029" s="63">
        <f t="shared" ref="N1029:N1092" si="180">IF(J1029=0,"",((K1029-J1029)/ABS(J1029)))</f>
        <v>-1.5436887587188584</v>
      </c>
      <c r="O1029" s="62">
        <f t="shared" ref="O1029:O1092" si="181">G1029/H1029</f>
        <v>-1.4516744504217372</v>
      </c>
      <c r="P1029" s="62">
        <f t="shared" ref="P1029:P1092" si="182">O1029-J1029</f>
        <v>-4.035394998494068</v>
      </c>
      <c r="Q1029" s="62">
        <f t="shared" ref="Q1029:Q1092" si="183">K1029-O1029</f>
        <v>4.6934632763883544E-2</v>
      </c>
      <c r="R1029" s="63">
        <f t="shared" ref="R1029:R1092" si="184">IF(J1029=0,"",P1029/ABS(J1029))</f>
        <v>-1.5618542808373013</v>
      </c>
      <c r="S1029" s="63">
        <f t="shared" ref="S1029:S1092" si="185">IF(J1029=0,"",Q1029/ABS(J1029))</f>
        <v>1.8165522118442981E-2</v>
      </c>
      <c r="T1029" s="63">
        <f t="shared" ref="T1029:T1092" si="186">R1029+S1029</f>
        <v>-1.5436887587188584</v>
      </c>
    </row>
    <row r="1030" spans="1:20" x14ac:dyDescent="0.3">
      <c r="A1030" s="18" t="s">
        <v>295</v>
      </c>
      <c r="B1030" s="18" t="s">
        <v>296</v>
      </c>
      <c r="C1030" s="18" t="s">
        <v>282</v>
      </c>
      <c r="D1030" s="18" t="s">
        <v>279</v>
      </c>
      <c r="E1030" s="61">
        <v>2021</v>
      </c>
      <c r="F1030" s="62">
        <v>-625400000</v>
      </c>
      <c r="G1030" s="62">
        <v>-142400000</v>
      </c>
      <c r="H1030" s="62">
        <v>445207000</v>
      </c>
      <c r="I1030" s="62">
        <v>450032743</v>
      </c>
      <c r="J1030" s="62">
        <f t="shared" si="176"/>
        <v>-1.4047398176578536</v>
      </c>
      <c r="K1030" s="62">
        <f t="shared" si="177"/>
        <v>-0.31642142091869968</v>
      </c>
      <c r="L1030" s="63">
        <f t="shared" si="178"/>
        <v>0.77230572433642464</v>
      </c>
      <c r="M1030" s="63">
        <f t="shared" si="179"/>
        <v>1.0839324179538956E-2</v>
      </c>
      <c r="N1030" s="63">
        <f t="shared" si="180"/>
        <v>0.77474731125207619</v>
      </c>
      <c r="O1030" s="62">
        <f t="shared" si="181"/>
        <v>-0.3198512152773878</v>
      </c>
      <c r="P1030" s="62">
        <f t="shared" si="182"/>
        <v>1.0848886023804658</v>
      </c>
      <c r="Q1030" s="62">
        <f t="shared" si="183"/>
        <v>3.4297943586881208E-3</v>
      </c>
      <c r="R1030" s="63">
        <f t="shared" si="184"/>
        <v>0.77230572433642475</v>
      </c>
      <c r="S1030" s="63">
        <f t="shared" si="185"/>
        <v>2.4415869156515224E-3</v>
      </c>
      <c r="T1030" s="63">
        <f t="shared" si="186"/>
        <v>0.7747473112520763</v>
      </c>
    </row>
    <row r="1031" spans="1:20" x14ac:dyDescent="0.3">
      <c r="A1031" s="18" t="s">
        <v>295</v>
      </c>
      <c r="B1031" s="18" t="s">
        <v>296</v>
      </c>
      <c r="C1031" s="18" t="s">
        <v>282</v>
      </c>
      <c r="D1031" s="18" t="s">
        <v>279</v>
      </c>
      <c r="E1031" s="61">
        <v>2022</v>
      </c>
      <c r="F1031" s="62">
        <v>-142400000</v>
      </c>
      <c r="G1031" s="62">
        <v>664400000</v>
      </c>
      <c r="H1031" s="62">
        <v>450032743</v>
      </c>
      <c r="I1031" s="62">
        <v>449949027</v>
      </c>
      <c r="J1031" s="62">
        <f t="shared" si="176"/>
        <v>-0.31642142091869968</v>
      </c>
      <c r="K1031" s="62">
        <f t="shared" si="177"/>
        <v>1.4766117051743286</v>
      </c>
      <c r="L1031" s="63">
        <f t="shared" si="178"/>
        <v>5.665730337078652</v>
      </c>
      <c r="M1031" s="63">
        <f t="shared" si="179"/>
        <v>-1.86022020179985E-4</v>
      </c>
      <c r="N1031" s="63">
        <f t="shared" si="180"/>
        <v>5.6665984271454386</v>
      </c>
      <c r="O1031" s="62">
        <f t="shared" si="181"/>
        <v>1.4763370228819106</v>
      </c>
      <c r="P1031" s="62">
        <f t="shared" si="182"/>
        <v>1.7927584438006103</v>
      </c>
      <c r="Q1031" s="62">
        <f t="shared" si="183"/>
        <v>2.7468229241800479E-4</v>
      </c>
      <c r="R1031" s="63">
        <f t="shared" si="184"/>
        <v>5.665730337078652</v>
      </c>
      <c r="S1031" s="63">
        <f t="shared" si="185"/>
        <v>8.6809006678653655E-4</v>
      </c>
      <c r="T1031" s="63">
        <f t="shared" si="186"/>
        <v>5.6665984271454386</v>
      </c>
    </row>
    <row r="1032" spans="1:20" x14ac:dyDescent="0.3">
      <c r="A1032" s="18" t="s">
        <v>295</v>
      </c>
      <c r="B1032" s="18" t="s">
        <v>296</v>
      </c>
      <c r="C1032" s="18" t="s">
        <v>282</v>
      </c>
      <c r="D1032" s="18" t="s">
        <v>279</v>
      </c>
      <c r="E1032" s="61">
        <v>2023</v>
      </c>
      <c r="F1032" s="62">
        <v>664400000</v>
      </c>
      <c r="G1032" s="62">
        <v>1117600000</v>
      </c>
      <c r="H1032" s="62">
        <v>449949027</v>
      </c>
      <c r="I1032" s="62">
        <v>447439058</v>
      </c>
      <c r="J1032" s="62">
        <f t="shared" si="176"/>
        <v>1.4766117051743286</v>
      </c>
      <c r="K1032" s="62">
        <f t="shared" si="177"/>
        <v>2.4977703220535568</v>
      </c>
      <c r="L1032" s="63">
        <f t="shared" si="178"/>
        <v>0.68211920529801329</v>
      </c>
      <c r="M1032" s="63">
        <f t="shared" si="179"/>
        <v>-5.5783407661419392E-3</v>
      </c>
      <c r="N1032" s="63">
        <f t="shared" si="180"/>
        <v>0.69155527705820963</v>
      </c>
      <c r="O1032" s="62">
        <f t="shared" si="181"/>
        <v>2.4838369080415856</v>
      </c>
      <c r="P1032" s="62">
        <f t="shared" si="182"/>
        <v>1.007225202867257</v>
      </c>
      <c r="Q1032" s="62">
        <f t="shared" si="183"/>
        <v>1.3933414011971124E-2</v>
      </c>
      <c r="R1032" s="63">
        <f t="shared" si="184"/>
        <v>0.68211920529801306</v>
      </c>
      <c r="S1032" s="63">
        <f t="shared" si="185"/>
        <v>9.436071760196528E-3</v>
      </c>
      <c r="T1032" s="63">
        <f t="shared" si="186"/>
        <v>0.69155527705820963</v>
      </c>
    </row>
    <row r="1033" spans="1:20" x14ac:dyDescent="0.3">
      <c r="A1033" s="18" t="s">
        <v>295</v>
      </c>
      <c r="B1033" s="18" t="s">
        <v>296</v>
      </c>
      <c r="C1033" s="18" t="s">
        <v>282</v>
      </c>
      <c r="D1033" s="18" t="s">
        <v>279</v>
      </c>
      <c r="E1033" s="61">
        <v>2024</v>
      </c>
      <c r="F1033" s="62">
        <v>1117600000</v>
      </c>
      <c r="G1033" s="62">
        <v>1253000000</v>
      </c>
      <c r="H1033" s="62">
        <v>447439058</v>
      </c>
      <c r="I1033" s="62">
        <v>436069462</v>
      </c>
      <c r="J1033" s="62">
        <f t="shared" si="176"/>
        <v>2.4977703220535568</v>
      </c>
      <c r="K1033" s="62">
        <f t="shared" si="177"/>
        <v>2.873395431666343</v>
      </c>
      <c r="L1033" s="63">
        <f t="shared" si="178"/>
        <v>0.12115246957766643</v>
      </c>
      <c r="M1033" s="63">
        <f t="shared" si="179"/>
        <v>-2.5410378903488573E-2</v>
      </c>
      <c r="N1033" s="63">
        <f t="shared" si="180"/>
        <v>0.1503841671495095</v>
      </c>
      <c r="O1033" s="62">
        <f t="shared" si="181"/>
        <v>2.8003813650081484</v>
      </c>
      <c r="P1033" s="62">
        <f t="shared" si="182"/>
        <v>0.30261104295459162</v>
      </c>
      <c r="Q1033" s="62">
        <f t="shared" si="183"/>
        <v>7.3014066658194654E-2</v>
      </c>
      <c r="R1033" s="63">
        <f t="shared" si="184"/>
        <v>0.12115246957766643</v>
      </c>
      <c r="S1033" s="63">
        <f t="shared" si="185"/>
        <v>2.9231697571843077E-2</v>
      </c>
      <c r="T1033" s="63">
        <f t="shared" si="186"/>
        <v>0.1503841671495095</v>
      </c>
    </row>
    <row r="1034" spans="1:20" x14ac:dyDescent="0.3">
      <c r="A1034" s="18" t="s">
        <v>297</v>
      </c>
      <c r="B1034" s="18" t="s">
        <v>298</v>
      </c>
      <c r="C1034" s="18" t="s">
        <v>282</v>
      </c>
      <c r="D1034" s="18" t="s">
        <v>279</v>
      </c>
      <c r="E1034" s="61">
        <v>2016</v>
      </c>
      <c r="F1034" s="62">
        <v>-1398000000</v>
      </c>
      <c r="G1034" s="62">
        <v>1736000000</v>
      </c>
      <c r="H1034" s="62">
        <v>1487000000</v>
      </c>
      <c r="I1034" s="62">
        <v>1538000000</v>
      </c>
      <c r="J1034" s="62">
        <f t="shared" si="176"/>
        <v>-0.94014794889038333</v>
      </c>
      <c r="K1034" s="62">
        <f t="shared" si="177"/>
        <v>1.1287386215864759</v>
      </c>
      <c r="L1034" s="63">
        <f t="shared" si="178"/>
        <v>2.2417739628040056</v>
      </c>
      <c r="M1034" s="63">
        <f t="shared" si="179"/>
        <v>3.429724277067922E-2</v>
      </c>
      <c r="N1034" s="63">
        <f t="shared" si="180"/>
        <v>2.2005968027890481</v>
      </c>
      <c r="O1034" s="62">
        <f t="shared" si="181"/>
        <v>1.167451244115669</v>
      </c>
      <c r="P1034" s="62">
        <f t="shared" si="182"/>
        <v>2.1075991930060525</v>
      </c>
      <c r="Q1034" s="62">
        <f t="shared" si="183"/>
        <v>-3.8712622529193164E-2</v>
      </c>
      <c r="R1034" s="63">
        <f t="shared" si="184"/>
        <v>2.2417739628040056</v>
      </c>
      <c r="S1034" s="63">
        <f t="shared" si="185"/>
        <v>-4.1177160014957248E-2</v>
      </c>
      <c r="T1034" s="63">
        <f t="shared" si="186"/>
        <v>2.2005968027890486</v>
      </c>
    </row>
    <row r="1035" spans="1:20" x14ac:dyDescent="0.3">
      <c r="A1035" s="18" t="s">
        <v>297</v>
      </c>
      <c r="B1035" s="18" t="s">
        <v>298</v>
      </c>
      <c r="C1035" s="18" t="s">
        <v>282</v>
      </c>
      <c r="D1035" s="18" t="s">
        <v>279</v>
      </c>
      <c r="E1035" s="61">
        <v>2017</v>
      </c>
      <c r="F1035" s="62">
        <v>1736000000</v>
      </c>
      <c r="G1035" s="62">
        <v>2121000000</v>
      </c>
      <c r="H1035" s="62">
        <v>1538000000</v>
      </c>
      <c r="I1035" s="62">
        <v>1622000000</v>
      </c>
      <c r="J1035" s="62">
        <f t="shared" si="176"/>
        <v>1.1287386215864759</v>
      </c>
      <c r="K1035" s="62">
        <f t="shared" si="177"/>
        <v>1.3076448828606659</v>
      </c>
      <c r="L1035" s="63">
        <f t="shared" si="178"/>
        <v>0.22177419354838709</v>
      </c>
      <c r="M1035" s="63">
        <f t="shared" si="179"/>
        <v>5.4616384915474644E-2</v>
      </c>
      <c r="N1035" s="63">
        <f t="shared" si="180"/>
        <v>0.15850105405512924</v>
      </c>
      <c r="O1035" s="62">
        <f t="shared" si="181"/>
        <v>1.3790637191157347</v>
      </c>
      <c r="P1035" s="62">
        <f t="shared" si="182"/>
        <v>0.2503250975292588</v>
      </c>
      <c r="Q1035" s="62">
        <f t="shared" si="183"/>
        <v>-7.1418836255068729E-2</v>
      </c>
      <c r="R1035" s="63">
        <f t="shared" si="184"/>
        <v>0.22177419354838712</v>
      </c>
      <c r="S1035" s="63">
        <f t="shared" si="185"/>
        <v>-6.3273139493257899E-2</v>
      </c>
      <c r="T1035" s="63">
        <f t="shared" si="186"/>
        <v>0.15850105405512921</v>
      </c>
    </row>
    <row r="1036" spans="1:20" x14ac:dyDescent="0.3">
      <c r="A1036" s="18" t="s">
        <v>297</v>
      </c>
      <c r="B1036" s="18" t="s">
        <v>298</v>
      </c>
      <c r="C1036" s="18" t="s">
        <v>282</v>
      </c>
      <c r="D1036" s="18" t="s">
        <v>279</v>
      </c>
      <c r="E1036" s="61">
        <v>2018</v>
      </c>
      <c r="F1036" s="62">
        <v>2121000000</v>
      </c>
      <c r="G1036" s="62">
        <v>2341000000</v>
      </c>
      <c r="H1036" s="62">
        <v>1622000000</v>
      </c>
      <c r="I1036" s="62">
        <v>1671000000</v>
      </c>
      <c r="J1036" s="62">
        <f t="shared" si="176"/>
        <v>1.3076448828606659</v>
      </c>
      <c r="K1036" s="62">
        <f t="shared" si="177"/>
        <v>1.4009575104727707</v>
      </c>
      <c r="L1036" s="63">
        <f t="shared" si="178"/>
        <v>0.10372465818010372</v>
      </c>
      <c r="M1036" s="63">
        <f t="shared" si="179"/>
        <v>3.0209617755856968E-2</v>
      </c>
      <c r="N1036" s="63">
        <f t="shared" si="180"/>
        <v>7.1359303152679854E-2</v>
      </c>
      <c r="O1036" s="62">
        <f t="shared" si="181"/>
        <v>1.4432799013563502</v>
      </c>
      <c r="P1036" s="62">
        <f t="shared" si="182"/>
        <v>0.13563501849568427</v>
      </c>
      <c r="Q1036" s="62">
        <f t="shared" si="183"/>
        <v>-4.2322390883579475E-2</v>
      </c>
      <c r="R1036" s="63">
        <f t="shared" si="184"/>
        <v>0.10372465818010367</v>
      </c>
      <c r="S1036" s="63">
        <f t="shared" si="185"/>
        <v>-3.2365355027423812E-2</v>
      </c>
      <c r="T1036" s="63">
        <f t="shared" si="186"/>
        <v>7.1359303152679854E-2</v>
      </c>
    </row>
    <row r="1037" spans="1:20" x14ac:dyDescent="0.3">
      <c r="A1037" s="18" t="s">
        <v>297</v>
      </c>
      <c r="B1037" s="18" t="s">
        <v>298</v>
      </c>
      <c r="C1037" s="18" t="s">
        <v>282</v>
      </c>
      <c r="D1037" s="18" t="s">
        <v>279</v>
      </c>
      <c r="E1037" s="61">
        <v>2019</v>
      </c>
      <c r="F1037" s="62">
        <v>2341000000</v>
      </c>
      <c r="G1037" s="62">
        <v>-3816000000</v>
      </c>
      <c r="H1037" s="62">
        <v>1671000000</v>
      </c>
      <c r="I1037" s="62">
        <v>1636563000</v>
      </c>
      <c r="J1037" s="62">
        <f t="shared" si="176"/>
        <v>1.4009575104727707</v>
      </c>
      <c r="K1037" s="62">
        <f t="shared" si="177"/>
        <v>-2.3317159192771681</v>
      </c>
      <c r="L1037" s="63">
        <f t="shared" si="178"/>
        <v>-2.6300726185390859</v>
      </c>
      <c r="M1037" s="63">
        <f t="shared" si="179"/>
        <v>-2.0608617594254936E-2</v>
      </c>
      <c r="N1037" s="63">
        <f t="shared" si="180"/>
        <v>-2.6643730461820367</v>
      </c>
      <c r="O1037" s="62">
        <f t="shared" si="181"/>
        <v>-2.2836624775583485</v>
      </c>
      <c r="P1037" s="62">
        <f t="shared" si="182"/>
        <v>-3.6846199880311192</v>
      </c>
      <c r="Q1037" s="62">
        <f t="shared" si="183"/>
        <v>-4.8053441718819645E-2</v>
      </c>
      <c r="R1037" s="63">
        <f t="shared" si="184"/>
        <v>-2.6300726185390859</v>
      </c>
      <c r="S1037" s="63">
        <f t="shared" si="185"/>
        <v>-3.4300427642950715E-2</v>
      </c>
      <c r="T1037" s="63">
        <f t="shared" si="186"/>
        <v>-2.6643730461820367</v>
      </c>
    </row>
    <row r="1038" spans="1:20" x14ac:dyDescent="0.3">
      <c r="A1038" s="18" t="s">
        <v>297</v>
      </c>
      <c r="B1038" s="18" t="s">
        <v>298</v>
      </c>
      <c r="C1038" s="18" t="s">
        <v>282</v>
      </c>
      <c r="D1038" s="18" t="s">
        <v>279</v>
      </c>
      <c r="E1038" s="61">
        <v>2020</v>
      </c>
      <c r="F1038" s="62">
        <v>-3816000000</v>
      </c>
      <c r="G1038" s="62">
        <v>-3289000000</v>
      </c>
      <c r="H1038" s="62">
        <v>1636563000</v>
      </c>
      <c r="I1038" s="62">
        <v>1572000000</v>
      </c>
      <c r="J1038" s="62">
        <f t="shared" si="176"/>
        <v>-2.3317159192771681</v>
      </c>
      <c r="K1038" s="62">
        <f t="shared" si="177"/>
        <v>-2.0922391857506359</v>
      </c>
      <c r="L1038" s="63">
        <f t="shared" si="178"/>
        <v>0.13810272536687632</v>
      </c>
      <c r="M1038" s="63">
        <f t="shared" si="179"/>
        <v>-3.9450360297770388E-2</v>
      </c>
      <c r="N1038" s="63">
        <f t="shared" si="180"/>
        <v>0.10270407794821335</v>
      </c>
      <c r="O1038" s="62">
        <f t="shared" si="181"/>
        <v>-2.0096995960436597</v>
      </c>
      <c r="P1038" s="62">
        <f t="shared" si="182"/>
        <v>0.32201632323350848</v>
      </c>
      <c r="Q1038" s="62">
        <f t="shared" si="183"/>
        <v>-8.253958970697628E-2</v>
      </c>
      <c r="R1038" s="63">
        <f t="shared" si="184"/>
        <v>0.1381027253668764</v>
      </c>
      <c r="S1038" s="63">
        <f t="shared" si="185"/>
        <v>-3.5398647418663054E-2</v>
      </c>
      <c r="T1038" s="63">
        <f t="shared" si="186"/>
        <v>0.10270407794821335</v>
      </c>
    </row>
    <row r="1039" spans="1:20" x14ac:dyDescent="0.3">
      <c r="A1039" s="18" t="s">
        <v>297</v>
      </c>
      <c r="B1039" s="18" t="s">
        <v>298</v>
      </c>
      <c r="C1039" s="18" t="s">
        <v>282</v>
      </c>
      <c r="D1039" s="18" t="s">
        <v>279</v>
      </c>
      <c r="E1039" s="61">
        <v>2021</v>
      </c>
      <c r="F1039" s="62">
        <v>-3289000000</v>
      </c>
      <c r="G1039" s="62">
        <v>2499000000</v>
      </c>
      <c r="H1039" s="62">
        <v>1572000000</v>
      </c>
      <c r="I1039" s="62">
        <v>1491000000</v>
      </c>
      <c r="J1039" s="62">
        <f t="shared" si="176"/>
        <v>-2.0922391857506359</v>
      </c>
      <c r="K1039" s="62">
        <f t="shared" si="177"/>
        <v>1.676056338028169</v>
      </c>
      <c r="L1039" s="63">
        <f t="shared" si="178"/>
        <v>1.7598054119793249</v>
      </c>
      <c r="M1039" s="63">
        <f t="shared" si="179"/>
        <v>-5.1526717557251911E-2</v>
      </c>
      <c r="N1039" s="63">
        <f t="shared" si="180"/>
        <v>1.8010825671572763</v>
      </c>
      <c r="O1039" s="62">
        <f t="shared" si="181"/>
        <v>1.5896946564885497</v>
      </c>
      <c r="P1039" s="62">
        <f t="shared" si="182"/>
        <v>3.6819338422391859</v>
      </c>
      <c r="Q1039" s="62">
        <f t="shared" si="183"/>
        <v>8.6361681539619317E-2</v>
      </c>
      <c r="R1039" s="63">
        <f t="shared" si="184"/>
        <v>1.7598054119793252</v>
      </c>
      <c r="S1039" s="63">
        <f t="shared" si="185"/>
        <v>4.1277155177951226E-2</v>
      </c>
      <c r="T1039" s="63">
        <f t="shared" si="186"/>
        <v>1.8010825671572763</v>
      </c>
    </row>
    <row r="1040" spans="1:20" x14ac:dyDescent="0.3">
      <c r="A1040" s="18" t="s">
        <v>297</v>
      </c>
      <c r="B1040" s="18" t="s">
        <v>298</v>
      </c>
      <c r="C1040" s="18" t="s">
        <v>282</v>
      </c>
      <c r="D1040" s="18" t="s">
        <v>279</v>
      </c>
      <c r="E1040" s="61">
        <v>2022</v>
      </c>
      <c r="F1040" s="62">
        <v>2499000000</v>
      </c>
      <c r="G1040" s="62">
        <v>4251000000</v>
      </c>
      <c r="H1040" s="62">
        <v>1491000000</v>
      </c>
      <c r="I1040" s="62">
        <v>1414000000</v>
      </c>
      <c r="J1040" s="62">
        <f t="shared" si="176"/>
        <v>1.676056338028169</v>
      </c>
      <c r="K1040" s="62">
        <f t="shared" si="177"/>
        <v>3.0063649222065063</v>
      </c>
      <c r="L1040" s="63">
        <f t="shared" si="178"/>
        <v>0.70108043217286919</v>
      </c>
      <c r="M1040" s="63">
        <f t="shared" si="179"/>
        <v>-5.1643192488262914E-2</v>
      </c>
      <c r="N1040" s="63">
        <f t="shared" si="180"/>
        <v>0.79371352501396597</v>
      </c>
      <c r="O1040" s="62">
        <f t="shared" si="181"/>
        <v>2.8511066398390343</v>
      </c>
      <c r="P1040" s="62">
        <f t="shared" si="182"/>
        <v>1.1750503018108653</v>
      </c>
      <c r="Q1040" s="62">
        <f t="shared" si="183"/>
        <v>0.15525828236747197</v>
      </c>
      <c r="R1040" s="63">
        <f t="shared" si="184"/>
        <v>0.70108043217286919</v>
      </c>
      <c r="S1040" s="63">
        <f t="shared" si="185"/>
        <v>9.263309284109672E-2</v>
      </c>
      <c r="T1040" s="63">
        <f t="shared" si="186"/>
        <v>0.79371352501396597</v>
      </c>
    </row>
    <row r="1041" spans="1:20" x14ac:dyDescent="0.3">
      <c r="A1041" s="18" t="s">
        <v>297</v>
      </c>
      <c r="B1041" s="18" t="s">
        <v>298</v>
      </c>
      <c r="C1041" s="18" t="s">
        <v>282</v>
      </c>
      <c r="D1041" s="18" t="s">
        <v>279</v>
      </c>
      <c r="E1041" s="61">
        <v>2023</v>
      </c>
      <c r="F1041" s="62">
        <v>4251000000</v>
      </c>
      <c r="G1041" s="62">
        <v>3168000000</v>
      </c>
      <c r="H1041" s="62">
        <v>1414000000</v>
      </c>
      <c r="I1041" s="62">
        <v>1264000000</v>
      </c>
      <c r="J1041" s="62">
        <f t="shared" si="176"/>
        <v>3.0063649222065063</v>
      </c>
      <c r="K1041" s="62">
        <f t="shared" si="177"/>
        <v>2.5063291139240507</v>
      </c>
      <c r="L1041" s="63">
        <f t="shared" si="178"/>
        <v>-0.25476358503881441</v>
      </c>
      <c r="M1041" s="63">
        <f t="shared" si="179"/>
        <v>-0.10608203677510608</v>
      </c>
      <c r="N1041" s="63">
        <f t="shared" si="180"/>
        <v>-0.16632571933930659</v>
      </c>
      <c r="O1041" s="62">
        <f t="shared" si="181"/>
        <v>2.2404526166902405</v>
      </c>
      <c r="P1041" s="62">
        <f t="shared" si="182"/>
        <v>-0.76591230551626577</v>
      </c>
      <c r="Q1041" s="62">
        <f t="shared" si="183"/>
        <v>0.26587649723381013</v>
      </c>
      <c r="R1041" s="63">
        <f t="shared" si="184"/>
        <v>-0.25476358503881436</v>
      </c>
      <c r="S1041" s="63">
        <f t="shared" si="185"/>
        <v>8.8437865699507776E-2</v>
      </c>
      <c r="T1041" s="63">
        <f t="shared" si="186"/>
        <v>-0.16632571933930657</v>
      </c>
    </row>
    <row r="1042" spans="1:20" x14ac:dyDescent="0.3">
      <c r="A1042" s="18" t="s">
        <v>297</v>
      </c>
      <c r="B1042" s="18" t="s">
        <v>298</v>
      </c>
      <c r="C1042" s="18" t="s">
        <v>282</v>
      </c>
      <c r="D1042" s="18" t="s">
        <v>279</v>
      </c>
      <c r="E1042" s="61">
        <v>2024</v>
      </c>
      <c r="F1042" s="62">
        <v>3168000000</v>
      </c>
      <c r="G1042" s="62">
        <v>1756000000</v>
      </c>
      <c r="H1042" s="62">
        <v>1264000000</v>
      </c>
      <c r="I1042" s="62">
        <v>1183000000</v>
      </c>
      <c r="J1042" s="62">
        <f t="shared" si="176"/>
        <v>2.5063291139240507</v>
      </c>
      <c r="K1042" s="62">
        <f t="shared" si="177"/>
        <v>1.4843617920540997</v>
      </c>
      <c r="L1042" s="63">
        <f t="shared" si="178"/>
        <v>-0.44570707070707072</v>
      </c>
      <c r="M1042" s="63">
        <f t="shared" si="179"/>
        <v>-6.4082278481012653E-2</v>
      </c>
      <c r="N1042" s="63">
        <f t="shared" si="180"/>
        <v>-0.40775463852386934</v>
      </c>
      <c r="O1042" s="62">
        <f t="shared" si="181"/>
        <v>1.389240506329114</v>
      </c>
      <c r="P1042" s="62">
        <f t="shared" si="182"/>
        <v>-1.1170886075949367</v>
      </c>
      <c r="Q1042" s="62">
        <f t="shared" si="183"/>
        <v>9.5121285724985682E-2</v>
      </c>
      <c r="R1042" s="63">
        <f t="shared" si="184"/>
        <v>-0.44570707070707066</v>
      </c>
      <c r="S1042" s="63">
        <f t="shared" si="185"/>
        <v>3.7952432183201358E-2</v>
      </c>
      <c r="T1042" s="63">
        <f t="shared" si="186"/>
        <v>-0.40775463852386928</v>
      </c>
    </row>
    <row r="1043" spans="1:20" x14ac:dyDescent="0.3">
      <c r="A1043" s="18" t="s">
        <v>299</v>
      </c>
      <c r="B1043" s="18" t="s">
        <v>300</v>
      </c>
      <c r="C1043" s="18" t="s">
        <v>282</v>
      </c>
      <c r="D1043" s="18" t="s">
        <v>279</v>
      </c>
      <c r="E1043" s="61">
        <v>2017</v>
      </c>
      <c r="F1043" s="62">
        <v>1164149000</v>
      </c>
      <c r="G1043" s="62">
        <v>1232005000</v>
      </c>
      <c r="H1043" s="62">
        <v>150000000</v>
      </c>
      <c r="I1043" s="62">
        <v>150000000</v>
      </c>
      <c r="J1043" s="62">
        <f t="shared" si="176"/>
        <v>7.7609933333333334</v>
      </c>
      <c r="K1043" s="62">
        <f t="shared" si="177"/>
        <v>8.2133666666666674</v>
      </c>
      <c r="L1043" s="63">
        <f t="shared" si="178"/>
        <v>5.8288071372307154E-2</v>
      </c>
      <c r="M1043" s="63">
        <f t="shared" si="179"/>
        <v>0</v>
      </c>
      <c r="N1043" s="63">
        <f t="shared" si="180"/>
        <v>5.8288071372307231E-2</v>
      </c>
      <c r="O1043" s="62">
        <f t="shared" si="181"/>
        <v>8.2133666666666674</v>
      </c>
      <c r="P1043" s="62">
        <f t="shared" si="182"/>
        <v>0.45237333333333396</v>
      </c>
      <c r="Q1043" s="62">
        <f t="shared" si="183"/>
        <v>0</v>
      </c>
      <c r="R1043" s="63">
        <f t="shared" si="184"/>
        <v>5.8288071372307231E-2</v>
      </c>
      <c r="S1043" s="63">
        <f t="shared" si="185"/>
        <v>0</v>
      </c>
      <c r="T1043" s="63">
        <f t="shared" si="186"/>
        <v>5.8288071372307231E-2</v>
      </c>
    </row>
    <row r="1044" spans="1:20" x14ac:dyDescent="0.3">
      <c r="A1044" s="18" t="s">
        <v>299</v>
      </c>
      <c r="B1044" s="18" t="s">
        <v>300</v>
      </c>
      <c r="C1044" s="18" t="s">
        <v>282</v>
      </c>
      <c r="D1044" s="18" t="s">
        <v>279</v>
      </c>
      <c r="E1044" s="61">
        <v>2018</v>
      </c>
      <c r="F1044" s="62">
        <v>1232005000</v>
      </c>
      <c r="G1044" s="62">
        <v>1327882000</v>
      </c>
      <c r="H1044" s="62">
        <v>150000000</v>
      </c>
      <c r="I1044" s="62">
        <v>150000000</v>
      </c>
      <c r="J1044" s="62">
        <f t="shared" si="176"/>
        <v>8.2133666666666674</v>
      </c>
      <c r="K1044" s="62">
        <f t="shared" si="177"/>
        <v>8.852546666666667</v>
      </c>
      <c r="L1044" s="63">
        <f t="shared" si="178"/>
        <v>7.7821924424008024E-2</v>
      </c>
      <c r="M1044" s="63">
        <f t="shared" si="179"/>
        <v>0</v>
      </c>
      <c r="N1044" s="63">
        <f t="shared" si="180"/>
        <v>7.7821924424007968E-2</v>
      </c>
      <c r="O1044" s="62">
        <f t="shared" si="181"/>
        <v>8.852546666666667</v>
      </c>
      <c r="P1044" s="62">
        <f t="shared" si="182"/>
        <v>0.63917999999999964</v>
      </c>
      <c r="Q1044" s="62">
        <f t="shared" si="183"/>
        <v>0</v>
      </c>
      <c r="R1044" s="63">
        <f t="shared" si="184"/>
        <v>7.7821924424007968E-2</v>
      </c>
      <c r="S1044" s="63">
        <f t="shared" si="185"/>
        <v>0</v>
      </c>
      <c r="T1044" s="63">
        <f t="shared" si="186"/>
        <v>7.7821924424007968E-2</v>
      </c>
    </row>
    <row r="1045" spans="1:20" x14ac:dyDescent="0.3">
      <c r="A1045" s="18" t="s">
        <v>299</v>
      </c>
      <c r="B1045" s="18" t="s">
        <v>300</v>
      </c>
      <c r="C1045" s="18" t="s">
        <v>282</v>
      </c>
      <c r="D1045" s="18" t="s">
        <v>279</v>
      </c>
      <c r="E1045" s="61">
        <v>2019</v>
      </c>
      <c r="F1045" s="62">
        <v>1327882000</v>
      </c>
      <c r="G1045" s="62">
        <v>1442022000</v>
      </c>
      <c r="H1045" s="62">
        <v>150000000</v>
      </c>
      <c r="I1045" s="62">
        <v>150000000</v>
      </c>
      <c r="J1045" s="62">
        <f t="shared" si="176"/>
        <v>8.852546666666667</v>
      </c>
      <c r="K1045" s="62">
        <f t="shared" si="177"/>
        <v>9.6134799999999991</v>
      </c>
      <c r="L1045" s="63">
        <f t="shared" si="178"/>
        <v>8.5956432875812755E-2</v>
      </c>
      <c r="M1045" s="63">
        <f t="shared" si="179"/>
        <v>0</v>
      </c>
      <c r="N1045" s="63">
        <f t="shared" si="180"/>
        <v>8.5956432875812616E-2</v>
      </c>
      <c r="O1045" s="62">
        <f t="shared" si="181"/>
        <v>9.6134799999999991</v>
      </c>
      <c r="P1045" s="62">
        <f t="shared" si="182"/>
        <v>0.76093333333333213</v>
      </c>
      <c r="Q1045" s="62">
        <f t="shared" si="183"/>
        <v>0</v>
      </c>
      <c r="R1045" s="63">
        <f t="shared" si="184"/>
        <v>8.5956432875812616E-2</v>
      </c>
      <c r="S1045" s="63">
        <f t="shared" si="185"/>
        <v>0</v>
      </c>
      <c r="T1045" s="63">
        <f t="shared" si="186"/>
        <v>8.5956432875812616E-2</v>
      </c>
    </row>
    <row r="1046" spans="1:20" x14ac:dyDescent="0.3">
      <c r="A1046" s="18" t="s">
        <v>299</v>
      </c>
      <c r="B1046" s="18" t="s">
        <v>300</v>
      </c>
      <c r="C1046" s="18" t="s">
        <v>282</v>
      </c>
      <c r="D1046" s="18" t="s">
        <v>279</v>
      </c>
      <c r="E1046" s="61">
        <v>2020</v>
      </c>
      <c r="F1046" s="62">
        <v>1442022000</v>
      </c>
      <c r="G1046" s="62">
        <v>-160748000</v>
      </c>
      <c r="H1046" s="62">
        <v>150000000</v>
      </c>
      <c r="I1046" s="62">
        <v>150000000</v>
      </c>
      <c r="J1046" s="62">
        <f t="shared" si="176"/>
        <v>9.6134799999999991</v>
      </c>
      <c r="K1046" s="62">
        <f t="shared" si="177"/>
        <v>-1.0716533333333333</v>
      </c>
      <c r="L1046" s="63">
        <f t="shared" si="178"/>
        <v>-1.1114740274420223</v>
      </c>
      <c r="M1046" s="63">
        <f t="shared" si="179"/>
        <v>0</v>
      </c>
      <c r="N1046" s="63">
        <f t="shared" si="180"/>
        <v>-1.1114740274420225</v>
      </c>
      <c r="O1046" s="62">
        <f t="shared" si="181"/>
        <v>-1.0716533333333333</v>
      </c>
      <c r="P1046" s="62">
        <f t="shared" si="182"/>
        <v>-10.685133333333333</v>
      </c>
      <c r="Q1046" s="62">
        <f t="shared" si="183"/>
        <v>0</v>
      </c>
      <c r="R1046" s="63">
        <f t="shared" si="184"/>
        <v>-1.1114740274420225</v>
      </c>
      <c r="S1046" s="63">
        <f t="shared" si="185"/>
        <v>0</v>
      </c>
      <c r="T1046" s="63">
        <f t="shared" si="186"/>
        <v>-1.1114740274420225</v>
      </c>
    </row>
    <row r="1047" spans="1:20" x14ac:dyDescent="0.3">
      <c r="A1047" s="18" t="s">
        <v>299</v>
      </c>
      <c r="B1047" s="18" t="s">
        <v>300</v>
      </c>
      <c r="C1047" s="18" t="s">
        <v>282</v>
      </c>
      <c r="D1047" s="18" t="s">
        <v>279</v>
      </c>
      <c r="E1047" s="61">
        <v>2021</v>
      </c>
      <c r="F1047" s="62">
        <v>-160748000</v>
      </c>
      <c r="G1047" s="62">
        <v>-89584000</v>
      </c>
      <c r="H1047" s="62">
        <v>150000000</v>
      </c>
      <c r="I1047" s="62">
        <v>150000000</v>
      </c>
      <c r="J1047" s="62">
        <f t="shared" si="176"/>
        <v>-1.0716533333333333</v>
      </c>
      <c r="K1047" s="62">
        <f t="shared" si="177"/>
        <v>-0.59722666666666668</v>
      </c>
      <c r="L1047" s="63">
        <f t="shared" si="178"/>
        <v>0.44270535247716924</v>
      </c>
      <c r="M1047" s="63">
        <f t="shared" si="179"/>
        <v>0</v>
      </c>
      <c r="N1047" s="63">
        <f t="shared" si="180"/>
        <v>0.44270535247716924</v>
      </c>
      <c r="O1047" s="62">
        <f t="shared" si="181"/>
        <v>-0.59722666666666668</v>
      </c>
      <c r="P1047" s="62">
        <f t="shared" si="182"/>
        <v>0.47442666666666666</v>
      </c>
      <c r="Q1047" s="62">
        <f t="shared" si="183"/>
        <v>0</v>
      </c>
      <c r="R1047" s="63">
        <f t="shared" si="184"/>
        <v>0.44270535247716924</v>
      </c>
      <c r="S1047" s="63">
        <f t="shared" si="185"/>
        <v>0</v>
      </c>
      <c r="T1047" s="63">
        <f t="shared" si="186"/>
        <v>0.44270535247716924</v>
      </c>
    </row>
    <row r="1048" spans="1:20" x14ac:dyDescent="0.3">
      <c r="A1048" s="18" t="s">
        <v>299</v>
      </c>
      <c r="B1048" s="18" t="s">
        <v>300</v>
      </c>
      <c r="C1048" s="18" t="s">
        <v>282</v>
      </c>
      <c r="D1048" s="18" t="s">
        <v>279</v>
      </c>
      <c r="E1048" s="61">
        <v>2022</v>
      </c>
      <c r="F1048" s="62">
        <v>-89584000</v>
      </c>
      <c r="G1048" s="62">
        <v>901499000</v>
      </c>
      <c r="H1048" s="62">
        <v>150000000</v>
      </c>
      <c r="I1048" s="62">
        <v>150000000</v>
      </c>
      <c r="J1048" s="62">
        <f t="shared" si="176"/>
        <v>-0.59722666666666668</v>
      </c>
      <c r="K1048" s="62">
        <f t="shared" si="177"/>
        <v>6.0099933333333331</v>
      </c>
      <c r="L1048" s="63">
        <f t="shared" si="178"/>
        <v>11.063169762457582</v>
      </c>
      <c r="M1048" s="63">
        <f t="shared" si="179"/>
        <v>0</v>
      </c>
      <c r="N1048" s="63">
        <f t="shared" si="180"/>
        <v>11.063169762457582</v>
      </c>
      <c r="O1048" s="62">
        <f t="shared" si="181"/>
        <v>6.0099933333333331</v>
      </c>
      <c r="P1048" s="62">
        <f t="shared" si="182"/>
        <v>6.6072199999999999</v>
      </c>
      <c r="Q1048" s="62">
        <f t="shared" si="183"/>
        <v>0</v>
      </c>
      <c r="R1048" s="63">
        <f t="shared" si="184"/>
        <v>11.063169762457582</v>
      </c>
      <c r="S1048" s="63">
        <f t="shared" si="185"/>
        <v>0</v>
      </c>
      <c r="T1048" s="63">
        <f t="shared" si="186"/>
        <v>11.063169762457582</v>
      </c>
    </row>
    <row r="1049" spans="1:20" x14ac:dyDescent="0.3">
      <c r="A1049" s="18" t="s">
        <v>299</v>
      </c>
      <c r="B1049" s="18" t="s">
        <v>300</v>
      </c>
      <c r="C1049" s="18" t="s">
        <v>282</v>
      </c>
      <c r="D1049" s="18" t="s">
        <v>279</v>
      </c>
      <c r="E1049" s="61">
        <v>2023</v>
      </c>
      <c r="F1049" s="62">
        <v>901499000</v>
      </c>
      <c r="G1049" s="62">
        <v>1630814000</v>
      </c>
      <c r="H1049" s="62">
        <v>150000000</v>
      </c>
      <c r="I1049" s="62">
        <v>150028887</v>
      </c>
      <c r="J1049" s="62">
        <f t="shared" si="176"/>
        <v>6.0099933333333331</v>
      </c>
      <c r="K1049" s="62">
        <f t="shared" si="177"/>
        <v>10.869999988735502</v>
      </c>
      <c r="L1049" s="63">
        <f t="shared" si="178"/>
        <v>0.80900256128958548</v>
      </c>
      <c r="M1049" s="63">
        <f t="shared" si="179"/>
        <v>1.9258E-4</v>
      </c>
      <c r="N1049" s="63">
        <f t="shared" si="180"/>
        <v>0.80865425065399454</v>
      </c>
      <c r="O1049" s="62">
        <f t="shared" si="181"/>
        <v>10.872093333333334</v>
      </c>
      <c r="P1049" s="62">
        <f t="shared" si="182"/>
        <v>4.8621000000000008</v>
      </c>
      <c r="Q1049" s="62">
        <f t="shared" si="183"/>
        <v>-2.0933445978315035E-3</v>
      </c>
      <c r="R1049" s="63">
        <f t="shared" si="184"/>
        <v>0.80900256128958559</v>
      </c>
      <c r="S1049" s="63">
        <f t="shared" si="185"/>
        <v>-3.4831063559108281E-4</v>
      </c>
      <c r="T1049" s="63">
        <f t="shared" si="186"/>
        <v>0.80865425065399454</v>
      </c>
    </row>
    <row r="1050" spans="1:20" x14ac:dyDescent="0.3">
      <c r="A1050" s="18" t="s">
        <v>299</v>
      </c>
      <c r="B1050" s="18" t="s">
        <v>300</v>
      </c>
      <c r="C1050" s="18" t="s">
        <v>282</v>
      </c>
      <c r="D1050" s="18" t="s">
        <v>279</v>
      </c>
      <c r="E1050" s="61">
        <v>2024</v>
      </c>
      <c r="F1050" s="62">
        <v>1630814000</v>
      </c>
      <c r="G1050" s="62">
        <v>1934224000</v>
      </c>
      <c r="H1050" s="62">
        <v>150028887</v>
      </c>
      <c r="I1050" s="62">
        <v>150056168</v>
      </c>
      <c r="J1050" s="62">
        <f t="shared" si="176"/>
        <v>10.869999988735502</v>
      </c>
      <c r="K1050" s="62">
        <f t="shared" si="177"/>
        <v>12.889999963213775</v>
      </c>
      <c r="L1050" s="63">
        <f t="shared" si="178"/>
        <v>0.18604819433730641</v>
      </c>
      <c r="M1050" s="63">
        <f t="shared" si="179"/>
        <v>1.8183831491064785E-4</v>
      </c>
      <c r="N1050" s="63">
        <f t="shared" si="180"/>
        <v>0.18583256454200398</v>
      </c>
      <c r="O1050" s="62">
        <f t="shared" si="181"/>
        <v>12.892343859086283</v>
      </c>
      <c r="P1050" s="62">
        <f t="shared" si="182"/>
        <v>2.022343870350781</v>
      </c>
      <c r="Q1050" s="62">
        <f t="shared" si="183"/>
        <v>-2.3438958725083836E-3</v>
      </c>
      <c r="R1050" s="63">
        <f t="shared" si="184"/>
        <v>0.18604819433730638</v>
      </c>
      <c r="S1050" s="63">
        <f t="shared" si="185"/>
        <v>-2.1562979530242364E-4</v>
      </c>
      <c r="T1050" s="63">
        <f t="shared" si="186"/>
        <v>0.18583256454200395</v>
      </c>
    </row>
    <row r="1051" spans="1:20" x14ac:dyDescent="0.3">
      <c r="A1051" s="18" t="s">
        <v>301</v>
      </c>
      <c r="B1051" s="18" t="s">
        <v>302</v>
      </c>
      <c r="C1051" s="18" t="s">
        <v>282</v>
      </c>
      <c r="D1051" s="18" t="s">
        <v>279</v>
      </c>
      <c r="E1051" s="61">
        <v>2016</v>
      </c>
      <c r="F1051" s="62">
        <v>412662000</v>
      </c>
      <c r="G1051" s="62">
        <v>417222000</v>
      </c>
      <c r="H1051" s="62">
        <v>238734000</v>
      </c>
      <c r="I1051" s="62">
        <v>238426000</v>
      </c>
      <c r="J1051" s="62">
        <f t="shared" si="176"/>
        <v>1.7285430646661137</v>
      </c>
      <c r="K1051" s="62">
        <f t="shared" si="177"/>
        <v>1.7499014369238255</v>
      </c>
      <c r="L1051" s="63">
        <f t="shared" si="178"/>
        <v>1.1050205737383138E-2</v>
      </c>
      <c r="M1051" s="63">
        <f t="shared" si="179"/>
        <v>-1.2901388155855472E-3</v>
      </c>
      <c r="N1051" s="63">
        <f t="shared" si="180"/>
        <v>1.2356285876995115E-2</v>
      </c>
      <c r="O1051" s="62">
        <f t="shared" si="181"/>
        <v>1.747643821156601</v>
      </c>
      <c r="P1051" s="62">
        <f t="shared" si="182"/>
        <v>1.9100756490487258E-2</v>
      </c>
      <c r="Q1051" s="62">
        <f t="shared" si="183"/>
        <v>2.2576157672244968E-3</v>
      </c>
      <c r="R1051" s="63">
        <f t="shared" si="184"/>
        <v>1.1050205737383101E-2</v>
      </c>
      <c r="S1051" s="63">
        <f t="shared" si="185"/>
        <v>1.3060801396120143E-3</v>
      </c>
      <c r="T1051" s="63">
        <f t="shared" si="186"/>
        <v>1.2356285876995115E-2</v>
      </c>
    </row>
    <row r="1052" spans="1:20" x14ac:dyDescent="0.3">
      <c r="A1052" s="18" t="s">
        <v>301</v>
      </c>
      <c r="B1052" s="18" t="s">
        <v>302</v>
      </c>
      <c r="C1052" s="18" t="s">
        <v>282</v>
      </c>
      <c r="D1052" s="18" t="s">
        <v>279</v>
      </c>
      <c r="E1052" s="61">
        <v>2017</v>
      </c>
      <c r="F1052" s="62">
        <v>417222000</v>
      </c>
      <c r="G1052" s="62">
        <v>490837000</v>
      </c>
      <c r="H1052" s="62">
        <v>238426000</v>
      </c>
      <c r="I1052" s="62">
        <v>238426000</v>
      </c>
      <c r="J1052" s="62">
        <f t="shared" si="176"/>
        <v>1.7499014369238255</v>
      </c>
      <c r="K1052" s="62">
        <f t="shared" si="177"/>
        <v>2.0586555157575095</v>
      </c>
      <c r="L1052" s="63">
        <f t="shared" si="178"/>
        <v>0.17644083964891594</v>
      </c>
      <c r="M1052" s="63">
        <f t="shared" si="179"/>
        <v>0</v>
      </c>
      <c r="N1052" s="63">
        <f t="shared" si="180"/>
        <v>0.17644083964891577</v>
      </c>
      <c r="O1052" s="62">
        <f t="shared" si="181"/>
        <v>2.0586555157575095</v>
      </c>
      <c r="P1052" s="62">
        <f t="shared" si="182"/>
        <v>0.308754078833684</v>
      </c>
      <c r="Q1052" s="62">
        <f t="shared" si="183"/>
        <v>0</v>
      </c>
      <c r="R1052" s="63">
        <f t="shared" si="184"/>
        <v>0.17644083964891577</v>
      </c>
      <c r="S1052" s="63">
        <f t="shared" si="185"/>
        <v>0</v>
      </c>
      <c r="T1052" s="63">
        <f t="shared" si="186"/>
        <v>0.17644083964891577</v>
      </c>
    </row>
    <row r="1053" spans="1:20" x14ac:dyDescent="0.3">
      <c r="A1053" s="18" t="s">
        <v>301</v>
      </c>
      <c r="B1053" s="18" t="s">
        <v>302</v>
      </c>
      <c r="C1053" s="18" t="s">
        <v>282</v>
      </c>
      <c r="D1053" s="18" t="s">
        <v>279</v>
      </c>
      <c r="E1053" s="61">
        <v>2018</v>
      </c>
      <c r="F1053" s="62">
        <v>490837000</v>
      </c>
      <c r="G1053" s="62">
        <v>442626000</v>
      </c>
      <c r="H1053" s="62">
        <v>238426000</v>
      </c>
      <c r="I1053" s="62">
        <v>238426000</v>
      </c>
      <c r="J1053" s="62">
        <f t="shared" si="176"/>
        <v>2.0586555157575095</v>
      </c>
      <c r="K1053" s="62">
        <f t="shared" si="177"/>
        <v>1.8564502193552717</v>
      </c>
      <c r="L1053" s="63">
        <f t="shared" si="178"/>
        <v>-9.8222016677634333E-2</v>
      </c>
      <c r="M1053" s="63">
        <f t="shared" si="179"/>
        <v>0</v>
      </c>
      <c r="N1053" s="63">
        <f t="shared" si="180"/>
        <v>-9.822201667763425E-2</v>
      </c>
      <c r="O1053" s="62">
        <f t="shared" si="181"/>
        <v>1.8564502193552717</v>
      </c>
      <c r="P1053" s="62">
        <f t="shared" si="182"/>
        <v>-0.20220529640223783</v>
      </c>
      <c r="Q1053" s="62">
        <f t="shared" si="183"/>
        <v>0</v>
      </c>
      <c r="R1053" s="63">
        <f t="shared" si="184"/>
        <v>-9.822201667763425E-2</v>
      </c>
      <c r="S1053" s="63">
        <f t="shared" si="185"/>
        <v>0</v>
      </c>
      <c r="T1053" s="63">
        <f t="shared" si="186"/>
        <v>-9.822201667763425E-2</v>
      </c>
    </row>
    <row r="1054" spans="1:20" x14ac:dyDescent="0.3">
      <c r="A1054" s="18" t="s">
        <v>301</v>
      </c>
      <c r="B1054" s="18" t="s">
        <v>302</v>
      </c>
      <c r="C1054" s="18" t="s">
        <v>282</v>
      </c>
      <c r="D1054" s="18" t="s">
        <v>279</v>
      </c>
      <c r="E1054" s="61">
        <v>2019</v>
      </c>
      <c r="F1054" s="62">
        <v>442626000</v>
      </c>
      <c r="G1054" s="62">
        <v>422618000</v>
      </c>
      <c r="H1054" s="62">
        <v>238426000</v>
      </c>
      <c r="I1054" s="62">
        <v>238928000</v>
      </c>
      <c r="J1054" s="62">
        <f t="shared" si="176"/>
        <v>1.8564502193552717</v>
      </c>
      <c r="K1054" s="62">
        <f t="shared" si="177"/>
        <v>1.7688090135940535</v>
      </c>
      <c r="L1054" s="63">
        <f t="shared" si="178"/>
        <v>-4.5202947861173993E-2</v>
      </c>
      <c r="M1054" s="63">
        <f t="shared" si="179"/>
        <v>2.1054750740271615E-3</v>
      </c>
      <c r="N1054" s="63">
        <f t="shared" si="180"/>
        <v>-4.7209025508723385E-2</v>
      </c>
      <c r="O1054" s="62">
        <f t="shared" si="181"/>
        <v>1.7725331968828903</v>
      </c>
      <c r="P1054" s="62">
        <f t="shared" si="182"/>
        <v>-8.3917022472381309E-2</v>
      </c>
      <c r="Q1054" s="62">
        <f t="shared" si="183"/>
        <v>-3.7241832888368354E-3</v>
      </c>
      <c r="R1054" s="63">
        <f t="shared" si="184"/>
        <v>-4.5202947861173959E-2</v>
      </c>
      <c r="S1054" s="63">
        <f t="shared" si="185"/>
        <v>-2.006077647549424E-3</v>
      </c>
      <c r="T1054" s="63">
        <f t="shared" si="186"/>
        <v>-4.7209025508723385E-2</v>
      </c>
    </row>
    <row r="1055" spans="1:20" x14ac:dyDescent="0.3">
      <c r="A1055" s="18" t="s">
        <v>301</v>
      </c>
      <c r="B1055" s="18" t="s">
        <v>302</v>
      </c>
      <c r="C1055" s="18" t="s">
        <v>282</v>
      </c>
      <c r="D1055" s="18" t="s">
        <v>279</v>
      </c>
      <c r="E1055" s="61">
        <v>2020</v>
      </c>
      <c r="F1055" s="62">
        <v>422618000</v>
      </c>
      <c r="G1055" s="62">
        <v>444002000</v>
      </c>
      <c r="H1055" s="62">
        <v>238928000</v>
      </c>
      <c r="I1055" s="62">
        <v>261488000</v>
      </c>
      <c r="J1055" s="62">
        <f t="shared" si="176"/>
        <v>1.7688090135940535</v>
      </c>
      <c r="K1055" s="62">
        <f t="shared" si="177"/>
        <v>1.6979823165881418</v>
      </c>
      <c r="L1055" s="63">
        <f t="shared" si="178"/>
        <v>5.0598885991604711E-2</v>
      </c>
      <c r="M1055" s="63">
        <f t="shared" si="179"/>
        <v>9.4421750485501915E-2</v>
      </c>
      <c r="N1055" s="63">
        <f t="shared" si="180"/>
        <v>-4.0042026279591671E-2</v>
      </c>
      <c r="O1055" s="62">
        <f t="shared" si="181"/>
        <v>1.8583087792138218</v>
      </c>
      <c r="P1055" s="62">
        <f t="shared" si="182"/>
        <v>8.9499765619768246E-2</v>
      </c>
      <c r="Q1055" s="62">
        <f t="shared" si="183"/>
        <v>-0.16032646262567996</v>
      </c>
      <c r="R1055" s="63">
        <f t="shared" si="184"/>
        <v>5.0598885991604677E-2</v>
      </c>
      <c r="S1055" s="63">
        <f t="shared" si="185"/>
        <v>-9.0640912271196347E-2</v>
      </c>
      <c r="T1055" s="63">
        <f t="shared" si="186"/>
        <v>-4.0042026279591671E-2</v>
      </c>
    </row>
    <row r="1056" spans="1:20" x14ac:dyDescent="0.3">
      <c r="A1056" s="18" t="s">
        <v>301</v>
      </c>
      <c r="B1056" s="18" t="s">
        <v>302</v>
      </c>
      <c r="C1056" s="18" t="s">
        <v>282</v>
      </c>
      <c r="D1056" s="18" t="s">
        <v>279</v>
      </c>
      <c r="E1056" s="61">
        <v>2021</v>
      </c>
      <c r="F1056" s="62">
        <v>444002000</v>
      </c>
      <c r="G1056" s="62">
        <v>403826000</v>
      </c>
      <c r="H1056" s="62">
        <v>261488000</v>
      </c>
      <c r="I1056" s="62">
        <v>261488000</v>
      </c>
      <c r="J1056" s="62">
        <f t="shared" si="176"/>
        <v>1.6979823165881418</v>
      </c>
      <c r="K1056" s="62">
        <f t="shared" si="177"/>
        <v>1.5443385547329131</v>
      </c>
      <c r="L1056" s="63">
        <f t="shared" si="178"/>
        <v>-9.0486078891536523E-2</v>
      </c>
      <c r="M1056" s="63">
        <f t="shared" si="179"/>
        <v>0</v>
      </c>
      <c r="N1056" s="63">
        <f t="shared" si="180"/>
        <v>-9.0486078891536592E-2</v>
      </c>
      <c r="O1056" s="62">
        <f t="shared" si="181"/>
        <v>1.5443385547329131</v>
      </c>
      <c r="P1056" s="62">
        <f t="shared" si="182"/>
        <v>-0.15364376185522866</v>
      </c>
      <c r="Q1056" s="62">
        <f t="shared" si="183"/>
        <v>0</v>
      </c>
      <c r="R1056" s="63">
        <f t="shared" si="184"/>
        <v>-9.0486078891536592E-2</v>
      </c>
      <c r="S1056" s="63">
        <f t="shared" si="185"/>
        <v>0</v>
      </c>
      <c r="T1056" s="63">
        <f t="shared" si="186"/>
        <v>-9.0486078891536592E-2</v>
      </c>
    </row>
    <row r="1057" spans="1:20" x14ac:dyDescent="0.3">
      <c r="A1057" s="18" t="s">
        <v>301</v>
      </c>
      <c r="B1057" s="18" t="s">
        <v>302</v>
      </c>
      <c r="C1057" s="18" t="s">
        <v>282</v>
      </c>
      <c r="D1057" s="18" t="s">
        <v>279</v>
      </c>
      <c r="E1057" s="61">
        <v>2022</v>
      </c>
      <c r="F1057" s="62">
        <v>403826000</v>
      </c>
      <c r="G1057" s="62">
        <v>375774000</v>
      </c>
      <c r="H1057" s="62">
        <v>261488000</v>
      </c>
      <c r="I1057" s="62">
        <v>261344000</v>
      </c>
      <c r="J1057" s="62">
        <f t="shared" si="176"/>
        <v>1.5443385547329131</v>
      </c>
      <c r="K1057" s="62">
        <f t="shared" si="177"/>
        <v>1.4378520264479</v>
      </c>
      <c r="L1057" s="63">
        <f t="shared" si="178"/>
        <v>-6.9465561900422454E-2</v>
      </c>
      <c r="M1057" s="63">
        <f t="shared" si="179"/>
        <v>-5.5069448693630303E-4</v>
      </c>
      <c r="N1057" s="63">
        <f t="shared" si="180"/>
        <v>-6.8952839361981447E-2</v>
      </c>
      <c r="O1057" s="62">
        <f t="shared" si="181"/>
        <v>1.4370602092639051</v>
      </c>
      <c r="P1057" s="62">
        <f t="shared" si="182"/>
        <v>-0.10727834546900805</v>
      </c>
      <c r="Q1057" s="62">
        <f t="shared" si="183"/>
        <v>7.9181718399490286E-4</v>
      </c>
      <c r="R1057" s="63">
        <f t="shared" si="184"/>
        <v>-6.9465561900422398E-2</v>
      </c>
      <c r="S1057" s="63">
        <f t="shared" si="185"/>
        <v>5.1272253844096007E-4</v>
      </c>
      <c r="T1057" s="63">
        <f t="shared" si="186"/>
        <v>-6.8952839361981433E-2</v>
      </c>
    </row>
    <row r="1058" spans="1:20" x14ac:dyDescent="0.3">
      <c r="A1058" s="18" t="s">
        <v>301</v>
      </c>
      <c r="B1058" s="18" t="s">
        <v>302</v>
      </c>
      <c r="C1058" s="18" t="s">
        <v>282</v>
      </c>
      <c r="D1058" s="18" t="s">
        <v>279</v>
      </c>
      <c r="E1058" s="61">
        <v>2023</v>
      </c>
      <c r="F1058" s="62">
        <v>375774000</v>
      </c>
      <c r="G1058" s="62">
        <v>342528000</v>
      </c>
      <c r="H1058" s="62">
        <v>261344000</v>
      </c>
      <c r="I1058" s="62">
        <v>261471756</v>
      </c>
      <c r="J1058" s="62">
        <f t="shared" si="176"/>
        <v>1.4378520264479</v>
      </c>
      <c r="K1058" s="62">
        <f t="shared" si="177"/>
        <v>1.3099999986231783</v>
      </c>
      <c r="L1058" s="63">
        <f t="shared" si="178"/>
        <v>-8.8473390921138775E-2</v>
      </c>
      <c r="M1058" s="63">
        <f t="shared" si="179"/>
        <v>4.8884229215134074E-4</v>
      </c>
      <c r="N1058" s="63">
        <f t="shared" si="180"/>
        <v>-8.8918765959922916E-2</v>
      </c>
      <c r="O1058" s="62">
        <f t="shared" si="181"/>
        <v>1.3106403820252235</v>
      </c>
      <c r="P1058" s="62">
        <f t="shared" si="182"/>
        <v>-0.12721164442267652</v>
      </c>
      <c r="Q1058" s="62">
        <f t="shared" si="183"/>
        <v>-6.4038340204519706E-4</v>
      </c>
      <c r="R1058" s="63">
        <f t="shared" si="184"/>
        <v>-8.8473390921138706E-2</v>
      </c>
      <c r="S1058" s="63">
        <f t="shared" si="185"/>
        <v>-4.4537503878421604E-4</v>
      </c>
      <c r="T1058" s="63">
        <f t="shared" si="186"/>
        <v>-8.8918765959922916E-2</v>
      </c>
    </row>
    <row r="1059" spans="1:20" x14ac:dyDescent="0.3">
      <c r="A1059" s="18" t="s">
        <v>301</v>
      </c>
      <c r="B1059" s="18" t="s">
        <v>302</v>
      </c>
      <c r="C1059" s="18" t="s">
        <v>282</v>
      </c>
      <c r="D1059" s="18" t="s">
        <v>279</v>
      </c>
      <c r="E1059" s="61">
        <v>2024</v>
      </c>
      <c r="F1059" s="62">
        <v>342528000</v>
      </c>
      <c r="G1059" s="62">
        <v>-299309000</v>
      </c>
      <c r="H1059" s="62">
        <v>261471756</v>
      </c>
      <c r="I1059" s="62">
        <v>261029000</v>
      </c>
      <c r="J1059" s="62">
        <f t="shared" si="176"/>
        <v>1.3099999986231783</v>
      </c>
      <c r="K1059" s="62">
        <f t="shared" si="177"/>
        <v>-1.1466503721808687</v>
      </c>
      <c r="L1059" s="63">
        <f t="shared" si="178"/>
        <v>-1.8738234538490284</v>
      </c>
      <c r="M1059" s="63">
        <f t="shared" si="179"/>
        <v>-1.6933224711276273E-3</v>
      </c>
      <c r="N1059" s="63">
        <f t="shared" si="180"/>
        <v>-1.8753056285389376</v>
      </c>
      <c r="O1059" s="62">
        <f t="shared" si="181"/>
        <v>-1.144708723339128</v>
      </c>
      <c r="P1059" s="62">
        <f t="shared" si="182"/>
        <v>-2.4547087219623061</v>
      </c>
      <c r="Q1059" s="62">
        <f t="shared" si="183"/>
        <v>-1.9416488417407507E-3</v>
      </c>
      <c r="R1059" s="63">
        <f t="shared" si="184"/>
        <v>-1.8738234538490282</v>
      </c>
      <c r="S1059" s="63">
        <f t="shared" si="185"/>
        <v>-1.4821746899094969E-3</v>
      </c>
      <c r="T1059" s="63">
        <f t="shared" si="186"/>
        <v>-1.8753056285389376</v>
      </c>
    </row>
    <row r="1060" spans="1:20" x14ac:dyDescent="0.3">
      <c r="A1060" s="18" t="s">
        <v>303</v>
      </c>
      <c r="B1060" s="18" t="s">
        <v>304</v>
      </c>
      <c r="C1060" s="18" t="s">
        <v>282</v>
      </c>
      <c r="D1060" s="18" t="s">
        <v>279</v>
      </c>
      <c r="E1060" s="61">
        <v>2016</v>
      </c>
      <c r="F1060" s="62">
        <v>606013000</v>
      </c>
      <c r="G1060" s="62">
        <v>636920000</v>
      </c>
      <c r="H1060" s="62">
        <v>539745044</v>
      </c>
      <c r="I1060" s="62">
        <v>539134758</v>
      </c>
      <c r="J1060" s="62">
        <f t="shared" si="176"/>
        <v>1.1227764047797353</v>
      </c>
      <c r="K1060" s="62">
        <f t="shared" si="177"/>
        <v>1.1813743976788824</v>
      </c>
      <c r="L1060" s="63">
        <f t="shared" si="178"/>
        <v>5.1000556093681156E-2</v>
      </c>
      <c r="M1060" s="63">
        <f t="shared" si="179"/>
        <v>-1.1306931055396591E-3</v>
      </c>
      <c r="N1060" s="63">
        <f t="shared" si="180"/>
        <v>5.2190260366793875E-2</v>
      </c>
      <c r="O1060" s="62">
        <f t="shared" si="181"/>
        <v>1.1800386257923658</v>
      </c>
      <c r="P1060" s="62">
        <f t="shared" si="182"/>
        <v>5.7262221012630565E-2</v>
      </c>
      <c r="Q1060" s="62">
        <f t="shared" si="183"/>
        <v>1.335771886516568E-3</v>
      </c>
      <c r="R1060" s="63">
        <f t="shared" si="184"/>
        <v>5.1000556093681169E-2</v>
      </c>
      <c r="S1060" s="63">
        <f t="shared" si="185"/>
        <v>1.1897042731127021E-3</v>
      </c>
      <c r="T1060" s="63">
        <f t="shared" si="186"/>
        <v>5.2190260366793868E-2</v>
      </c>
    </row>
    <row r="1061" spans="1:20" x14ac:dyDescent="0.3">
      <c r="A1061" s="18" t="s">
        <v>303</v>
      </c>
      <c r="B1061" s="18" t="s">
        <v>304</v>
      </c>
      <c r="C1061" s="18" t="s">
        <v>282</v>
      </c>
      <c r="D1061" s="18" t="s">
        <v>279</v>
      </c>
      <c r="E1061" s="61">
        <v>2017</v>
      </c>
      <c r="F1061" s="62">
        <v>636920000</v>
      </c>
      <c r="G1061" s="62">
        <v>669836000</v>
      </c>
      <c r="H1061" s="62">
        <v>539134758</v>
      </c>
      <c r="I1061" s="62">
        <v>539255512</v>
      </c>
      <c r="J1061" s="62">
        <f t="shared" si="176"/>
        <v>1.1813743976788824</v>
      </c>
      <c r="K1061" s="62">
        <f t="shared" si="177"/>
        <v>1.2421495656404158</v>
      </c>
      <c r="L1061" s="63">
        <f t="shared" si="178"/>
        <v>5.1679959806569115E-2</v>
      </c>
      <c r="M1061" s="63">
        <f t="shared" si="179"/>
        <v>2.2397739750253684E-4</v>
      </c>
      <c r="N1061" s="63">
        <f t="shared" si="180"/>
        <v>5.1444460012796969E-2</v>
      </c>
      <c r="O1061" s="62">
        <f t="shared" si="181"/>
        <v>1.2424277790674367</v>
      </c>
      <c r="P1061" s="62">
        <f t="shared" si="182"/>
        <v>6.1053381388554318E-2</v>
      </c>
      <c r="Q1061" s="62">
        <f t="shared" si="183"/>
        <v>-2.7821342702094576E-4</v>
      </c>
      <c r="R1061" s="63">
        <f t="shared" si="184"/>
        <v>5.1679959806569011E-2</v>
      </c>
      <c r="S1061" s="63">
        <f t="shared" si="185"/>
        <v>-2.3549979377204082E-4</v>
      </c>
      <c r="T1061" s="63">
        <f t="shared" si="186"/>
        <v>5.1444460012796969E-2</v>
      </c>
    </row>
    <row r="1062" spans="1:20" x14ac:dyDescent="0.3">
      <c r="A1062" s="18" t="s">
        <v>303</v>
      </c>
      <c r="B1062" s="18" t="s">
        <v>304</v>
      </c>
      <c r="C1062" s="18" t="s">
        <v>282</v>
      </c>
      <c r="D1062" s="18" t="s">
        <v>279</v>
      </c>
      <c r="E1062" s="61">
        <v>2018</v>
      </c>
      <c r="F1062" s="62">
        <v>669836000</v>
      </c>
      <c r="G1062" s="62">
        <v>704558000</v>
      </c>
      <c r="H1062" s="62">
        <v>539255512</v>
      </c>
      <c r="I1062" s="62">
        <v>538890849</v>
      </c>
      <c r="J1062" s="62">
        <f t="shared" si="176"/>
        <v>1.2421495656404158</v>
      </c>
      <c r="K1062" s="62">
        <f t="shared" si="177"/>
        <v>1.3074224609815188</v>
      </c>
      <c r="L1062" s="63">
        <f t="shared" si="178"/>
        <v>5.1836568951205968E-2</v>
      </c>
      <c r="M1062" s="63">
        <f t="shared" si="179"/>
        <v>-6.7623416337003522E-4</v>
      </c>
      <c r="N1062" s="63">
        <f t="shared" si="180"/>
        <v>5.2548338096024889E-2</v>
      </c>
      <c r="O1062" s="62">
        <f t="shared" si="181"/>
        <v>1.3065383372474457</v>
      </c>
      <c r="P1062" s="62">
        <f t="shared" si="182"/>
        <v>6.4388771607029938E-2</v>
      </c>
      <c r="Q1062" s="62">
        <f t="shared" si="183"/>
        <v>8.8412373407309452E-4</v>
      </c>
      <c r="R1062" s="63">
        <f t="shared" si="184"/>
        <v>5.1836568951205954E-2</v>
      </c>
      <c r="S1062" s="63">
        <f t="shared" si="185"/>
        <v>7.1176914481893843E-4</v>
      </c>
      <c r="T1062" s="63">
        <f t="shared" si="186"/>
        <v>5.2548338096024889E-2</v>
      </c>
    </row>
    <row r="1063" spans="1:20" x14ac:dyDescent="0.3">
      <c r="A1063" s="18" t="s">
        <v>303</v>
      </c>
      <c r="B1063" s="18" t="s">
        <v>304</v>
      </c>
      <c r="C1063" s="18" t="s">
        <v>282</v>
      </c>
      <c r="D1063" s="18" t="s">
        <v>279</v>
      </c>
      <c r="E1063" s="61">
        <v>2019</v>
      </c>
      <c r="F1063" s="62">
        <v>704558000</v>
      </c>
      <c r="G1063" s="62">
        <v>714752000</v>
      </c>
      <c r="H1063" s="62">
        <v>538890849</v>
      </c>
      <c r="I1063" s="62">
        <v>539521154</v>
      </c>
      <c r="J1063" s="62">
        <f t="shared" si="176"/>
        <v>1.3074224609815188</v>
      </c>
      <c r="K1063" s="62">
        <f t="shared" si="177"/>
        <v>1.3247895744232487</v>
      </c>
      <c r="L1063" s="63">
        <f t="shared" si="178"/>
        <v>1.4468645590568839E-2</v>
      </c>
      <c r="M1063" s="63">
        <f t="shared" si="179"/>
        <v>1.1696338899976385E-3</v>
      </c>
      <c r="N1063" s="63">
        <f t="shared" si="180"/>
        <v>1.3283474898153378E-2</v>
      </c>
      <c r="O1063" s="62">
        <f t="shared" si="181"/>
        <v>1.3263390932066097</v>
      </c>
      <c r="P1063" s="62">
        <f t="shared" si="182"/>
        <v>1.8916632225090879E-2</v>
      </c>
      <c r="Q1063" s="62">
        <f t="shared" si="183"/>
        <v>-1.5495187833609592E-3</v>
      </c>
      <c r="R1063" s="63">
        <f t="shared" si="184"/>
        <v>1.4468645590568813E-2</v>
      </c>
      <c r="S1063" s="63">
        <f t="shared" si="185"/>
        <v>-1.1851706924154352E-3</v>
      </c>
      <c r="T1063" s="63">
        <f t="shared" si="186"/>
        <v>1.3283474898153378E-2</v>
      </c>
    </row>
    <row r="1064" spans="1:20" x14ac:dyDescent="0.3">
      <c r="A1064" s="18" t="s">
        <v>303</v>
      </c>
      <c r="B1064" s="18" t="s">
        <v>304</v>
      </c>
      <c r="C1064" s="18" t="s">
        <v>282</v>
      </c>
      <c r="D1064" s="18" t="s">
        <v>279</v>
      </c>
      <c r="E1064" s="61">
        <v>2020</v>
      </c>
      <c r="F1064" s="62">
        <v>714752000</v>
      </c>
      <c r="G1064" s="62">
        <v>621185000</v>
      </c>
      <c r="H1064" s="62">
        <v>539521154</v>
      </c>
      <c r="I1064" s="62">
        <v>538840069</v>
      </c>
      <c r="J1064" s="62">
        <f t="shared" si="176"/>
        <v>1.3247895744232487</v>
      </c>
      <c r="K1064" s="62">
        <f t="shared" si="177"/>
        <v>1.1528188710108713</v>
      </c>
      <c r="L1064" s="63">
        <f t="shared" si="178"/>
        <v>-0.13090834303366763</v>
      </c>
      <c r="M1064" s="63">
        <f t="shared" si="179"/>
        <v>-1.262387943365053E-3</v>
      </c>
      <c r="N1064" s="63">
        <f t="shared" si="180"/>
        <v>-0.12980982544887959</v>
      </c>
      <c r="O1064" s="62">
        <f t="shared" si="181"/>
        <v>1.1513635663672235</v>
      </c>
      <c r="P1064" s="62">
        <f t="shared" si="182"/>
        <v>-0.17342600805602526</v>
      </c>
      <c r="Q1064" s="62">
        <f t="shared" si="183"/>
        <v>1.4553046436478478E-3</v>
      </c>
      <c r="R1064" s="63">
        <f t="shared" si="184"/>
        <v>-0.13090834303366769</v>
      </c>
      <c r="S1064" s="63">
        <f t="shared" si="185"/>
        <v>1.0985175847880741E-3</v>
      </c>
      <c r="T1064" s="63">
        <f t="shared" si="186"/>
        <v>-0.12980982544887962</v>
      </c>
    </row>
    <row r="1065" spans="1:20" x14ac:dyDescent="0.3">
      <c r="A1065" s="18" t="s">
        <v>303</v>
      </c>
      <c r="B1065" s="18" t="s">
        <v>304</v>
      </c>
      <c r="C1065" s="18" t="s">
        <v>282</v>
      </c>
      <c r="D1065" s="18" t="s">
        <v>279</v>
      </c>
      <c r="E1065" s="61">
        <v>2021</v>
      </c>
      <c r="F1065" s="62">
        <v>621185000</v>
      </c>
      <c r="G1065" s="62">
        <v>680627000</v>
      </c>
      <c r="H1065" s="62">
        <v>538840069</v>
      </c>
      <c r="I1065" s="62">
        <v>539029181</v>
      </c>
      <c r="J1065" s="62">
        <f t="shared" si="176"/>
        <v>1.1528188710108713</v>
      </c>
      <c r="K1065" s="62">
        <f t="shared" si="177"/>
        <v>1.2626904516325248</v>
      </c>
      <c r="L1065" s="63">
        <f t="shared" si="178"/>
        <v>9.5691299693328069E-2</v>
      </c>
      <c r="M1065" s="63">
        <f t="shared" si="179"/>
        <v>3.5096127938473708E-4</v>
      </c>
      <c r="N1065" s="63">
        <f t="shared" si="180"/>
        <v>9.5306889386110136E-2</v>
      </c>
      <c r="O1065" s="62">
        <f t="shared" si="181"/>
        <v>1.2631336070888968</v>
      </c>
      <c r="P1065" s="62">
        <f t="shared" si="182"/>
        <v>0.11031473607802544</v>
      </c>
      <c r="Q1065" s="62">
        <f t="shared" si="183"/>
        <v>-4.4315545637196863E-4</v>
      </c>
      <c r="R1065" s="63">
        <f t="shared" si="184"/>
        <v>9.5691299693328111E-2</v>
      </c>
      <c r="S1065" s="63">
        <f t="shared" si="185"/>
        <v>-3.8441030721797541E-4</v>
      </c>
      <c r="T1065" s="63">
        <f t="shared" si="186"/>
        <v>9.5306889386110136E-2</v>
      </c>
    </row>
    <row r="1066" spans="1:20" x14ac:dyDescent="0.3">
      <c r="A1066" s="18" t="s">
        <v>303</v>
      </c>
      <c r="B1066" s="18" t="s">
        <v>304</v>
      </c>
      <c r="C1066" s="18" t="s">
        <v>282</v>
      </c>
      <c r="D1066" s="18" t="s">
        <v>279</v>
      </c>
      <c r="E1066" s="61">
        <v>2022</v>
      </c>
      <c r="F1066" s="62">
        <v>680627000</v>
      </c>
      <c r="G1066" s="62">
        <v>664731000</v>
      </c>
      <c r="H1066" s="62">
        <v>539029181</v>
      </c>
      <c r="I1066" s="62">
        <v>539308168</v>
      </c>
      <c r="J1066" s="62">
        <f t="shared" si="176"/>
        <v>1.2626904516325248</v>
      </c>
      <c r="K1066" s="62">
        <f t="shared" si="177"/>
        <v>1.2325624558313755</v>
      </c>
      <c r="L1066" s="63">
        <f t="shared" si="178"/>
        <v>-2.3354935963457224E-2</v>
      </c>
      <c r="M1066" s="63">
        <f t="shared" si="179"/>
        <v>5.1757309220704323E-4</v>
      </c>
      <c r="N1066" s="63">
        <f t="shared" si="180"/>
        <v>-2.386015967903854E-2</v>
      </c>
      <c r="O1066" s="62">
        <f t="shared" si="181"/>
        <v>1.2332003969929783</v>
      </c>
      <c r="P1066" s="62">
        <f t="shared" si="182"/>
        <v>-2.9490054639546459E-2</v>
      </c>
      <c r="Q1066" s="62">
        <f t="shared" si="183"/>
        <v>-6.3794116160287295E-4</v>
      </c>
      <c r="R1066" s="63">
        <f t="shared" si="184"/>
        <v>-2.3354935963457193E-2</v>
      </c>
      <c r="S1066" s="63">
        <f t="shared" si="185"/>
        <v>-5.0522371558134674E-4</v>
      </c>
      <c r="T1066" s="63">
        <f t="shared" si="186"/>
        <v>-2.386015967903854E-2</v>
      </c>
    </row>
    <row r="1067" spans="1:20" x14ac:dyDescent="0.3">
      <c r="A1067" s="18" t="s">
        <v>303</v>
      </c>
      <c r="B1067" s="18" t="s">
        <v>304</v>
      </c>
      <c r="C1067" s="18" t="s">
        <v>282</v>
      </c>
      <c r="D1067" s="18" t="s">
        <v>279</v>
      </c>
      <c r="E1067" s="61">
        <v>2023</v>
      </c>
      <c r="F1067" s="62">
        <v>664731000</v>
      </c>
      <c r="G1067" s="62">
        <v>689640000</v>
      </c>
      <c r="H1067" s="62">
        <v>539308168</v>
      </c>
      <c r="I1067" s="62">
        <v>539630047</v>
      </c>
      <c r="J1067" s="62">
        <f t="shared" si="176"/>
        <v>1.2325624558313755</v>
      </c>
      <c r="K1067" s="62">
        <f t="shared" si="177"/>
        <v>1.2779866574034562</v>
      </c>
      <c r="L1067" s="63">
        <f t="shared" si="178"/>
        <v>3.7472300825446683E-2</v>
      </c>
      <c r="M1067" s="63">
        <f t="shared" si="179"/>
        <v>5.9683687193849439E-4</v>
      </c>
      <c r="N1067" s="63">
        <f t="shared" si="180"/>
        <v>3.6853468444681486E-2</v>
      </c>
      <c r="O1067" s="62">
        <f t="shared" si="181"/>
        <v>1.2787494069624401</v>
      </c>
      <c r="P1067" s="62">
        <f t="shared" si="182"/>
        <v>4.6186951131064635E-2</v>
      </c>
      <c r="Q1067" s="62">
        <f t="shared" si="183"/>
        <v>-7.6274955898392172E-4</v>
      </c>
      <c r="R1067" s="63">
        <f t="shared" si="184"/>
        <v>3.7472300825446676E-2</v>
      </c>
      <c r="S1067" s="63">
        <f t="shared" si="185"/>
        <v>-6.1883238076519188E-4</v>
      </c>
      <c r="T1067" s="63">
        <f t="shared" si="186"/>
        <v>3.6853468444681486E-2</v>
      </c>
    </row>
    <row r="1068" spans="1:20" x14ac:dyDescent="0.3">
      <c r="A1068" s="18" t="s">
        <v>303</v>
      </c>
      <c r="B1068" s="18" t="s">
        <v>304</v>
      </c>
      <c r="C1068" s="18" t="s">
        <v>282</v>
      </c>
      <c r="D1068" s="18" t="s">
        <v>279</v>
      </c>
      <c r="E1068" s="61">
        <v>2024</v>
      </c>
      <c r="F1068" s="62">
        <v>689640000</v>
      </c>
      <c r="G1068" s="62">
        <v>368438000</v>
      </c>
      <c r="H1068" s="62">
        <v>539630047</v>
      </c>
      <c r="I1068" s="62">
        <v>539630047</v>
      </c>
      <c r="J1068" s="62">
        <f t="shared" si="176"/>
        <v>1.2779866574034562</v>
      </c>
      <c r="K1068" s="62">
        <f t="shared" si="177"/>
        <v>0.68276035044431094</v>
      </c>
      <c r="L1068" s="63">
        <f t="shared" si="178"/>
        <v>-0.46575314656922451</v>
      </c>
      <c r="M1068" s="63">
        <f t="shared" si="179"/>
        <v>0</v>
      </c>
      <c r="N1068" s="63">
        <f t="shared" si="180"/>
        <v>-0.46575314656922451</v>
      </c>
      <c r="O1068" s="62">
        <f t="shared" si="181"/>
        <v>0.68276035044431094</v>
      </c>
      <c r="P1068" s="62">
        <f t="shared" si="182"/>
        <v>-0.59522630695914525</v>
      </c>
      <c r="Q1068" s="62">
        <f t="shared" si="183"/>
        <v>0</v>
      </c>
      <c r="R1068" s="63">
        <f t="shared" si="184"/>
        <v>-0.46575314656922451</v>
      </c>
      <c r="S1068" s="63">
        <f t="shared" si="185"/>
        <v>0</v>
      </c>
      <c r="T1068" s="63">
        <f t="shared" si="186"/>
        <v>-0.46575314656922451</v>
      </c>
    </row>
    <row r="1069" spans="1:20" x14ac:dyDescent="0.3">
      <c r="A1069" s="18" t="s">
        <v>305</v>
      </c>
      <c r="B1069" s="18" t="s">
        <v>306</v>
      </c>
      <c r="C1069" s="18" t="s">
        <v>282</v>
      </c>
      <c r="D1069" s="18" t="s">
        <v>279</v>
      </c>
      <c r="E1069" s="61">
        <v>2016</v>
      </c>
      <c r="F1069" s="62">
        <v>708770000</v>
      </c>
      <c r="G1069" s="62">
        <v>775450000</v>
      </c>
      <c r="H1069" s="62">
        <v>3078540607</v>
      </c>
      <c r="I1069" s="62">
        <v>3050065939</v>
      </c>
      <c r="J1069" s="62">
        <f t="shared" si="176"/>
        <v>0.23022921912687963</v>
      </c>
      <c r="K1069" s="62">
        <f t="shared" si="177"/>
        <v>0.25424040512850038</v>
      </c>
      <c r="L1069" s="63">
        <f t="shared" si="178"/>
        <v>9.4078473976043006E-2</v>
      </c>
      <c r="M1069" s="63">
        <f t="shared" si="179"/>
        <v>-9.2494047131469262E-3</v>
      </c>
      <c r="N1069" s="63">
        <f t="shared" si="180"/>
        <v>0.10429252243777169</v>
      </c>
      <c r="O1069" s="62">
        <f t="shared" si="181"/>
        <v>0.25188883272703244</v>
      </c>
      <c r="P1069" s="62">
        <f t="shared" si="182"/>
        <v>2.1659613600152811E-2</v>
      </c>
      <c r="Q1069" s="62">
        <f t="shared" si="183"/>
        <v>2.3515724014679384E-3</v>
      </c>
      <c r="R1069" s="63">
        <f t="shared" si="184"/>
        <v>9.407847397604284E-2</v>
      </c>
      <c r="S1069" s="63">
        <f t="shared" si="185"/>
        <v>1.0214048461728846E-2</v>
      </c>
      <c r="T1069" s="63">
        <f t="shared" si="186"/>
        <v>0.10429252243777168</v>
      </c>
    </row>
    <row r="1070" spans="1:20" x14ac:dyDescent="0.3">
      <c r="A1070" s="18" t="s">
        <v>305</v>
      </c>
      <c r="B1070" s="18" t="s">
        <v>306</v>
      </c>
      <c r="C1070" s="18" t="s">
        <v>282</v>
      </c>
      <c r="D1070" s="18" t="s">
        <v>279</v>
      </c>
      <c r="E1070" s="61">
        <v>2017</v>
      </c>
      <c r="F1070" s="62">
        <v>775450000</v>
      </c>
      <c r="G1070" s="62">
        <v>700510000</v>
      </c>
      <c r="H1070" s="62">
        <v>3050065939</v>
      </c>
      <c r="I1070" s="62">
        <v>3053042167</v>
      </c>
      <c r="J1070" s="62">
        <f t="shared" si="176"/>
        <v>0.25424040512850038</v>
      </c>
      <c r="K1070" s="62">
        <f t="shared" si="177"/>
        <v>0.22944655254740215</v>
      </c>
      <c r="L1070" s="63">
        <f t="shared" si="178"/>
        <v>-9.6640660261783487E-2</v>
      </c>
      <c r="M1070" s="63">
        <f t="shared" si="179"/>
        <v>9.757913630469876E-4</v>
      </c>
      <c r="N1070" s="63">
        <f t="shared" si="180"/>
        <v>-9.752129119117281E-2</v>
      </c>
      <c r="O1070" s="62">
        <f t="shared" si="181"/>
        <v>0.2296704445116588</v>
      </c>
      <c r="P1070" s="62">
        <f t="shared" si="182"/>
        <v>-2.456996061684158E-2</v>
      </c>
      <c r="Q1070" s="62">
        <f t="shared" si="183"/>
        <v>-2.2389196425665059E-4</v>
      </c>
      <c r="R1070" s="63">
        <f t="shared" si="184"/>
        <v>-9.6640660261783404E-2</v>
      </c>
      <c r="S1070" s="63">
        <f t="shared" si="185"/>
        <v>-8.8063092938940677E-4</v>
      </c>
      <c r="T1070" s="63">
        <f t="shared" si="186"/>
        <v>-9.752129119117281E-2</v>
      </c>
    </row>
    <row r="1071" spans="1:20" x14ac:dyDescent="0.3">
      <c r="A1071" s="18" t="s">
        <v>305</v>
      </c>
      <c r="B1071" s="18" t="s">
        <v>306</v>
      </c>
      <c r="C1071" s="18" t="s">
        <v>282</v>
      </c>
      <c r="D1071" s="18" t="s">
        <v>279</v>
      </c>
      <c r="E1071" s="61">
        <v>2018</v>
      </c>
      <c r="F1071" s="62">
        <v>700510000</v>
      </c>
      <c r="G1071" s="62">
        <v>528660000</v>
      </c>
      <c r="H1071" s="62">
        <v>3053042167</v>
      </c>
      <c r="I1071" s="62">
        <v>3054260000</v>
      </c>
      <c r="J1071" s="62">
        <f t="shared" si="176"/>
        <v>0.22944655254740215</v>
      </c>
      <c r="K1071" s="62">
        <f t="shared" si="177"/>
        <v>0.17308938990131817</v>
      </c>
      <c r="L1071" s="63">
        <f t="shared" si="178"/>
        <v>-0.24532126593481893</v>
      </c>
      <c r="M1071" s="63">
        <f t="shared" si="179"/>
        <v>3.9889164098793793E-4</v>
      </c>
      <c r="N1071" s="63">
        <f t="shared" si="180"/>
        <v>-0.24562218094098826</v>
      </c>
      <c r="O1071" s="62">
        <f t="shared" si="181"/>
        <v>0.1731584338120935</v>
      </c>
      <c r="P1071" s="62">
        <f t="shared" si="182"/>
        <v>-5.6288118735308645E-2</v>
      </c>
      <c r="Q1071" s="62">
        <f t="shared" si="183"/>
        <v>-6.9043910775334894E-5</v>
      </c>
      <c r="R1071" s="63">
        <f t="shared" si="184"/>
        <v>-0.24532126593481893</v>
      </c>
      <c r="S1071" s="63">
        <f t="shared" si="185"/>
        <v>-3.0091500616933817E-4</v>
      </c>
      <c r="T1071" s="63">
        <f t="shared" si="186"/>
        <v>-0.24562218094098826</v>
      </c>
    </row>
    <row r="1072" spans="1:20" x14ac:dyDescent="0.3">
      <c r="A1072" s="18" t="s">
        <v>305</v>
      </c>
      <c r="B1072" s="18" t="s">
        <v>306</v>
      </c>
      <c r="C1072" s="18" t="s">
        <v>282</v>
      </c>
      <c r="D1072" s="18" t="s">
        <v>279</v>
      </c>
      <c r="E1072" s="61">
        <v>2019</v>
      </c>
      <c r="F1072" s="62">
        <v>528660000</v>
      </c>
      <c r="G1072" s="62">
        <v>609200000</v>
      </c>
      <c r="H1072" s="62">
        <v>3054260000</v>
      </c>
      <c r="I1072" s="62">
        <v>3051880000</v>
      </c>
      <c r="J1072" s="62">
        <f t="shared" si="176"/>
        <v>0.17308938990131817</v>
      </c>
      <c r="K1072" s="62">
        <f t="shared" si="177"/>
        <v>0.19961466374824699</v>
      </c>
      <c r="L1072" s="63">
        <f t="shared" si="178"/>
        <v>0.15234744448227594</v>
      </c>
      <c r="M1072" s="63">
        <f t="shared" si="179"/>
        <v>-7.7923948845219464E-4</v>
      </c>
      <c r="N1072" s="63">
        <f t="shared" si="180"/>
        <v>0.15324609938281847</v>
      </c>
      <c r="O1072" s="62">
        <f t="shared" si="181"/>
        <v>0.19945911611978023</v>
      </c>
      <c r="P1072" s="62">
        <f t="shared" si="182"/>
        <v>2.6369726218462064E-2</v>
      </c>
      <c r="Q1072" s="62">
        <f t="shared" si="183"/>
        <v>1.5554762846675674E-4</v>
      </c>
      <c r="R1072" s="63">
        <f t="shared" si="184"/>
        <v>0.15234744448227583</v>
      </c>
      <c r="S1072" s="63">
        <f t="shared" si="185"/>
        <v>8.9865490054264819E-4</v>
      </c>
      <c r="T1072" s="63">
        <f t="shared" si="186"/>
        <v>0.15324609938281847</v>
      </c>
    </row>
    <row r="1073" spans="1:20" x14ac:dyDescent="0.3">
      <c r="A1073" s="18" t="s">
        <v>305</v>
      </c>
      <c r="B1073" s="18" t="s">
        <v>306</v>
      </c>
      <c r="C1073" s="18" t="s">
        <v>282</v>
      </c>
      <c r="D1073" s="18" t="s">
        <v>279</v>
      </c>
      <c r="E1073" s="61">
        <v>2020</v>
      </c>
      <c r="F1073" s="62">
        <v>609200000</v>
      </c>
      <c r="G1073" s="62">
        <v>526500000</v>
      </c>
      <c r="H1073" s="62">
        <v>3051880000</v>
      </c>
      <c r="I1073" s="62">
        <v>3049200000</v>
      </c>
      <c r="J1073" s="62">
        <f t="shared" si="176"/>
        <v>0.19961466374824699</v>
      </c>
      <c r="K1073" s="62">
        <f t="shared" si="177"/>
        <v>0.17266824085005902</v>
      </c>
      <c r="L1073" s="63">
        <f t="shared" si="178"/>
        <v>-0.13575180564674982</v>
      </c>
      <c r="M1073" s="63">
        <f t="shared" si="179"/>
        <v>-8.7814724038953035E-4</v>
      </c>
      <c r="N1073" s="63">
        <f t="shared" si="180"/>
        <v>-0.13499220143552509</v>
      </c>
      <c r="O1073" s="62">
        <f t="shared" si="181"/>
        <v>0.17251661271085364</v>
      </c>
      <c r="P1073" s="62">
        <f t="shared" si="182"/>
        <v>-2.709805103739335E-2</v>
      </c>
      <c r="Q1073" s="62">
        <f t="shared" si="183"/>
        <v>1.516281392053842E-4</v>
      </c>
      <c r="R1073" s="63">
        <f t="shared" si="184"/>
        <v>-0.13575180564674985</v>
      </c>
      <c r="S1073" s="63">
        <f t="shared" si="185"/>
        <v>7.5960421122476683E-4</v>
      </c>
      <c r="T1073" s="63">
        <f t="shared" si="186"/>
        <v>-0.13499220143552509</v>
      </c>
    </row>
    <row r="1074" spans="1:20" x14ac:dyDescent="0.3">
      <c r="A1074" s="18" t="s">
        <v>305</v>
      </c>
      <c r="B1074" s="18" t="s">
        <v>306</v>
      </c>
      <c r="C1074" s="18" t="s">
        <v>282</v>
      </c>
      <c r="D1074" s="18" t="s">
        <v>279</v>
      </c>
      <c r="E1074" s="61">
        <v>2021</v>
      </c>
      <c r="F1074" s="62">
        <v>526500000</v>
      </c>
      <c r="G1074" s="62">
        <v>765200000</v>
      </c>
      <c r="H1074" s="62">
        <v>3049200000</v>
      </c>
      <c r="I1074" s="62">
        <v>3049400000</v>
      </c>
      <c r="J1074" s="62">
        <f t="shared" si="176"/>
        <v>0.17266824085005902</v>
      </c>
      <c r="K1074" s="62">
        <f t="shared" si="177"/>
        <v>0.25093461008723028</v>
      </c>
      <c r="L1074" s="63">
        <f t="shared" si="178"/>
        <v>0.45337132003798669</v>
      </c>
      <c r="M1074" s="63">
        <f t="shared" si="179"/>
        <v>6.5590974681883774E-5</v>
      </c>
      <c r="N1074" s="63">
        <f t="shared" si="180"/>
        <v>0.4532759982487799</v>
      </c>
      <c r="O1074" s="62">
        <f t="shared" si="181"/>
        <v>0.25095106913288734</v>
      </c>
      <c r="P1074" s="62">
        <f t="shared" si="182"/>
        <v>7.8282828282828315E-2</v>
      </c>
      <c r="Q1074" s="62">
        <f t="shared" si="183"/>
        <v>-1.6459045657057914E-5</v>
      </c>
      <c r="R1074" s="63">
        <f t="shared" si="184"/>
        <v>0.45337132003798691</v>
      </c>
      <c r="S1074" s="63">
        <f t="shared" si="185"/>
        <v>-9.5321789207029431E-5</v>
      </c>
      <c r="T1074" s="63">
        <f t="shared" si="186"/>
        <v>0.4532759982487799</v>
      </c>
    </row>
    <row r="1075" spans="1:20" x14ac:dyDescent="0.3">
      <c r="A1075" s="18" t="s">
        <v>305</v>
      </c>
      <c r="B1075" s="18" t="s">
        <v>306</v>
      </c>
      <c r="C1075" s="18" t="s">
        <v>282</v>
      </c>
      <c r="D1075" s="18" t="s">
        <v>279</v>
      </c>
      <c r="E1075" s="61">
        <v>2022</v>
      </c>
      <c r="F1075" s="62">
        <v>765200000</v>
      </c>
      <c r="G1075" s="62">
        <v>563600000</v>
      </c>
      <c r="H1075" s="62">
        <v>3049400000</v>
      </c>
      <c r="I1075" s="62">
        <v>3054600000</v>
      </c>
      <c r="J1075" s="62">
        <f t="shared" si="176"/>
        <v>0.25093461008723028</v>
      </c>
      <c r="K1075" s="62">
        <f t="shared" si="177"/>
        <v>0.18450860996529825</v>
      </c>
      <c r="L1075" s="63">
        <f t="shared" si="178"/>
        <v>-0.26346053319393625</v>
      </c>
      <c r="M1075" s="63">
        <f t="shared" si="179"/>
        <v>1.705253492490326E-3</v>
      </c>
      <c r="N1075" s="63">
        <f t="shared" si="180"/>
        <v>-0.26471438156275423</v>
      </c>
      <c r="O1075" s="62">
        <f t="shared" si="181"/>
        <v>0.18482324391683611</v>
      </c>
      <c r="P1075" s="62">
        <f t="shared" si="182"/>
        <v>-6.6111366170394176E-2</v>
      </c>
      <c r="Q1075" s="62">
        <f t="shared" si="183"/>
        <v>-3.1463395153785711E-4</v>
      </c>
      <c r="R1075" s="63">
        <f t="shared" si="184"/>
        <v>-0.2634605331939362</v>
      </c>
      <c r="S1075" s="63">
        <f t="shared" si="185"/>
        <v>-1.2538483688180103E-3</v>
      </c>
      <c r="T1075" s="63">
        <f t="shared" si="186"/>
        <v>-0.26471438156275423</v>
      </c>
    </row>
    <row r="1076" spans="1:20" x14ac:dyDescent="0.3">
      <c r="A1076" s="18" t="s">
        <v>305</v>
      </c>
      <c r="B1076" s="18" t="s">
        <v>306</v>
      </c>
      <c r="C1076" s="18" t="s">
        <v>282</v>
      </c>
      <c r="D1076" s="18" t="s">
        <v>279</v>
      </c>
      <c r="E1076" s="61">
        <v>2023</v>
      </c>
      <c r="F1076" s="62">
        <v>563600000</v>
      </c>
      <c r="G1076" s="62">
        <v>677200000</v>
      </c>
      <c r="H1076" s="62">
        <v>3054600000</v>
      </c>
      <c r="I1076" s="62">
        <v>3064200000</v>
      </c>
      <c r="J1076" s="62">
        <f t="shared" si="176"/>
        <v>0.18450860996529825</v>
      </c>
      <c r="K1076" s="62">
        <f t="shared" si="177"/>
        <v>0.22100385092356895</v>
      </c>
      <c r="L1076" s="63">
        <f t="shared" si="178"/>
        <v>0.20156139105748758</v>
      </c>
      <c r="M1076" s="63">
        <f t="shared" si="179"/>
        <v>3.142801021410332E-3</v>
      </c>
      <c r="N1076" s="63">
        <f t="shared" si="180"/>
        <v>0.1977969535683706</v>
      </c>
      <c r="O1076" s="62">
        <f t="shared" si="181"/>
        <v>0.22169842205198717</v>
      </c>
      <c r="P1076" s="62">
        <f t="shared" si="182"/>
        <v>3.7189812086688923E-2</v>
      </c>
      <c r="Q1076" s="62">
        <f t="shared" si="183"/>
        <v>-6.9457112841822544E-4</v>
      </c>
      <c r="R1076" s="63">
        <f t="shared" si="184"/>
        <v>0.20156139105748755</v>
      </c>
      <c r="S1076" s="63">
        <f t="shared" si="185"/>
        <v>-3.7644374891169468E-3</v>
      </c>
      <c r="T1076" s="63">
        <f t="shared" si="186"/>
        <v>0.1977969535683706</v>
      </c>
    </row>
    <row r="1077" spans="1:20" x14ac:dyDescent="0.3">
      <c r="A1077" s="18" t="s">
        <v>305</v>
      </c>
      <c r="B1077" s="18" t="s">
        <v>306</v>
      </c>
      <c r="C1077" s="18" t="s">
        <v>282</v>
      </c>
      <c r="D1077" s="18" t="s">
        <v>279</v>
      </c>
      <c r="E1077" s="61">
        <v>2024</v>
      </c>
      <c r="F1077" s="62">
        <v>677200000</v>
      </c>
      <c r="G1077" s="62">
        <v>967500000</v>
      </c>
      <c r="H1077" s="62">
        <v>3064200000</v>
      </c>
      <c r="I1077" s="62">
        <v>3067400000</v>
      </c>
      <c r="J1077" s="62">
        <f t="shared" si="176"/>
        <v>0.22100385092356895</v>
      </c>
      <c r="K1077" s="62">
        <f t="shared" si="177"/>
        <v>0.31541370541826952</v>
      </c>
      <c r="L1077" s="63">
        <f t="shared" si="178"/>
        <v>0.42867690490253985</v>
      </c>
      <c r="M1077" s="63">
        <f t="shared" si="179"/>
        <v>1.0443182559885125E-3</v>
      </c>
      <c r="N1077" s="63">
        <f t="shared" si="180"/>
        <v>0.4271864680192875</v>
      </c>
      <c r="O1077" s="62">
        <f t="shared" si="181"/>
        <v>0.31574309770902681</v>
      </c>
      <c r="P1077" s="62">
        <f t="shared" si="182"/>
        <v>9.4739246785457865E-2</v>
      </c>
      <c r="Q1077" s="62">
        <f t="shared" si="183"/>
        <v>-3.2939229075729104E-4</v>
      </c>
      <c r="R1077" s="63">
        <f t="shared" si="184"/>
        <v>0.4286769049025399</v>
      </c>
      <c r="S1077" s="63">
        <f t="shared" si="185"/>
        <v>-1.4904368832523497E-3</v>
      </c>
      <c r="T1077" s="63">
        <f t="shared" si="186"/>
        <v>0.42718646801928756</v>
      </c>
    </row>
    <row r="1078" spans="1:20" x14ac:dyDescent="0.3">
      <c r="A1078" s="18" t="s">
        <v>307</v>
      </c>
      <c r="B1078" s="18" t="s">
        <v>308</v>
      </c>
      <c r="C1078" s="18" t="s">
        <v>282</v>
      </c>
      <c r="D1078" s="18" t="s">
        <v>279</v>
      </c>
      <c r="E1078" s="61">
        <v>2016</v>
      </c>
      <c r="F1078" s="62">
        <v>207324000</v>
      </c>
      <c r="G1078" s="62">
        <v>351981000</v>
      </c>
      <c r="H1078" s="62">
        <v>56794911</v>
      </c>
      <c r="I1078" s="62">
        <v>57010458</v>
      </c>
      <c r="J1078" s="62">
        <f t="shared" si="176"/>
        <v>3.650397480154516</v>
      </c>
      <c r="K1078" s="62">
        <f t="shared" si="177"/>
        <v>6.1739725016767979</v>
      </c>
      <c r="L1078" s="63">
        <f t="shared" si="178"/>
        <v>0.69773398159402678</v>
      </c>
      <c r="M1078" s="63">
        <f t="shared" si="179"/>
        <v>3.7951815788565984E-3</v>
      </c>
      <c r="N1078" s="63">
        <f t="shared" si="180"/>
        <v>0.69131513355511698</v>
      </c>
      <c r="O1078" s="62">
        <f t="shared" si="181"/>
        <v>6.1974038483835283</v>
      </c>
      <c r="P1078" s="62">
        <f t="shared" si="182"/>
        <v>2.5470063682290123</v>
      </c>
      <c r="Q1078" s="62">
        <f t="shared" si="183"/>
        <v>-2.3431346706730416E-2</v>
      </c>
      <c r="R1078" s="63">
        <f t="shared" si="184"/>
        <v>0.69773398159402666</v>
      </c>
      <c r="S1078" s="63">
        <f t="shared" si="185"/>
        <v>-6.4188480389096155E-3</v>
      </c>
      <c r="T1078" s="63">
        <f t="shared" si="186"/>
        <v>0.69131513355511709</v>
      </c>
    </row>
    <row r="1079" spans="1:20" x14ac:dyDescent="0.3">
      <c r="A1079" s="18" t="s">
        <v>307</v>
      </c>
      <c r="B1079" s="18" t="s">
        <v>308</v>
      </c>
      <c r="C1079" s="18" t="s">
        <v>282</v>
      </c>
      <c r="D1079" s="18" t="s">
        <v>279</v>
      </c>
      <c r="E1079" s="61">
        <v>2017</v>
      </c>
      <c r="F1079" s="62">
        <v>351981000</v>
      </c>
      <c r="G1079" s="62">
        <v>220131000</v>
      </c>
      <c r="H1079" s="62">
        <v>57010458</v>
      </c>
      <c r="I1079" s="62">
        <v>57117274</v>
      </c>
      <c r="J1079" s="62">
        <f t="shared" si="176"/>
        <v>6.1739725016767979</v>
      </c>
      <c r="K1079" s="62">
        <f t="shared" si="177"/>
        <v>3.8540179631121751</v>
      </c>
      <c r="L1079" s="63">
        <f t="shared" si="178"/>
        <v>-0.37459408320335474</v>
      </c>
      <c r="M1079" s="63">
        <f t="shared" si="179"/>
        <v>1.8736211521051102E-3</v>
      </c>
      <c r="N1079" s="63">
        <f t="shared" si="180"/>
        <v>-0.3757636656033928</v>
      </c>
      <c r="O1079" s="62">
        <f t="shared" si="181"/>
        <v>3.8612389326884551</v>
      </c>
      <c r="P1079" s="62">
        <f t="shared" si="182"/>
        <v>-2.3127335689883428</v>
      </c>
      <c r="Q1079" s="62">
        <f t="shared" si="183"/>
        <v>-7.2209695762799342E-3</v>
      </c>
      <c r="R1079" s="63">
        <f t="shared" si="184"/>
        <v>-0.37459408320335474</v>
      </c>
      <c r="S1079" s="63">
        <f t="shared" si="185"/>
        <v>-1.1695824000380276E-3</v>
      </c>
      <c r="T1079" s="63">
        <f t="shared" si="186"/>
        <v>-0.37576366560339275</v>
      </c>
    </row>
    <row r="1080" spans="1:20" x14ac:dyDescent="0.3">
      <c r="A1080" s="18" t="s">
        <v>307</v>
      </c>
      <c r="B1080" s="18" t="s">
        <v>308</v>
      </c>
      <c r="C1080" s="18" t="s">
        <v>282</v>
      </c>
      <c r="D1080" s="18" t="s">
        <v>279</v>
      </c>
      <c r="E1080" s="61">
        <v>2018</v>
      </c>
      <c r="F1080" s="62">
        <v>220131000</v>
      </c>
      <c r="G1080" s="62">
        <v>328030000</v>
      </c>
      <c r="H1080" s="62">
        <v>57117274</v>
      </c>
      <c r="I1080" s="62">
        <v>55588989</v>
      </c>
      <c r="J1080" s="62">
        <f t="shared" si="176"/>
        <v>3.8540179631121751</v>
      </c>
      <c r="K1080" s="62">
        <f t="shared" si="177"/>
        <v>5.9009887731543378</v>
      </c>
      <c r="L1080" s="63">
        <f t="shared" si="178"/>
        <v>0.49015813311164713</v>
      </c>
      <c r="M1080" s="63">
        <f t="shared" si="179"/>
        <v>-2.6756966727788864E-2</v>
      </c>
      <c r="N1080" s="63">
        <f t="shared" si="180"/>
        <v>0.53112643211169785</v>
      </c>
      <c r="O1080" s="62">
        <f t="shared" si="181"/>
        <v>5.7430962128899923</v>
      </c>
      <c r="P1080" s="62">
        <f t="shared" si="182"/>
        <v>1.8890782497778171</v>
      </c>
      <c r="Q1080" s="62">
        <f t="shared" si="183"/>
        <v>0.15789256026434551</v>
      </c>
      <c r="R1080" s="63">
        <f t="shared" si="184"/>
        <v>0.49015813311164724</v>
      </c>
      <c r="S1080" s="63">
        <f t="shared" si="185"/>
        <v>4.0968299000050584E-2</v>
      </c>
      <c r="T1080" s="63">
        <f t="shared" si="186"/>
        <v>0.53112643211169785</v>
      </c>
    </row>
    <row r="1081" spans="1:20" x14ac:dyDescent="0.3">
      <c r="A1081" s="18" t="s">
        <v>307</v>
      </c>
      <c r="B1081" s="18" t="s">
        <v>308</v>
      </c>
      <c r="C1081" s="18" t="s">
        <v>282</v>
      </c>
      <c r="D1081" s="18" t="s">
        <v>279</v>
      </c>
      <c r="E1081" s="61">
        <v>2019</v>
      </c>
      <c r="F1081" s="62">
        <v>328030000</v>
      </c>
      <c r="G1081" s="62">
        <v>351678000</v>
      </c>
      <c r="H1081" s="62">
        <v>55588989</v>
      </c>
      <c r="I1081" s="62">
        <v>54438737</v>
      </c>
      <c r="J1081" s="62">
        <f t="shared" si="176"/>
        <v>5.9009887731543378</v>
      </c>
      <c r="K1081" s="62">
        <f t="shared" si="177"/>
        <v>6.4600690497283209</v>
      </c>
      <c r="L1081" s="63">
        <f t="shared" si="178"/>
        <v>7.2090967289577174E-2</v>
      </c>
      <c r="M1081" s="63">
        <f t="shared" si="179"/>
        <v>-2.0692083462787926E-2</v>
      </c>
      <c r="N1081" s="63">
        <f t="shared" si="180"/>
        <v>9.4743490975179423E-2</v>
      </c>
      <c r="O1081" s="62">
        <f t="shared" si="181"/>
        <v>6.3263967617759693</v>
      </c>
      <c r="P1081" s="62">
        <f t="shared" si="182"/>
        <v>0.42540798862163154</v>
      </c>
      <c r="Q1081" s="62">
        <f t="shared" si="183"/>
        <v>0.13367228795235153</v>
      </c>
      <c r="R1081" s="63">
        <f t="shared" si="184"/>
        <v>7.2090967289577174E-2</v>
      </c>
      <c r="S1081" s="63">
        <f t="shared" si="185"/>
        <v>2.2652523685602239E-2</v>
      </c>
      <c r="T1081" s="63">
        <f t="shared" si="186"/>
        <v>9.4743490975179409E-2</v>
      </c>
    </row>
    <row r="1082" spans="1:20" x14ac:dyDescent="0.3">
      <c r="A1082" s="18" t="s">
        <v>307</v>
      </c>
      <c r="B1082" s="18" t="s">
        <v>308</v>
      </c>
      <c r="C1082" s="18" t="s">
        <v>282</v>
      </c>
      <c r="D1082" s="18" t="s">
        <v>279</v>
      </c>
      <c r="E1082" s="61">
        <v>2020</v>
      </c>
      <c r="F1082" s="62">
        <v>351678000</v>
      </c>
      <c r="G1082" s="62">
        <v>387052000</v>
      </c>
      <c r="H1082" s="62">
        <v>54438737</v>
      </c>
      <c r="I1082" s="62">
        <v>54523975</v>
      </c>
      <c r="J1082" s="62">
        <f t="shared" si="176"/>
        <v>6.4600690497283209</v>
      </c>
      <c r="K1082" s="62">
        <f t="shared" si="177"/>
        <v>7.0987487614393485</v>
      </c>
      <c r="L1082" s="63">
        <f t="shared" si="178"/>
        <v>0.10058633181489886</v>
      </c>
      <c r="M1082" s="63">
        <f t="shared" si="179"/>
        <v>1.5657600579528507E-3</v>
      </c>
      <c r="N1082" s="63">
        <f t="shared" si="180"/>
        <v>9.8865771680549983E-2</v>
      </c>
      <c r="O1082" s="62">
        <f t="shared" si="181"/>
        <v>7.1098636987114521</v>
      </c>
      <c r="P1082" s="62">
        <f t="shared" si="182"/>
        <v>0.64979464898313122</v>
      </c>
      <c r="Q1082" s="62">
        <f t="shared" si="183"/>
        <v>-1.1114937272103553E-2</v>
      </c>
      <c r="R1082" s="63">
        <f t="shared" si="184"/>
        <v>0.10058633181489886</v>
      </c>
      <c r="S1082" s="63">
        <f t="shared" si="185"/>
        <v>-1.7205601343488726E-3</v>
      </c>
      <c r="T1082" s="63">
        <f t="shared" si="186"/>
        <v>9.8865771680549983E-2</v>
      </c>
    </row>
    <row r="1083" spans="1:20" x14ac:dyDescent="0.3">
      <c r="A1083" s="18" t="s">
        <v>307</v>
      </c>
      <c r="B1083" s="18" t="s">
        <v>308</v>
      </c>
      <c r="C1083" s="18" t="s">
        <v>282</v>
      </c>
      <c r="D1083" s="18" t="s">
        <v>279</v>
      </c>
      <c r="E1083" s="61">
        <v>2021</v>
      </c>
      <c r="F1083" s="62">
        <v>387052000</v>
      </c>
      <c r="G1083" s="62">
        <v>332000000</v>
      </c>
      <c r="H1083" s="62">
        <v>54523975</v>
      </c>
      <c r="I1083" s="62">
        <v>54628413</v>
      </c>
      <c r="J1083" s="62">
        <f t="shared" si="176"/>
        <v>7.0987487614393485</v>
      </c>
      <c r="K1083" s="62">
        <f t="shared" si="177"/>
        <v>6.0774234829043996</v>
      </c>
      <c r="L1083" s="63">
        <f t="shared" si="178"/>
        <v>-0.14223411841302977</v>
      </c>
      <c r="M1083" s="63">
        <f t="shared" si="179"/>
        <v>1.915450955290769E-3</v>
      </c>
      <c r="N1083" s="63">
        <f t="shared" si="180"/>
        <v>-0.14387398580476937</v>
      </c>
      <c r="O1083" s="62">
        <f t="shared" si="181"/>
        <v>6.0890644895204353</v>
      </c>
      <c r="P1083" s="62">
        <f t="shared" si="182"/>
        <v>-1.0096842719189132</v>
      </c>
      <c r="Q1083" s="62">
        <f t="shared" si="183"/>
        <v>-1.1641006616035732E-2</v>
      </c>
      <c r="R1083" s="63">
        <f t="shared" si="184"/>
        <v>-0.14223411841302983</v>
      </c>
      <c r="S1083" s="63">
        <f t="shared" si="185"/>
        <v>-1.6398673917395255E-3</v>
      </c>
      <c r="T1083" s="63">
        <f t="shared" si="186"/>
        <v>-0.14387398580476934</v>
      </c>
    </row>
    <row r="1084" spans="1:20" x14ac:dyDescent="0.3">
      <c r="A1084" s="18" t="s">
        <v>307</v>
      </c>
      <c r="B1084" s="18" t="s">
        <v>308</v>
      </c>
      <c r="C1084" s="18" t="s">
        <v>282</v>
      </c>
      <c r="D1084" s="18" t="s">
        <v>279</v>
      </c>
      <c r="E1084" s="61">
        <v>2022</v>
      </c>
      <c r="F1084" s="62">
        <v>332000000</v>
      </c>
      <c r="G1084" s="62">
        <v>615000000</v>
      </c>
      <c r="H1084" s="62">
        <v>54628413</v>
      </c>
      <c r="I1084" s="62">
        <v>54684851</v>
      </c>
      <c r="J1084" s="62">
        <f t="shared" si="176"/>
        <v>6.0774234829043996</v>
      </c>
      <c r="K1084" s="62">
        <f t="shared" si="177"/>
        <v>11.246259041649395</v>
      </c>
      <c r="L1084" s="63">
        <f t="shared" si="178"/>
        <v>0.85240963855421692</v>
      </c>
      <c r="M1084" s="63">
        <f t="shared" si="179"/>
        <v>1.0331253811089111E-3</v>
      </c>
      <c r="N1084" s="63">
        <f t="shared" si="180"/>
        <v>0.85049784226568492</v>
      </c>
      <c r="O1084" s="62">
        <f t="shared" si="181"/>
        <v>11.257877837307849</v>
      </c>
      <c r="P1084" s="62">
        <f t="shared" si="182"/>
        <v>5.1804543544034489</v>
      </c>
      <c r="Q1084" s="62">
        <f t="shared" si="183"/>
        <v>-1.1618795658453251E-2</v>
      </c>
      <c r="R1084" s="63">
        <f t="shared" si="184"/>
        <v>0.85240963855421681</v>
      </c>
      <c r="S1084" s="63">
        <f t="shared" si="185"/>
        <v>-1.9117962885319012E-3</v>
      </c>
      <c r="T1084" s="63">
        <f t="shared" si="186"/>
        <v>0.85049784226568492</v>
      </c>
    </row>
    <row r="1085" spans="1:20" x14ac:dyDescent="0.3">
      <c r="A1085" s="18" t="s">
        <v>307</v>
      </c>
      <c r="B1085" s="18" t="s">
        <v>308</v>
      </c>
      <c r="C1085" s="18" t="s">
        <v>282</v>
      </c>
      <c r="D1085" s="18" t="s">
        <v>279</v>
      </c>
      <c r="E1085" s="61">
        <v>2023</v>
      </c>
      <c r="F1085" s="62">
        <v>615000000</v>
      </c>
      <c r="G1085" s="62">
        <v>541000000</v>
      </c>
      <c r="H1085" s="62">
        <v>54684851</v>
      </c>
      <c r="I1085" s="62">
        <v>54723941</v>
      </c>
      <c r="J1085" s="62">
        <f t="shared" si="176"/>
        <v>11.246259041649395</v>
      </c>
      <c r="K1085" s="62">
        <f t="shared" si="177"/>
        <v>9.8859839060202184</v>
      </c>
      <c r="L1085" s="63">
        <f t="shared" si="178"/>
        <v>-0.12032520325203253</v>
      </c>
      <c r="M1085" s="63">
        <f t="shared" si="179"/>
        <v>7.1482319664727622E-4</v>
      </c>
      <c r="N1085" s="63">
        <f t="shared" si="180"/>
        <v>-0.12095356603396151</v>
      </c>
      <c r="O1085" s="62">
        <f t="shared" si="181"/>
        <v>9.8930506366379234</v>
      </c>
      <c r="P1085" s="62">
        <f t="shared" si="182"/>
        <v>-1.3532084050114719</v>
      </c>
      <c r="Q1085" s="62">
        <f t="shared" si="183"/>
        <v>-7.0667306177050193E-3</v>
      </c>
      <c r="R1085" s="63">
        <f t="shared" si="184"/>
        <v>-0.12032520325203251</v>
      </c>
      <c r="S1085" s="63">
        <f t="shared" si="185"/>
        <v>-6.2836278192900314E-4</v>
      </c>
      <c r="T1085" s="63">
        <f t="shared" si="186"/>
        <v>-0.12095356603396151</v>
      </c>
    </row>
    <row r="1086" spans="1:20" x14ac:dyDescent="0.3">
      <c r="A1086" s="18" t="s">
        <v>307</v>
      </c>
      <c r="B1086" s="18" t="s">
        <v>308</v>
      </c>
      <c r="C1086" s="18" t="s">
        <v>282</v>
      </c>
      <c r="D1086" s="18" t="s">
        <v>279</v>
      </c>
      <c r="E1086" s="61">
        <v>2024</v>
      </c>
      <c r="F1086" s="62">
        <v>541000000</v>
      </c>
      <c r="G1086" s="62">
        <v>422000000</v>
      </c>
      <c r="H1086" s="62">
        <v>54723941</v>
      </c>
      <c r="I1086" s="62">
        <v>54477000</v>
      </c>
      <c r="J1086" s="62">
        <f t="shared" si="176"/>
        <v>9.8859839060202184</v>
      </c>
      <c r="K1086" s="62">
        <f t="shared" si="177"/>
        <v>7.7463883840886982</v>
      </c>
      <c r="L1086" s="63">
        <f t="shared" si="178"/>
        <v>-0.21996303142329021</v>
      </c>
      <c r="M1086" s="63">
        <f t="shared" si="179"/>
        <v>-4.5124856778863938E-3</v>
      </c>
      <c r="N1086" s="63">
        <f t="shared" si="180"/>
        <v>-0.21642717025146899</v>
      </c>
      <c r="O1086" s="62">
        <f t="shared" si="181"/>
        <v>7.7114329174501526</v>
      </c>
      <c r="P1086" s="62">
        <f t="shared" si="182"/>
        <v>-2.1745509885700658</v>
      </c>
      <c r="Q1086" s="62">
        <f t="shared" si="183"/>
        <v>3.4955466638545651E-2</v>
      </c>
      <c r="R1086" s="63">
        <f t="shared" si="184"/>
        <v>-0.21996303142329013</v>
      </c>
      <c r="S1086" s="63">
        <f t="shared" si="185"/>
        <v>3.5358611718211471E-3</v>
      </c>
      <c r="T1086" s="63">
        <f t="shared" si="186"/>
        <v>-0.21642717025146899</v>
      </c>
    </row>
    <row r="1087" spans="1:20" x14ac:dyDescent="0.3">
      <c r="A1087" s="18" t="s">
        <v>309</v>
      </c>
      <c r="B1087" s="18" t="s">
        <v>310</v>
      </c>
      <c r="C1087" s="18" t="s">
        <v>282</v>
      </c>
      <c r="D1087" s="18" t="s">
        <v>279</v>
      </c>
      <c r="E1087" s="61">
        <v>2016</v>
      </c>
      <c r="F1087" s="62">
        <v>725322000</v>
      </c>
      <c r="G1087" s="62">
        <v>751016000</v>
      </c>
      <c r="H1087" s="62">
        <v>310863500</v>
      </c>
      <c r="I1087" s="62">
        <v>468300000</v>
      </c>
      <c r="J1087" s="62">
        <f t="shared" si="176"/>
        <v>2.3332491591968822</v>
      </c>
      <c r="K1087" s="62">
        <f t="shared" si="177"/>
        <v>1.6037070254110612</v>
      </c>
      <c r="L1087" s="63">
        <f t="shared" si="178"/>
        <v>3.5424266739461925E-2</v>
      </c>
      <c r="M1087" s="63">
        <f t="shared" si="179"/>
        <v>0.50644897197644623</v>
      </c>
      <c r="N1087" s="63">
        <f t="shared" si="180"/>
        <v>-0.31267219401331903</v>
      </c>
      <c r="O1087" s="62">
        <f t="shared" si="181"/>
        <v>2.415902799781898</v>
      </c>
      <c r="P1087" s="62">
        <f t="shared" si="182"/>
        <v>8.2653640585015786E-2</v>
      </c>
      <c r="Q1087" s="62">
        <f t="shared" si="183"/>
        <v>-0.81219577437083679</v>
      </c>
      <c r="R1087" s="63">
        <f t="shared" si="184"/>
        <v>3.5424266739461995E-2</v>
      </c>
      <c r="S1087" s="63">
        <f t="shared" si="185"/>
        <v>-0.348096460752781</v>
      </c>
      <c r="T1087" s="63">
        <f t="shared" si="186"/>
        <v>-0.31267219401331903</v>
      </c>
    </row>
    <row r="1088" spans="1:20" x14ac:dyDescent="0.3">
      <c r="A1088" s="18" t="s">
        <v>309</v>
      </c>
      <c r="B1088" s="18" t="s">
        <v>310</v>
      </c>
      <c r="C1088" s="18" t="s">
        <v>282</v>
      </c>
      <c r="D1088" s="18" t="s">
        <v>279</v>
      </c>
      <c r="E1088" s="61">
        <v>2017</v>
      </c>
      <c r="F1088" s="62">
        <v>751016000</v>
      </c>
      <c r="G1088" s="62">
        <v>802010000</v>
      </c>
      <c r="H1088" s="62">
        <v>468300000</v>
      </c>
      <c r="I1088" s="62">
        <v>486415000</v>
      </c>
      <c r="J1088" s="62">
        <f t="shared" si="176"/>
        <v>1.6037070254110612</v>
      </c>
      <c r="K1088" s="62">
        <f t="shared" si="177"/>
        <v>1.6488183958142739</v>
      </c>
      <c r="L1088" s="63">
        <f t="shared" si="178"/>
        <v>6.7900018108801946E-2</v>
      </c>
      <c r="M1088" s="63">
        <f t="shared" si="179"/>
        <v>3.8682468503096305E-2</v>
      </c>
      <c r="N1088" s="63">
        <f t="shared" si="180"/>
        <v>2.8129433673616134E-2</v>
      </c>
      <c r="O1088" s="62">
        <f t="shared" si="181"/>
        <v>1.7125987614776852</v>
      </c>
      <c r="P1088" s="62">
        <f t="shared" si="182"/>
        <v>0.10889173606662395</v>
      </c>
      <c r="Q1088" s="62">
        <f t="shared" si="183"/>
        <v>-6.3780365663411276E-2</v>
      </c>
      <c r="R1088" s="63">
        <f t="shared" si="184"/>
        <v>6.7900018108801932E-2</v>
      </c>
      <c r="S1088" s="63">
        <f t="shared" si="185"/>
        <v>-3.9770584435185802E-2</v>
      </c>
      <c r="T1088" s="63">
        <f t="shared" si="186"/>
        <v>2.812943367361613E-2</v>
      </c>
    </row>
    <row r="1089" spans="1:20" x14ac:dyDescent="0.3">
      <c r="A1089" s="18" t="s">
        <v>309</v>
      </c>
      <c r="B1089" s="18" t="s">
        <v>310</v>
      </c>
      <c r="C1089" s="18" t="s">
        <v>282</v>
      </c>
      <c r="D1089" s="18" t="s">
        <v>279</v>
      </c>
      <c r="E1089" s="61">
        <v>2018</v>
      </c>
      <c r="F1089" s="62">
        <v>802010000</v>
      </c>
      <c r="G1089" s="62">
        <v>915578000</v>
      </c>
      <c r="H1089" s="62">
        <v>486415000</v>
      </c>
      <c r="I1089" s="62">
        <v>466659000</v>
      </c>
      <c r="J1089" s="62">
        <f t="shared" si="176"/>
        <v>1.6488183958142739</v>
      </c>
      <c r="K1089" s="62">
        <f t="shared" si="177"/>
        <v>1.9619850897550459</v>
      </c>
      <c r="L1089" s="63">
        <f t="shared" si="178"/>
        <v>0.14160421939876061</v>
      </c>
      <c r="M1089" s="63">
        <f t="shared" si="179"/>
        <v>-4.0615523781133395E-2</v>
      </c>
      <c r="N1089" s="63">
        <f t="shared" si="180"/>
        <v>0.18993401258488124</v>
      </c>
      <c r="O1089" s="62">
        <f t="shared" si="181"/>
        <v>1.8822980376838707</v>
      </c>
      <c r="P1089" s="62">
        <f t="shared" si="182"/>
        <v>0.2334796418695968</v>
      </c>
      <c r="Q1089" s="62">
        <f t="shared" si="183"/>
        <v>7.9687052071175213E-2</v>
      </c>
      <c r="R1089" s="63">
        <f t="shared" si="184"/>
        <v>0.14160421939876053</v>
      </c>
      <c r="S1089" s="63">
        <f t="shared" si="185"/>
        <v>4.8329793186120733E-2</v>
      </c>
      <c r="T1089" s="63">
        <f t="shared" si="186"/>
        <v>0.18993401258488127</v>
      </c>
    </row>
    <row r="1090" spans="1:20" x14ac:dyDescent="0.3">
      <c r="A1090" s="18" t="s">
        <v>309</v>
      </c>
      <c r="B1090" s="18" t="s">
        <v>310</v>
      </c>
      <c r="C1090" s="18" t="s">
        <v>282</v>
      </c>
      <c r="D1090" s="18" t="s">
        <v>279</v>
      </c>
      <c r="E1090" s="61">
        <v>2019</v>
      </c>
      <c r="F1090" s="62">
        <v>915578000</v>
      </c>
      <c r="G1090" s="62">
        <v>715668000</v>
      </c>
      <c r="H1090" s="62">
        <v>466659000</v>
      </c>
      <c r="I1090" s="62">
        <v>437718000</v>
      </c>
      <c r="J1090" s="62">
        <f t="shared" si="176"/>
        <v>1.9619850897550459</v>
      </c>
      <c r="K1090" s="62">
        <f t="shared" si="177"/>
        <v>1.6349978753443999</v>
      </c>
      <c r="L1090" s="63">
        <f t="shared" si="178"/>
        <v>-0.21834294838888657</v>
      </c>
      <c r="M1090" s="63">
        <f t="shared" si="179"/>
        <v>-6.2017447429493486E-2</v>
      </c>
      <c r="N1090" s="63">
        <f t="shared" si="180"/>
        <v>-0.16666141660203465</v>
      </c>
      <c r="O1090" s="62">
        <f t="shared" si="181"/>
        <v>1.533599480562895</v>
      </c>
      <c r="P1090" s="62">
        <f t="shared" si="182"/>
        <v>-0.42838560919215096</v>
      </c>
      <c r="Q1090" s="62">
        <f t="shared" si="183"/>
        <v>0.10139839478150492</v>
      </c>
      <c r="R1090" s="63">
        <f t="shared" si="184"/>
        <v>-0.21834294838888657</v>
      </c>
      <c r="S1090" s="63">
        <f t="shared" si="185"/>
        <v>5.168153178685192E-2</v>
      </c>
      <c r="T1090" s="63">
        <f t="shared" si="186"/>
        <v>-0.16666141660203465</v>
      </c>
    </row>
    <row r="1091" spans="1:20" x14ac:dyDescent="0.3">
      <c r="A1091" s="18" t="s">
        <v>309</v>
      </c>
      <c r="B1091" s="18" t="s">
        <v>310</v>
      </c>
      <c r="C1091" s="18" t="s">
        <v>282</v>
      </c>
      <c r="D1091" s="18" t="s">
        <v>279</v>
      </c>
      <c r="E1091" s="61">
        <v>2020</v>
      </c>
      <c r="F1091" s="62">
        <v>715668000</v>
      </c>
      <c r="G1091" s="62">
        <v>574005000</v>
      </c>
      <c r="H1091" s="62">
        <v>437718000</v>
      </c>
      <c r="I1091" s="62">
        <v>293848000</v>
      </c>
      <c r="J1091" s="62">
        <f t="shared" si="176"/>
        <v>1.6349978753443999</v>
      </c>
      <c r="K1091" s="62">
        <f t="shared" si="177"/>
        <v>1.9534078843483706</v>
      </c>
      <c r="L1091" s="63">
        <f t="shared" si="178"/>
        <v>-0.19794513657170643</v>
      </c>
      <c r="M1091" s="63">
        <f t="shared" si="179"/>
        <v>-0.32868193677207702</v>
      </c>
      <c r="N1091" s="63">
        <f t="shared" si="180"/>
        <v>0.19474643594683577</v>
      </c>
      <c r="O1091" s="62">
        <f t="shared" si="181"/>
        <v>1.3113579976149028</v>
      </c>
      <c r="P1091" s="62">
        <f t="shared" si="182"/>
        <v>-0.32363987772949709</v>
      </c>
      <c r="Q1091" s="62">
        <f t="shared" si="183"/>
        <v>0.64204988673346786</v>
      </c>
      <c r="R1091" s="63">
        <f t="shared" si="184"/>
        <v>-0.19794513657170643</v>
      </c>
      <c r="S1091" s="63">
        <f t="shared" si="185"/>
        <v>0.3926915725185422</v>
      </c>
      <c r="T1091" s="63">
        <f t="shared" si="186"/>
        <v>0.19474643594683577</v>
      </c>
    </row>
    <row r="1092" spans="1:20" x14ac:dyDescent="0.3">
      <c r="A1092" s="18" t="s">
        <v>309</v>
      </c>
      <c r="B1092" s="18" t="s">
        <v>310</v>
      </c>
      <c r="C1092" s="18" t="s">
        <v>282</v>
      </c>
      <c r="D1092" s="18" t="s">
        <v>279</v>
      </c>
      <c r="E1092" s="61">
        <v>2021</v>
      </c>
      <c r="F1092" s="62">
        <v>574005000</v>
      </c>
      <c r="G1092" s="62">
        <v>3045413000</v>
      </c>
      <c r="H1092" s="62">
        <v>293848000</v>
      </c>
      <c r="I1092" s="62">
        <v>321850000</v>
      </c>
      <c r="J1092" s="62">
        <f t="shared" si="176"/>
        <v>1.9534078843483706</v>
      </c>
      <c r="K1092" s="62">
        <f t="shared" si="177"/>
        <v>9.4622122106571389</v>
      </c>
      <c r="L1092" s="63">
        <f t="shared" si="178"/>
        <v>4.3055513453715557</v>
      </c>
      <c r="M1092" s="63">
        <f t="shared" si="179"/>
        <v>9.5294165691105603E-2</v>
      </c>
      <c r="N1092" s="63">
        <f t="shared" si="180"/>
        <v>3.8439510695502284</v>
      </c>
      <c r="O1092" s="62">
        <f t="shared" si="181"/>
        <v>10.363905828863903</v>
      </c>
      <c r="P1092" s="62">
        <f t="shared" si="182"/>
        <v>8.4104979445155319</v>
      </c>
      <c r="Q1092" s="62">
        <f t="shared" si="183"/>
        <v>-0.90169361820676386</v>
      </c>
      <c r="R1092" s="63">
        <f t="shared" si="184"/>
        <v>4.3055513453715557</v>
      </c>
      <c r="S1092" s="63">
        <f t="shared" si="185"/>
        <v>-0.46160027582132757</v>
      </c>
      <c r="T1092" s="63">
        <f t="shared" si="186"/>
        <v>3.8439510695502284</v>
      </c>
    </row>
    <row r="1093" spans="1:20" x14ac:dyDescent="0.3">
      <c r="A1093" s="18" t="s">
        <v>309</v>
      </c>
      <c r="B1093" s="18" t="s">
        <v>310</v>
      </c>
      <c r="C1093" s="18" t="s">
        <v>282</v>
      </c>
      <c r="D1093" s="18" t="s">
        <v>279</v>
      </c>
      <c r="E1093" s="61">
        <v>2022</v>
      </c>
      <c r="F1093" s="62">
        <v>3045413000</v>
      </c>
      <c r="G1093" s="62">
        <v>668227000</v>
      </c>
      <c r="H1093" s="62">
        <v>321850000</v>
      </c>
      <c r="I1093" s="62">
        <v>283588000</v>
      </c>
      <c r="J1093" s="62">
        <f t="shared" ref="J1093:J1156" si="187">F1093/H1093</f>
        <v>9.4622122106571389</v>
      </c>
      <c r="K1093" s="62">
        <f t="shared" ref="K1093:K1156" si="188">G1093/I1093</f>
        <v>2.3563303101682722</v>
      </c>
      <c r="L1093" s="63">
        <f t="shared" ref="L1093:L1156" si="189">IF(F1093=0,"",((G1093-F1093)/ABS(F1093)))</f>
        <v>-0.78057918581157959</v>
      </c>
      <c r="M1093" s="63">
        <f t="shared" ref="M1093:M1156" si="190">(I1093-H1093)/H1093</f>
        <v>-0.11888146652167159</v>
      </c>
      <c r="N1093" s="63">
        <f t="shared" ref="N1093:N1156" si="191">IF(J1093=0,"",((K1093-J1093)/ABS(J1093)))</f>
        <v>-0.75097469199492539</v>
      </c>
      <c r="O1093" s="62">
        <f t="shared" ref="O1093:O1156" si="192">G1093/H1093</f>
        <v>2.0762063072860029</v>
      </c>
      <c r="P1093" s="62">
        <f t="shared" ref="P1093:P1156" si="193">O1093-J1093</f>
        <v>-7.386005903371136</v>
      </c>
      <c r="Q1093" s="62">
        <f t="shared" ref="Q1093:Q1156" si="194">K1093-O1093</f>
        <v>0.28012400288226935</v>
      </c>
      <c r="R1093" s="63">
        <f t="shared" ref="R1093:R1156" si="195">IF(J1093=0,"",P1093/ABS(J1093))</f>
        <v>-0.78057918581157959</v>
      </c>
      <c r="S1093" s="63">
        <f t="shared" ref="S1093:S1156" si="196">IF(J1093=0,"",Q1093/ABS(J1093))</f>
        <v>2.9604493816654222E-2</v>
      </c>
      <c r="T1093" s="63">
        <f t="shared" ref="T1093:T1156" si="197">R1093+S1093</f>
        <v>-0.75097469199492539</v>
      </c>
    </row>
    <row r="1094" spans="1:20" x14ac:dyDescent="0.3">
      <c r="A1094" s="18" t="s">
        <v>309</v>
      </c>
      <c r="B1094" s="18" t="s">
        <v>310</v>
      </c>
      <c r="C1094" s="18" t="s">
        <v>282</v>
      </c>
      <c r="D1094" s="18" t="s">
        <v>279</v>
      </c>
      <c r="E1094" s="61">
        <v>2023</v>
      </c>
      <c r="F1094" s="62">
        <v>668227000</v>
      </c>
      <c r="G1094" s="62">
        <v>780123000</v>
      </c>
      <c r="H1094" s="62">
        <v>283588000</v>
      </c>
      <c r="I1094" s="62">
        <v>260320000</v>
      </c>
      <c r="J1094" s="62">
        <f t="shared" si="187"/>
        <v>2.3563303101682722</v>
      </c>
      <c r="K1094" s="62">
        <f t="shared" si="188"/>
        <v>2.9967847264904734</v>
      </c>
      <c r="L1094" s="63">
        <f t="shared" si="189"/>
        <v>0.16745207841048027</v>
      </c>
      <c r="M1094" s="63">
        <f t="shared" si="190"/>
        <v>-8.2048605723796492E-2</v>
      </c>
      <c r="N1094" s="63">
        <f t="shared" si="191"/>
        <v>0.27180162881173675</v>
      </c>
      <c r="O1094" s="62">
        <f t="shared" si="192"/>
        <v>2.7509027180275609</v>
      </c>
      <c r="P1094" s="62">
        <f t="shared" si="193"/>
        <v>0.39457240785928871</v>
      </c>
      <c r="Q1094" s="62">
        <f t="shared" si="194"/>
        <v>0.24588200846291253</v>
      </c>
      <c r="R1094" s="63">
        <f t="shared" si="195"/>
        <v>0.16745207841048024</v>
      </c>
      <c r="S1094" s="63">
        <f t="shared" si="196"/>
        <v>0.10434955040125651</v>
      </c>
      <c r="T1094" s="63">
        <f t="shared" si="197"/>
        <v>0.27180162881173675</v>
      </c>
    </row>
    <row r="1095" spans="1:20" x14ac:dyDescent="0.3">
      <c r="A1095" s="18" t="s">
        <v>309</v>
      </c>
      <c r="B1095" s="18" t="s">
        <v>310</v>
      </c>
      <c r="C1095" s="18" t="s">
        <v>282</v>
      </c>
      <c r="D1095" s="18" t="s">
        <v>279</v>
      </c>
      <c r="E1095" s="61">
        <v>2024</v>
      </c>
      <c r="F1095" s="62">
        <v>780123000</v>
      </c>
      <c r="G1095" s="62">
        <v>827580000</v>
      </c>
      <c r="H1095" s="62">
        <v>260320000</v>
      </c>
      <c r="I1095" s="62">
        <v>258680000</v>
      </c>
      <c r="J1095" s="62">
        <f t="shared" si="187"/>
        <v>2.9967847264904734</v>
      </c>
      <c r="K1095" s="62">
        <f t="shared" si="188"/>
        <v>3.1992423070975722</v>
      </c>
      <c r="L1095" s="63">
        <f t="shared" si="189"/>
        <v>6.083271484112121E-2</v>
      </c>
      <c r="M1095" s="63">
        <f t="shared" si="190"/>
        <v>-6.2999385371850028E-3</v>
      </c>
      <c r="N1095" s="63">
        <f t="shared" si="191"/>
        <v>6.7558266303698183E-2</v>
      </c>
      <c r="O1095" s="62">
        <f t="shared" si="192"/>
        <v>3.1790872771972958</v>
      </c>
      <c r="P1095" s="62">
        <f t="shared" si="193"/>
        <v>0.18230255070682233</v>
      </c>
      <c r="Q1095" s="62">
        <f t="shared" si="194"/>
        <v>2.01550299002764E-2</v>
      </c>
      <c r="R1095" s="63">
        <f t="shared" si="195"/>
        <v>6.083271484112119E-2</v>
      </c>
      <c r="S1095" s="63">
        <f t="shared" si="196"/>
        <v>6.7255514625769938E-3</v>
      </c>
      <c r="T1095" s="63">
        <f t="shared" si="197"/>
        <v>6.7558266303698183E-2</v>
      </c>
    </row>
    <row r="1096" spans="1:20" x14ac:dyDescent="0.3">
      <c r="A1096" s="18" t="s">
        <v>311</v>
      </c>
      <c r="B1096" s="18" t="s">
        <v>312</v>
      </c>
      <c r="C1096" s="18" t="s">
        <v>282</v>
      </c>
      <c r="D1096" s="18" t="s">
        <v>279</v>
      </c>
      <c r="E1096" s="61">
        <v>2016</v>
      </c>
      <c r="F1096" s="62">
        <v>532145000</v>
      </c>
      <c r="G1096" s="62">
        <v>545456000</v>
      </c>
      <c r="H1096" s="62">
        <v>685283873</v>
      </c>
      <c r="I1096" s="62">
        <v>683225815</v>
      </c>
      <c r="J1096" s="62">
        <f t="shared" si="187"/>
        <v>0.77653220944833179</v>
      </c>
      <c r="K1096" s="62">
        <f t="shared" si="188"/>
        <v>0.79835390880246526</v>
      </c>
      <c r="L1096" s="63">
        <f t="shared" si="189"/>
        <v>2.5013859004594612E-2</v>
      </c>
      <c r="M1096" s="63">
        <f t="shared" si="190"/>
        <v>-3.0032196598912229E-3</v>
      </c>
      <c r="N1096" s="63">
        <f t="shared" si="191"/>
        <v>2.810147356236023E-2</v>
      </c>
      <c r="O1096" s="62">
        <f t="shared" si="192"/>
        <v>0.79595627664799873</v>
      </c>
      <c r="P1096" s="62">
        <f t="shared" si="193"/>
        <v>1.9424067199666939E-2</v>
      </c>
      <c r="Q1096" s="62">
        <f t="shared" si="194"/>
        <v>2.3976321544665335E-3</v>
      </c>
      <c r="R1096" s="63">
        <f t="shared" si="195"/>
        <v>2.5013859004594657E-2</v>
      </c>
      <c r="S1096" s="63">
        <f t="shared" si="196"/>
        <v>3.0876145577655723E-3</v>
      </c>
      <c r="T1096" s="63">
        <f t="shared" si="197"/>
        <v>2.810147356236023E-2</v>
      </c>
    </row>
    <row r="1097" spans="1:20" x14ac:dyDescent="0.3">
      <c r="A1097" s="18" t="s">
        <v>311</v>
      </c>
      <c r="B1097" s="18" t="s">
        <v>312</v>
      </c>
      <c r="C1097" s="18" t="s">
        <v>282</v>
      </c>
      <c r="D1097" s="18" t="s">
        <v>279</v>
      </c>
      <c r="E1097" s="61">
        <v>2017</v>
      </c>
      <c r="F1097" s="62">
        <v>545456000</v>
      </c>
      <c r="G1097" s="62">
        <v>662700000</v>
      </c>
      <c r="H1097" s="62">
        <v>683225815</v>
      </c>
      <c r="I1097" s="62">
        <v>684197276</v>
      </c>
      <c r="J1097" s="62">
        <f t="shared" si="187"/>
        <v>0.79835390880246526</v>
      </c>
      <c r="K1097" s="62">
        <f t="shared" si="188"/>
        <v>0.96858029583853533</v>
      </c>
      <c r="L1097" s="63">
        <f t="shared" si="189"/>
        <v>0.21494676014197295</v>
      </c>
      <c r="M1097" s="63">
        <f t="shared" si="190"/>
        <v>1.4218739671011992E-3</v>
      </c>
      <c r="N1097" s="63">
        <f t="shared" si="191"/>
        <v>0.21322171177368002</v>
      </c>
      <c r="O1097" s="62">
        <f t="shared" si="192"/>
        <v>0.96995749494623529</v>
      </c>
      <c r="P1097" s="62">
        <f t="shared" si="193"/>
        <v>0.17160358614377003</v>
      </c>
      <c r="Q1097" s="62">
        <f t="shared" si="194"/>
        <v>-1.3771991076999557E-3</v>
      </c>
      <c r="R1097" s="63">
        <f t="shared" si="195"/>
        <v>0.21494676014197292</v>
      </c>
      <c r="S1097" s="63">
        <f t="shared" si="196"/>
        <v>-1.7250483682929054E-3</v>
      </c>
      <c r="T1097" s="63">
        <f t="shared" si="197"/>
        <v>0.21322171177368002</v>
      </c>
    </row>
    <row r="1098" spans="1:20" x14ac:dyDescent="0.3">
      <c r="A1098" s="18" t="s">
        <v>311</v>
      </c>
      <c r="B1098" s="18" t="s">
        <v>312</v>
      </c>
      <c r="C1098" s="18" t="s">
        <v>282</v>
      </c>
      <c r="D1098" s="18" t="s">
        <v>279</v>
      </c>
      <c r="E1098" s="61">
        <v>2018</v>
      </c>
      <c r="F1098" s="62">
        <v>662700000</v>
      </c>
      <c r="G1098" s="62">
        <v>596642000</v>
      </c>
      <c r="H1098" s="62">
        <v>684197276</v>
      </c>
      <c r="I1098" s="62">
        <v>684709377</v>
      </c>
      <c r="J1098" s="62">
        <f t="shared" si="187"/>
        <v>0.96858029583853533</v>
      </c>
      <c r="K1098" s="62">
        <f t="shared" si="188"/>
        <v>0.87137991685485561</v>
      </c>
      <c r="L1098" s="63">
        <f t="shared" si="189"/>
        <v>-9.9680096574618987E-2</v>
      </c>
      <c r="M1098" s="63">
        <f t="shared" si="190"/>
        <v>7.4846980244335263E-4</v>
      </c>
      <c r="N1098" s="63">
        <f t="shared" si="191"/>
        <v>-0.10035345484653888</v>
      </c>
      <c r="O1098" s="62">
        <f t="shared" si="192"/>
        <v>0.87203211840907713</v>
      </c>
      <c r="P1098" s="62">
        <f t="shared" si="193"/>
        <v>-9.6548177429458204E-2</v>
      </c>
      <c r="Q1098" s="62">
        <f t="shared" si="194"/>
        <v>-6.5220155422152093E-4</v>
      </c>
      <c r="R1098" s="63">
        <f t="shared" si="195"/>
        <v>-9.9680096574618959E-2</v>
      </c>
      <c r="S1098" s="63">
        <f t="shared" si="196"/>
        <v>-6.7335827191991994E-4</v>
      </c>
      <c r="T1098" s="63">
        <f t="shared" si="197"/>
        <v>-0.10035345484653888</v>
      </c>
    </row>
    <row r="1099" spans="1:20" x14ac:dyDescent="0.3">
      <c r="A1099" s="18" t="s">
        <v>311</v>
      </c>
      <c r="B1099" s="18" t="s">
        <v>312</v>
      </c>
      <c r="C1099" s="18" t="s">
        <v>282</v>
      </c>
      <c r="D1099" s="18" t="s">
        <v>279</v>
      </c>
      <c r="E1099" s="61">
        <v>2019</v>
      </c>
      <c r="F1099" s="62">
        <v>596642000</v>
      </c>
      <c r="G1099" s="62">
        <v>625146000</v>
      </c>
      <c r="H1099" s="62">
        <v>684709377</v>
      </c>
      <c r="I1099" s="62">
        <v>685115836</v>
      </c>
      <c r="J1099" s="62">
        <f t="shared" si="187"/>
        <v>0.87137991685485561</v>
      </c>
      <c r="K1099" s="62">
        <f t="shared" si="188"/>
        <v>0.91246759620952622</v>
      </c>
      <c r="L1099" s="63">
        <f t="shared" si="189"/>
        <v>4.7774042055369885E-2</v>
      </c>
      <c r="M1099" s="63">
        <f t="shared" si="190"/>
        <v>5.9362265751473713E-4</v>
      </c>
      <c r="N1099" s="63">
        <f t="shared" si="191"/>
        <v>4.7152428647852948E-2</v>
      </c>
      <c r="O1099" s="62">
        <f t="shared" si="192"/>
        <v>0.91300925764888419</v>
      </c>
      <c r="P1099" s="62">
        <f t="shared" si="193"/>
        <v>4.162934079402858E-2</v>
      </c>
      <c r="Q1099" s="62">
        <f t="shared" si="194"/>
        <v>-5.4166143935796551E-4</v>
      </c>
      <c r="R1099" s="63">
        <f t="shared" si="195"/>
        <v>4.7774042055369878E-2</v>
      </c>
      <c r="S1099" s="63">
        <f t="shared" si="196"/>
        <v>-6.2161340751692952E-4</v>
      </c>
      <c r="T1099" s="63">
        <f t="shared" si="197"/>
        <v>4.7152428647852948E-2</v>
      </c>
    </row>
    <row r="1100" spans="1:20" x14ac:dyDescent="0.3">
      <c r="A1100" s="18" t="s">
        <v>311</v>
      </c>
      <c r="B1100" s="18" t="s">
        <v>312</v>
      </c>
      <c r="C1100" s="18" t="s">
        <v>282</v>
      </c>
      <c r="D1100" s="18" t="s">
        <v>279</v>
      </c>
      <c r="E1100" s="61">
        <v>2020</v>
      </c>
      <c r="F1100" s="62">
        <v>625146000</v>
      </c>
      <c r="G1100" s="62">
        <v>618546000</v>
      </c>
      <c r="H1100" s="62">
        <v>685115836</v>
      </c>
      <c r="I1100" s="62">
        <v>684542744</v>
      </c>
      <c r="J1100" s="62">
        <f t="shared" si="187"/>
        <v>0.91246759620952622</v>
      </c>
      <c r="K1100" s="62">
        <f t="shared" si="188"/>
        <v>0.90359003206379762</v>
      </c>
      <c r="L1100" s="63">
        <f t="shared" si="189"/>
        <v>-1.0557533760113638E-2</v>
      </c>
      <c r="M1100" s="63">
        <f t="shared" si="190"/>
        <v>-8.364892035571047E-4</v>
      </c>
      <c r="N1100" s="63">
        <f t="shared" si="191"/>
        <v>-9.7291829130226794E-3</v>
      </c>
      <c r="O1100" s="62">
        <f t="shared" si="192"/>
        <v>0.90283418875753441</v>
      </c>
      <c r="P1100" s="62">
        <f t="shared" si="193"/>
        <v>-9.6334074519918156E-3</v>
      </c>
      <c r="Q1100" s="62">
        <f t="shared" si="194"/>
        <v>7.5584330626321528E-4</v>
      </c>
      <c r="R1100" s="63">
        <f t="shared" si="195"/>
        <v>-1.0557533760113641E-2</v>
      </c>
      <c r="S1100" s="63">
        <f t="shared" si="196"/>
        <v>8.2835084709096242E-4</v>
      </c>
      <c r="T1100" s="63">
        <f t="shared" si="197"/>
        <v>-9.7291829130226794E-3</v>
      </c>
    </row>
    <row r="1101" spans="1:20" x14ac:dyDescent="0.3">
      <c r="A1101" s="18" t="s">
        <v>311</v>
      </c>
      <c r="B1101" s="18" t="s">
        <v>312</v>
      </c>
      <c r="C1101" s="18" t="s">
        <v>282</v>
      </c>
      <c r="D1101" s="18" t="s">
        <v>279</v>
      </c>
      <c r="E1101" s="61">
        <v>2021</v>
      </c>
      <c r="F1101" s="62">
        <v>618546000</v>
      </c>
      <c r="G1101" s="62">
        <v>265327000</v>
      </c>
      <c r="H1101" s="62">
        <v>684542744</v>
      </c>
      <c r="I1101" s="62">
        <v>678539948</v>
      </c>
      <c r="J1101" s="62">
        <f t="shared" si="187"/>
        <v>0.90359003206379762</v>
      </c>
      <c r="K1101" s="62">
        <f t="shared" si="188"/>
        <v>0.39102635118544266</v>
      </c>
      <c r="L1101" s="63">
        <f t="shared" si="189"/>
        <v>-0.5710472624509737</v>
      </c>
      <c r="M1101" s="63">
        <f t="shared" si="190"/>
        <v>-8.769059423409796E-3</v>
      </c>
      <c r="N1101" s="63">
        <f t="shared" si="191"/>
        <v>-0.56725247367731646</v>
      </c>
      <c r="O1101" s="62">
        <f t="shared" si="192"/>
        <v>0.38759741787577839</v>
      </c>
      <c r="P1101" s="62">
        <f t="shared" si="193"/>
        <v>-0.51599261418801923</v>
      </c>
      <c r="Q1101" s="62">
        <f t="shared" si="194"/>
        <v>3.4289333096642616E-3</v>
      </c>
      <c r="R1101" s="63">
        <f t="shared" si="195"/>
        <v>-0.5710472624509737</v>
      </c>
      <c r="S1101" s="63">
        <f t="shared" si="196"/>
        <v>3.7947887736572141E-3</v>
      </c>
      <c r="T1101" s="63">
        <f t="shared" si="197"/>
        <v>-0.56725247367731646</v>
      </c>
    </row>
    <row r="1102" spans="1:20" x14ac:dyDescent="0.3">
      <c r="A1102" s="18" t="s">
        <v>311</v>
      </c>
      <c r="B1102" s="18" t="s">
        <v>312</v>
      </c>
      <c r="C1102" s="18" t="s">
        <v>282</v>
      </c>
      <c r="D1102" s="18" t="s">
        <v>279</v>
      </c>
      <c r="E1102" s="61">
        <v>2022</v>
      </c>
      <c r="F1102" s="62">
        <v>265327000</v>
      </c>
      <c r="G1102" s="62">
        <v>208279000</v>
      </c>
      <c r="H1102" s="62">
        <v>678539948</v>
      </c>
      <c r="I1102" s="62">
        <v>678410694</v>
      </c>
      <c r="J1102" s="62">
        <f t="shared" si="187"/>
        <v>0.39102635118544266</v>
      </c>
      <c r="K1102" s="62">
        <f t="shared" si="188"/>
        <v>0.30701019580331085</v>
      </c>
      <c r="L1102" s="63">
        <f t="shared" si="189"/>
        <v>-0.21501015727762346</v>
      </c>
      <c r="M1102" s="63">
        <f t="shared" si="190"/>
        <v>-1.9048841616617685E-4</v>
      </c>
      <c r="N1102" s="63">
        <f t="shared" si="191"/>
        <v>-0.21486059731633658</v>
      </c>
      <c r="O1102" s="62">
        <f t="shared" si="192"/>
        <v>0.30695171391736542</v>
      </c>
      <c r="P1102" s="62">
        <f t="shared" si="193"/>
        <v>-8.4074637268077235E-2</v>
      </c>
      <c r="Q1102" s="62">
        <f t="shared" si="194"/>
        <v>5.8481885945427248E-5</v>
      </c>
      <c r="R1102" s="63">
        <f t="shared" si="195"/>
        <v>-0.21501015727762343</v>
      </c>
      <c r="S1102" s="63">
        <f t="shared" si="196"/>
        <v>1.4955996128683524E-4</v>
      </c>
      <c r="T1102" s="63">
        <f t="shared" si="197"/>
        <v>-0.21486059731633661</v>
      </c>
    </row>
    <row r="1103" spans="1:20" x14ac:dyDescent="0.3">
      <c r="A1103" s="18" t="s">
        <v>311</v>
      </c>
      <c r="B1103" s="18" t="s">
        <v>312</v>
      </c>
      <c r="C1103" s="18" t="s">
        <v>282</v>
      </c>
      <c r="D1103" s="18" t="s">
        <v>279</v>
      </c>
      <c r="E1103" s="61">
        <v>2023</v>
      </c>
      <c r="F1103" s="62">
        <v>208279000</v>
      </c>
      <c r="G1103" s="62">
        <v>59315000</v>
      </c>
      <c r="H1103" s="62">
        <v>678410694</v>
      </c>
      <c r="I1103" s="62">
        <v>679092279</v>
      </c>
      <c r="J1103" s="62">
        <f t="shared" si="187"/>
        <v>0.30701019580331085</v>
      </c>
      <c r="K1103" s="62">
        <f t="shared" si="188"/>
        <v>8.7344535984630156E-2</v>
      </c>
      <c r="L1103" s="63">
        <f t="shared" si="189"/>
        <v>-0.71521372774019465</v>
      </c>
      <c r="M1103" s="63">
        <f t="shared" si="190"/>
        <v>1.0046790329634751E-3</v>
      </c>
      <c r="N1103" s="63">
        <f t="shared" si="191"/>
        <v>-0.71549955936776666</v>
      </c>
      <c r="O1103" s="62">
        <f t="shared" si="192"/>
        <v>8.7432289208577832E-2</v>
      </c>
      <c r="P1103" s="62">
        <f t="shared" si="193"/>
        <v>-0.21957790659473303</v>
      </c>
      <c r="Q1103" s="62">
        <f t="shared" si="194"/>
        <v>-8.7753223947675818E-5</v>
      </c>
      <c r="R1103" s="63">
        <f t="shared" si="195"/>
        <v>-0.71521372774019465</v>
      </c>
      <c r="S1103" s="63">
        <f t="shared" si="196"/>
        <v>-2.8583162757205564E-4</v>
      </c>
      <c r="T1103" s="63">
        <f t="shared" si="197"/>
        <v>-0.71549955936776666</v>
      </c>
    </row>
    <row r="1104" spans="1:20" x14ac:dyDescent="0.3">
      <c r="A1104" s="18" t="s">
        <v>311</v>
      </c>
      <c r="B1104" s="18" t="s">
        <v>312</v>
      </c>
      <c r="C1104" s="18" t="s">
        <v>282</v>
      </c>
      <c r="D1104" s="18" t="s">
        <v>279</v>
      </c>
      <c r="E1104" s="61">
        <v>2024</v>
      </c>
      <c r="F1104" s="62">
        <v>59315000</v>
      </c>
      <c r="G1104" s="62">
        <v>156920000</v>
      </c>
      <c r="H1104" s="62">
        <v>679092279</v>
      </c>
      <c r="I1104" s="62">
        <v>679916715</v>
      </c>
      <c r="J1104" s="62">
        <f t="shared" si="187"/>
        <v>8.7344535984630156E-2</v>
      </c>
      <c r="K1104" s="62">
        <f t="shared" si="188"/>
        <v>0.23079297293051546</v>
      </c>
      <c r="L1104" s="63">
        <f t="shared" si="189"/>
        <v>1.6455365421900026</v>
      </c>
      <c r="M1104" s="63">
        <f t="shared" si="190"/>
        <v>1.2140264666446016E-3</v>
      </c>
      <c r="N1104" s="63">
        <f t="shared" si="191"/>
        <v>1.6423286852325558</v>
      </c>
      <c r="O1104" s="62">
        <f t="shared" si="192"/>
        <v>0.23107316170796871</v>
      </c>
      <c r="P1104" s="62">
        <f t="shared" si="193"/>
        <v>0.14372862572333855</v>
      </c>
      <c r="Q1104" s="62">
        <f t="shared" si="194"/>
        <v>-2.8018877745325521E-4</v>
      </c>
      <c r="R1104" s="63">
        <f t="shared" si="195"/>
        <v>1.6455365421900026</v>
      </c>
      <c r="S1104" s="63">
        <f t="shared" si="196"/>
        <v>-3.2078569574467653E-3</v>
      </c>
      <c r="T1104" s="63">
        <f t="shared" si="197"/>
        <v>1.6423286852325558</v>
      </c>
    </row>
    <row r="1105" spans="1:20" x14ac:dyDescent="0.3">
      <c r="A1105" s="18" t="s">
        <v>313</v>
      </c>
      <c r="B1105" s="18" t="s">
        <v>314</v>
      </c>
      <c r="C1105" s="18" t="s">
        <v>282</v>
      </c>
      <c r="D1105" s="18" t="s">
        <v>279</v>
      </c>
      <c r="E1105" s="61">
        <v>2017</v>
      </c>
      <c r="F1105" s="62">
        <v>39817000</v>
      </c>
      <c r="G1105" s="62">
        <v>32933000</v>
      </c>
      <c r="H1105" s="62">
        <v>304271244</v>
      </c>
      <c r="I1105" s="62">
        <v>304225724</v>
      </c>
      <c r="J1105" s="62">
        <f t="shared" si="187"/>
        <v>0.13086021365857367</v>
      </c>
      <c r="K1105" s="62">
        <f t="shared" si="188"/>
        <v>0.10825185841286715</v>
      </c>
      <c r="L1105" s="63">
        <f t="shared" si="189"/>
        <v>-0.17289097621618907</v>
      </c>
      <c r="M1105" s="63">
        <f t="shared" si="190"/>
        <v>-1.4960335850863383E-4</v>
      </c>
      <c r="N1105" s="63">
        <f t="shared" si="191"/>
        <v>-0.17276721941394502</v>
      </c>
      <c r="O1105" s="62">
        <f t="shared" si="192"/>
        <v>0.10823566357128378</v>
      </c>
      <c r="P1105" s="62">
        <f t="shared" si="193"/>
        <v>-2.2624550087289891E-2</v>
      </c>
      <c r="Q1105" s="62">
        <f t="shared" si="194"/>
        <v>1.619484158336959E-5</v>
      </c>
      <c r="R1105" s="63">
        <f t="shared" si="195"/>
        <v>-0.17289097621618915</v>
      </c>
      <c r="S1105" s="63">
        <f t="shared" si="196"/>
        <v>1.237568022441368E-4</v>
      </c>
      <c r="T1105" s="63">
        <f t="shared" si="197"/>
        <v>-0.17276721941394502</v>
      </c>
    </row>
    <row r="1106" spans="1:20" x14ac:dyDescent="0.3">
      <c r="A1106" s="18" t="s">
        <v>313</v>
      </c>
      <c r="B1106" s="18" t="s">
        <v>314</v>
      </c>
      <c r="C1106" s="18" t="s">
        <v>282</v>
      </c>
      <c r="D1106" s="18" t="s">
        <v>279</v>
      </c>
      <c r="E1106" s="61">
        <v>2018</v>
      </c>
      <c r="F1106" s="62">
        <v>32933000</v>
      </c>
      <c r="G1106" s="62">
        <v>-14983000</v>
      </c>
      <c r="H1106" s="62">
        <v>304225724</v>
      </c>
      <c r="I1106" s="62">
        <v>304037720</v>
      </c>
      <c r="J1106" s="62">
        <f t="shared" si="187"/>
        <v>0.10825185841286715</v>
      </c>
      <c r="K1106" s="62">
        <f t="shared" si="188"/>
        <v>-4.9280069591365175E-2</v>
      </c>
      <c r="L1106" s="63">
        <f t="shared" si="189"/>
        <v>-1.4549539975100962</v>
      </c>
      <c r="M1106" s="63">
        <f t="shared" si="190"/>
        <v>-6.1797535569345873E-4</v>
      </c>
      <c r="N1106" s="63">
        <f t="shared" si="191"/>
        <v>-1.4552353217199603</v>
      </c>
      <c r="O1106" s="62">
        <f t="shared" si="192"/>
        <v>-4.9249615722830854E-2</v>
      </c>
      <c r="P1106" s="62">
        <f t="shared" si="193"/>
        <v>-0.15750147413569801</v>
      </c>
      <c r="Q1106" s="62">
        <f t="shared" si="194"/>
        <v>-3.0453868534320583E-5</v>
      </c>
      <c r="R1106" s="63">
        <f t="shared" si="195"/>
        <v>-1.4549539975100962</v>
      </c>
      <c r="S1106" s="63">
        <f t="shared" si="196"/>
        <v>-2.8132420986410283E-4</v>
      </c>
      <c r="T1106" s="63">
        <f t="shared" si="197"/>
        <v>-1.4552353217199603</v>
      </c>
    </row>
    <row r="1107" spans="1:20" x14ac:dyDescent="0.3">
      <c r="A1107" s="18" t="s">
        <v>313</v>
      </c>
      <c r="B1107" s="18" t="s">
        <v>314</v>
      </c>
      <c r="C1107" s="18" t="s">
        <v>282</v>
      </c>
      <c r="D1107" s="18" t="s">
        <v>279</v>
      </c>
      <c r="E1107" s="61">
        <v>2019</v>
      </c>
      <c r="F1107" s="62">
        <v>-14983000</v>
      </c>
      <c r="G1107" s="62">
        <v>-18503000</v>
      </c>
      <c r="H1107" s="62">
        <v>304037720</v>
      </c>
      <c r="I1107" s="62">
        <v>342863712</v>
      </c>
      <c r="J1107" s="62">
        <f t="shared" si="187"/>
        <v>-4.9280069591365175E-2</v>
      </c>
      <c r="K1107" s="62">
        <f t="shared" si="188"/>
        <v>-5.3966049343827906E-2</v>
      </c>
      <c r="L1107" s="63">
        <f t="shared" si="189"/>
        <v>-0.23493292398051124</v>
      </c>
      <c r="M1107" s="63">
        <f t="shared" si="190"/>
        <v>0.1277012339126869</v>
      </c>
      <c r="N1107" s="63">
        <f t="shared" si="191"/>
        <v>-9.5088740566304022E-2</v>
      </c>
      <c r="O1107" s="62">
        <f t="shared" si="192"/>
        <v>-6.0857580434427676E-2</v>
      </c>
      <c r="P1107" s="62">
        <f t="shared" si="193"/>
        <v>-1.1577510843062501E-2</v>
      </c>
      <c r="Q1107" s="62">
        <f t="shared" si="194"/>
        <v>6.8915310905997701E-3</v>
      </c>
      <c r="R1107" s="63">
        <f t="shared" si="195"/>
        <v>-0.2349329239805113</v>
      </c>
      <c r="S1107" s="63">
        <f t="shared" si="196"/>
        <v>0.13984418341420726</v>
      </c>
      <c r="T1107" s="63">
        <f t="shared" si="197"/>
        <v>-9.5088740566304036E-2</v>
      </c>
    </row>
    <row r="1108" spans="1:20" x14ac:dyDescent="0.3">
      <c r="A1108" s="18" t="s">
        <v>313</v>
      </c>
      <c r="B1108" s="18" t="s">
        <v>314</v>
      </c>
      <c r="C1108" s="18" t="s">
        <v>282</v>
      </c>
      <c r="D1108" s="18" t="s">
        <v>279</v>
      </c>
      <c r="E1108" s="61">
        <v>2020</v>
      </c>
      <c r="F1108" s="62">
        <v>-18503000</v>
      </c>
      <c r="G1108" s="62">
        <v>-135425000</v>
      </c>
      <c r="H1108" s="62">
        <v>342863712</v>
      </c>
      <c r="I1108" s="62">
        <v>415863130</v>
      </c>
      <c r="J1108" s="62">
        <f t="shared" si="187"/>
        <v>-5.3966049343827906E-2</v>
      </c>
      <c r="K1108" s="62">
        <f t="shared" si="188"/>
        <v>-0.32564800827618451</v>
      </c>
      <c r="L1108" s="63">
        <f t="shared" si="189"/>
        <v>-6.3190833918823976</v>
      </c>
      <c r="M1108" s="63">
        <f t="shared" si="190"/>
        <v>0.2129108897940182</v>
      </c>
      <c r="N1108" s="63">
        <f t="shared" si="191"/>
        <v>-5.0343125397491937</v>
      </c>
      <c r="O1108" s="62">
        <f t="shared" si="192"/>
        <v>-0.39498201547791678</v>
      </c>
      <c r="P1108" s="62">
        <f t="shared" si="193"/>
        <v>-0.34101596613408885</v>
      </c>
      <c r="Q1108" s="62">
        <f t="shared" si="194"/>
        <v>6.9334007201732273E-2</v>
      </c>
      <c r="R1108" s="63">
        <f t="shared" si="195"/>
        <v>-6.3190833918823968</v>
      </c>
      <c r="S1108" s="63">
        <f t="shared" si="196"/>
        <v>1.2847708521332033</v>
      </c>
      <c r="T1108" s="63">
        <f t="shared" si="197"/>
        <v>-5.0343125397491937</v>
      </c>
    </row>
    <row r="1109" spans="1:20" x14ac:dyDescent="0.3">
      <c r="A1109" s="18" t="s">
        <v>313</v>
      </c>
      <c r="B1109" s="18" t="s">
        <v>314</v>
      </c>
      <c r="C1109" s="18" t="s">
        <v>282</v>
      </c>
      <c r="D1109" s="18" t="s">
        <v>279</v>
      </c>
      <c r="E1109" s="61">
        <v>2021</v>
      </c>
      <c r="F1109" s="62">
        <v>-135425000</v>
      </c>
      <c r="G1109" s="62">
        <v>-362539000</v>
      </c>
      <c r="H1109" s="62">
        <v>415863130</v>
      </c>
      <c r="I1109" s="62">
        <v>610542810</v>
      </c>
      <c r="J1109" s="62">
        <f t="shared" si="187"/>
        <v>-0.32564800827618451</v>
      </c>
      <c r="K1109" s="62">
        <f t="shared" si="188"/>
        <v>-0.59379783704274558</v>
      </c>
      <c r="L1109" s="63">
        <f t="shared" si="189"/>
        <v>-1.6770463356101164</v>
      </c>
      <c r="M1109" s="63">
        <f t="shared" si="190"/>
        <v>0.46813402284544919</v>
      </c>
      <c r="N1109" s="63">
        <f t="shared" si="191"/>
        <v>-0.82343457337881576</v>
      </c>
      <c r="O1109" s="62">
        <f t="shared" si="192"/>
        <v>-0.87177480725449263</v>
      </c>
      <c r="P1109" s="62">
        <f t="shared" si="193"/>
        <v>-0.54612679897830807</v>
      </c>
      <c r="Q1109" s="62">
        <f t="shared" si="194"/>
        <v>0.27797697021174705</v>
      </c>
      <c r="R1109" s="63">
        <f t="shared" si="195"/>
        <v>-1.6770463356101164</v>
      </c>
      <c r="S1109" s="63">
        <f t="shared" si="196"/>
        <v>0.85361176223130075</v>
      </c>
      <c r="T1109" s="63">
        <f t="shared" si="197"/>
        <v>-0.82343457337881565</v>
      </c>
    </row>
    <row r="1110" spans="1:20" x14ac:dyDescent="0.3">
      <c r="A1110" s="18" t="s">
        <v>313</v>
      </c>
      <c r="B1110" s="18" t="s">
        <v>314</v>
      </c>
      <c r="C1110" s="18" t="s">
        <v>282</v>
      </c>
      <c r="D1110" s="18" t="s">
        <v>279</v>
      </c>
      <c r="E1110" s="61">
        <v>2022</v>
      </c>
      <c r="F1110" s="62">
        <v>-362539000</v>
      </c>
      <c r="G1110" s="62">
        <v>-297058000</v>
      </c>
      <c r="H1110" s="62">
        <v>610542810</v>
      </c>
      <c r="I1110" s="62">
        <v>672772636</v>
      </c>
      <c r="J1110" s="62">
        <f t="shared" si="187"/>
        <v>-0.59379783704274558</v>
      </c>
      <c r="K1110" s="62">
        <f t="shared" si="188"/>
        <v>-0.44154292862767386</v>
      </c>
      <c r="L1110" s="63">
        <f t="shared" si="189"/>
        <v>0.18061780939429964</v>
      </c>
      <c r="M1110" s="63">
        <f t="shared" si="190"/>
        <v>0.1019254096203344</v>
      </c>
      <c r="N1110" s="63">
        <f t="shared" si="191"/>
        <v>0.25640866119239736</v>
      </c>
      <c r="O1110" s="62">
        <f t="shared" si="192"/>
        <v>-0.48654737249301161</v>
      </c>
      <c r="P1110" s="62">
        <f t="shared" si="193"/>
        <v>0.10725046454973397</v>
      </c>
      <c r="Q1110" s="62">
        <f t="shared" si="194"/>
        <v>4.5004443865337751E-2</v>
      </c>
      <c r="R1110" s="63">
        <f t="shared" si="195"/>
        <v>0.18061780939429956</v>
      </c>
      <c r="S1110" s="63">
        <f t="shared" si="196"/>
        <v>7.5790851798097789E-2</v>
      </c>
      <c r="T1110" s="63">
        <f t="shared" si="197"/>
        <v>0.25640866119239736</v>
      </c>
    </row>
    <row r="1111" spans="1:20" x14ac:dyDescent="0.3">
      <c r="A1111" s="18" t="s">
        <v>313</v>
      </c>
      <c r="B1111" s="18" t="s">
        <v>314</v>
      </c>
      <c r="C1111" s="18" t="s">
        <v>282</v>
      </c>
      <c r="D1111" s="18" t="s">
        <v>279</v>
      </c>
      <c r="E1111" s="61">
        <v>2023</v>
      </c>
      <c r="F1111" s="62">
        <v>-297058000</v>
      </c>
      <c r="G1111" s="62">
        <v>-297220000</v>
      </c>
      <c r="H1111" s="62">
        <v>672772636</v>
      </c>
      <c r="I1111" s="62">
        <v>668713007</v>
      </c>
      <c r="J1111" s="62">
        <f t="shared" si="187"/>
        <v>-0.44154292862767386</v>
      </c>
      <c r="K1111" s="62">
        <f t="shared" si="188"/>
        <v>-0.4444657078428863</v>
      </c>
      <c r="L1111" s="63">
        <f t="shared" si="189"/>
        <v>-5.4534804650943592E-4</v>
      </c>
      <c r="M1111" s="63">
        <f t="shared" si="190"/>
        <v>-6.0341767526942043E-3</v>
      </c>
      <c r="N1111" s="63">
        <f t="shared" si="191"/>
        <v>-6.6194678381477296E-3</v>
      </c>
      <c r="O1111" s="62">
        <f t="shared" si="192"/>
        <v>-0.44178372320125103</v>
      </c>
      <c r="P1111" s="62">
        <f t="shared" si="193"/>
        <v>-2.4079457357717438E-4</v>
      </c>
      <c r="Q1111" s="62">
        <f t="shared" si="194"/>
        <v>-2.6819846416352711E-3</v>
      </c>
      <c r="R1111" s="63">
        <f t="shared" si="195"/>
        <v>-5.4534804650947474E-4</v>
      </c>
      <c r="S1111" s="63">
        <f t="shared" si="196"/>
        <v>-6.0741197916382543E-3</v>
      </c>
      <c r="T1111" s="63">
        <f t="shared" si="197"/>
        <v>-6.6194678381477287E-3</v>
      </c>
    </row>
    <row r="1112" spans="1:20" x14ac:dyDescent="0.3">
      <c r="A1112" s="18" t="s">
        <v>313</v>
      </c>
      <c r="B1112" s="18" t="s">
        <v>314</v>
      </c>
      <c r="C1112" s="18" t="s">
        <v>282</v>
      </c>
      <c r="D1112" s="18" t="s">
        <v>279</v>
      </c>
      <c r="E1112" s="61">
        <v>2024</v>
      </c>
      <c r="F1112" s="62">
        <v>-297220000</v>
      </c>
      <c r="G1112" s="62">
        <v>-28043000</v>
      </c>
      <c r="H1112" s="62">
        <v>668713007</v>
      </c>
      <c r="I1112" s="62">
        <v>548984928</v>
      </c>
      <c r="J1112" s="62">
        <f t="shared" si="187"/>
        <v>-0.4444657078428863</v>
      </c>
      <c r="K1112" s="62">
        <f t="shared" si="188"/>
        <v>-5.1081548089422231E-2</v>
      </c>
      <c r="L1112" s="63">
        <f t="shared" si="189"/>
        <v>0.90564901419823696</v>
      </c>
      <c r="M1112" s="63">
        <f t="shared" si="190"/>
        <v>-0.17904254552655949</v>
      </c>
      <c r="N1112" s="63">
        <f t="shared" si="191"/>
        <v>0.88507201525774626</v>
      </c>
      <c r="O1112" s="62">
        <f t="shared" si="192"/>
        <v>-4.1935777690054708E-2</v>
      </c>
      <c r="P1112" s="62">
        <f t="shared" si="193"/>
        <v>0.40252993015283162</v>
      </c>
      <c r="Q1112" s="62">
        <f t="shared" si="194"/>
        <v>-9.1457703993675227E-3</v>
      </c>
      <c r="R1112" s="63">
        <f t="shared" si="195"/>
        <v>0.90564901419823707</v>
      </c>
      <c r="S1112" s="63">
        <f t="shared" si="196"/>
        <v>-2.0576998940490705E-2</v>
      </c>
      <c r="T1112" s="63">
        <f t="shared" si="197"/>
        <v>0.88507201525774637</v>
      </c>
    </row>
    <row r="1113" spans="1:20" x14ac:dyDescent="0.3">
      <c r="A1113" s="18" t="s">
        <v>315</v>
      </c>
      <c r="B1113" s="18" t="s">
        <v>316</v>
      </c>
      <c r="C1113" s="18" t="s">
        <v>282</v>
      </c>
      <c r="D1113" s="18" t="s">
        <v>279</v>
      </c>
      <c r="E1113" s="61">
        <v>2016</v>
      </c>
      <c r="F1113" s="62">
        <v>1495000000</v>
      </c>
      <c r="G1113" s="62">
        <v>1931000000</v>
      </c>
      <c r="H1113" s="62">
        <v>2124412411</v>
      </c>
      <c r="I1113" s="62">
        <v>2181617696</v>
      </c>
      <c r="J1113" s="62">
        <f t="shared" si="187"/>
        <v>0.70372400022662074</v>
      </c>
      <c r="K1113" s="62">
        <f t="shared" si="188"/>
        <v>0.88512300002905731</v>
      </c>
      <c r="L1113" s="63">
        <f t="shared" si="189"/>
        <v>0.29163879598662207</v>
      </c>
      <c r="M1113" s="63">
        <f t="shared" si="190"/>
        <v>2.6927579929300272E-2</v>
      </c>
      <c r="N1113" s="63">
        <f t="shared" si="191"/>
        <v>0.25777009131992162</v>
      </c>
      <c r="O1113" s="62">
        <f t="shared" si="192"/>
        <v>0.9089572203596018</v>
      </c>
      <c r="P1113" s="62">
        <f t="shared" si="193"/>
        <v>0.20523322013298106</v>
      </c>
      <c r="Q1113" s="62">
        <f t="shared" si="194"/>
        <v>-2.3834220330544498E-2</v>
      </c>
      <c r="R1113" s="63">
        <f t="shared" si="195"/>
        <v>0.29163879598662212</v>
      </c>
      <c r="S1113" s="63">
        <f t="shared" si="196"/>
        <v>-3.3868704666700507E-2</v>
      </c>
      <c r="T1113" s="63">
        <f t="shared" si="197"/>
        <v>0.25777009131992162</v>
      </c>
    </row>
    <row r="1114" spans="1:20" x14ac:dyDescent="0.3">
      <c r="A1114" s="18" t="s">
        <v>315</v>
      </c>
      <c r="B1114" s="18" t="s">
        <v>316</v>
      </c>
      <c r="C1114" s="18" t="s">
        <v>282</v>
      </c>
      <c r="D1114" s="18" t="s">
        <v>279</v>
      </c>
      <c r="E1114" s="61">
        <v>2017</v>
      </c>
      <c r="F1114" s="62">
        <v>1931000000</v>
      </c>
      <c r="G1114" s="62">
        <v>1989000000</v>
      </c>
      <c r="H1114" s="62">
        <v>2181617696</v>
      </c>
      <c r="I1114" s="62">
        <v>2160885474</v>
      </c>
      <c r="J1114" s="62">
        <f t="shared" si="187"/>
        <v>0.88512300002905731</v>
      </c>
      <c r="K1114" s="62">
        <f t="shared" si="188"/>
        <v>0.92045600006657269</v>
      </c>
      <c r="L1114" s="63">
        <f t="shared" si="189"/>
        <v>3.003625064733299E-2</v>
      </c>
      <c r="M1114" s="63">
        <f t="shared" si="190"/>
        <v>-9.5031416540178274E-3</v>
      </c>
      <c r="N1114" s="63">
        <f t="shared" si="191"/>
        <v>3.9918745797313429E-2</v>
      </c>
      <c r="O1114" s="62">
        <f t="shared" si="192"/>
        <v>0.91170877631164937</v>
      </c>
      <c r="P1114" s="62">
        <f t="shared" si="193"/>
        <v>2.6585776282592066E-2</v>
      </c>
      <c r="Q1114" s="62">
        <f t="shared" si="194"/>
        <v>8.7472237549233167E-3</v>
      </c>
      <c r="R1114" s="63">
        <f t="shared" si="195"/>
        <v>3.0036250647332962E-2</v>
      </c>
      <c r="S1114" s="63">
        <f t="shared" si="196"/>
        <v>9.8824951499804636E-3</v>
      </c>
      <c r="T1114" s="63">
        <f t="shared" si="197"/>
        <v>3.9918745797313429E-2</v>
      </c>
    </row>
    <row r="1115" spans="1:20" x14ac:dyDescent="0.3">
      <c r="A1115" s="18" t="s">
        <v>315</v>
      </c>
      <c r="B1115" s="18" t="s">
        <v>316</v>
      </c>
      <c r="C1115" s="18" t="s">
        <v>282</v>
      </c>
      <c r="D1115" s="18" t="s">
        <v>279</v>
      </c>
      <c r="E1115" s="61">
        <v>2018</v>
      </c>
      <c r="F1115" s="62">
        <v>1989000000</v>
      </c>
      <c r="G1115" s="62">
        <v>2885000000</v>
      </c>
      <c r="H1115" s="62">
        <v>2160885474</v>
      </c>
      <c r="I1115" s="62">
        <v>2099979400</v>
      </c>
      <c r="J1115" s="62">
        <f t="shared" si="187"/>
        <v>0.92045600006657269</v>
      </c>
      <c r="K1115" s="62">
        <f t="shared" si="188"/>
        <v>1.373823000358956</v>
      </c>
      <c r="L1115" s="63">
        <f t="shared" si="189"/>
        <v>0.45047762694821519</v>
      </c>
      <c r="M1115" s="63">
        <f t="shared" si="190"/>
        <v>-2.8185701987832421E-2</v>
      </c>
      <c r="N1115" s="63">
        <f t="shared" si="191"/>
        <v>0.49254608613512563</v>
      </c>
      <c r="O1115" s="62">
        <f t="shared" si="192"/>
        <v>1.3351008346868085</v>
      </c>
      <c r="P1115" s="62">
        <f t="shared" si="193"/>
        <v>0.41464483462023582</v>
      </c>
      <c r="Q1115" s="62">
        <f t="shared" si="194"/>
        <v>3.8722165672147479E-2</v>
      </c>
      <c r="R1115" s="63">
        <f t="shared" si="195"/>
        <v>0.45047762694821514</v>
      </c>
      <c r="S1115" s="63">
        <f t="shared" si="196"/>
        <v>4.2068459186910476E-2</v>
      </c>
      <c r="T1115" s="63">
        <f t="shared" si="197"/>
        <v>0.49254608613512563</v>
      </c>
    </row>
    <row r="1116" spans="1:20" x14ac:dyDescent="0.3">
      <c r="A1116" s="18" t="s">
        <v>315</v>
      </c>
      <c r="B1116" s="18" t="s">
        <v>316</v>
      </c>
      <c r="C1116" s="18" t="s">
        <v>282</v>
      </c>
      <c r="D1116" s="18" t="s">
        <v>279</v>
      </c>
      <c r="E1116" s="61">
        <v>2019</v>
      </c>
      <c r="F1116" s="62">
        <v>2885000000</v>
      </c>
      <c r="G1116" s="62">
        <v>1715000000</v>
      </c>
      <c r="H1116" s="62">
        <v>2099979400</v>
      </c>
      <c r="I1116" s="62">
        <v>2034927181</v>
      </c>
      <c r="J1116" s="62">
        <f t="shared" si="187"/>
        <v>1.373823000358956</v>
      </c>
      <c r="K1116" s="62">
        <f t="shared" si="188"/>
        <v>0.84278200026657368</v>
      </c>
      <c r="L1116" s="63">
        <f t="shared" si="189"/>
        <v>-0.40554592720970539</v>
      </c>
      <c r="M1116" s="63">
        <f t="shared" si="190"/>
        <v>-3.0977551017881414E-2</v>
      </c>
      <c r="N1116" s="63">
        <f t="shared" si="191"/>
        <v>-0.38654251672422907</v>
      </c>
      <c r="O1116" s="62">
        <f t="shared" si="192"/>
        <v>0.81667467785636372</v>
      </c>
      <c r="P1116" s="62">
        <f t="shared" si="193"/>
        <v>-0.55714832250259227</v>
      </c>
      <c r="Q1116" s="62">
        <f t="shared" si="194"/>
        <v>2.6107322410209965E-2</v>
      </c>
      <c r="R1116" s="63">
        <f t="shared" si="195"/>
        <v>-0.40554592720970545</v>
      </c>
      <c r="S1116" s="63">
        <f t="shared" si="196"/>
        <v>1.9003410485476352E-2</v>
      </c>
      <c r="T1116" s="63">
        <f t="shared" si="197"/>
        <v>-0.38654251672422912</v>
      </c>
    </row>
    <row r="1117" spans="1:20" x14ac:dyDescent="0.3">
      <c r="A1117" s="18" t="s">
        <v>315</v>
      </c>
      <c r="B1117" s="18" t="s">
        <v>316</v>
      </c>
      <c r="C1117" s="18" t="s">
        <v>282</v>
      </c>
      <c r="D1117" s="18" t="s">
        <v>279</v>
      </c>
      <c r="E1117" s="61">
        <v>2020</v>
      </c>
      <c r="F1117" s="62">
        <v>1715000000</v>
      </c>
      <c r="G1117" s="62">
        <v>-6935000000</v>
      </c>
      <c r="H1117" s="62">
        <v>2034927181</v>
      </c>
      <c r="I1117" s="62">
        <v>3527466937</v>
      </c>
      <c r="J1117" s="62">
        <f t="shared" si="187"/>
        <v>0.84278200026657368</v>
      </c>
      <c r="K1117" s="62">
        <f t="shared" si="188"/>
        <v>-1.9660000005267235</v>
      </c>
      <c r="L1117" s="63">
        <f t="shared" si="189"/>
        <v>-5.0437317784256557</v>
      </c>
      <c r="M1117" s="63">
        <f t="shared" si="190"/>
        <v>0.73346101518312756</v>
      </c>
      <c r="N1117" s="63">
        <f t="shared" si="191"/>
        <v>-3.3327503433923291</v>
      </c>
      <c r="O1117" s="62">
        <f t="shared" si="192"/>
        <v>-3.4079843567630834</v>
      </c>
      <c r="P1117" s="62">
        <f t="shared" si="193"/>
        <v>-4.250766357029657</v>
      </c>
      <c r="Q1117" s="62">
        <f t="shared" si="194"/>
        <v>1.4419843562363599</v>
      </c>
      <c r="R1117" s="63">
        <f t="shared" si="195"/>
        <v>-5.0437317784256557</v>
      </c>
      <c r="S1117" s="63">
        <f t="shared" si="196"/>
        <v>1.7109814350333268</v>
      </c>
      <c r="T1117" s="63">
        <f t="shared" si="197"/>
        <v>-3.3327503433923287</v>
      </c>
    </row>
    <row r="1118" spans="1:20" x14ac:dyDescent="0.3">
      <c r="A1118" s="18" t="s">
        <v>315</v>
      </c>
      <c r="B1118" s="18" t="s">
        <v>316</v>
      </c>
      <c r="C1118" s="18" t="s">
        <v>282</v>
      </c>
      <c r="D1118" s="18" t="s">
        <v>279</v>
      </c>
      <c r="E1118" s="61">
        <v>2021</v>
      </c>
      <c r="F1118" s="62">
        <v>-6935000000</v>
      </c>
      <c r="G1118" s="62">
        <v>-2933000000</v>
      </c>
      <c r="H1118" s="62">
        <v>3527466937</v>
      </c>
      <c r="I1118" s="62">
        <v>4962774957</v>
      </c>
      <c r="J1118" s="62">
        <f t="shared" si="187"/>
        <v>-1.9660000005267235</v>
      </c>
      <c r="K1118" s="62">
        <f t="shared" si="188"/>
        <v>-0.59100000008321962</v>
      </c>
      <c r="L1118" s="63">
        <f t="shared" si="189"/>
        <v>0.57707281903388608</v>
      </c>
      <c r="M1118" s="63">
        <f t="shared" si="190"/>
        <v>0.40689481875645428</v>
      </c>
      <c r="N1118" s="63">
        <f t="shared" si="191"/>
        <v>0.6993896236394298</v>
      </c>
      <c r="O1118" s="62">
        <f t="shared" si="192"/>
        <v>-0.83147483800214572</v>
      </c>
      <c r="P1118" s="62">
        <f t="shared" si="193"/>
        <v>1.1345251625245778</v>
      </c>
      <c r="Q1118" s="62">
        <f t="shared" si="194"/>
        <v>0.2404748379189261</v>
      </c>
      <c r="R1118" s="63">
        <f t="shared" si="195"/>
        <v>0.57707281903388608</v>
      </c>
      <c r="S1118" s="63">
        <f t="shared" si="196"/>
        <v>0.12231680460554373</v>
      </c>
      <c r="T1118" s="63">
        <f t="shared" si="197"/>
        <v>0.6993896236394298</v>
      </c>
    </row>
    <row r="1119" spans="1:20" x14ac:dyDescent="0.3">
      <c r="A1119" s="18" t="s">
        <v>315</v>
      </c>
      <c r="B1119" s="18" t="s">
        <v>316</v>
      </c>
      <c r="C1119" s="18" t="s">
        <v>282</v>
      </c>
      <c r="D1119" s="18" t="s">
        <v>279</v>
      </c>
      <c r="E1119" s="61">
        <v>2022</v>
      </c>
      <c r="F1119" s="62">
        <v>-2933000000</v>
      </c>
      <c r="G1119" s="62">
        <v>431000000</v>
      </c>
      <c r="H1119" s="62">
        <v>4962774957</v>
      </c>
      <c r="I1119" s="62">
        <v>4958420000</v>
      </c>
      <c r="J1119" s="62">
        <f t="shared" si="187"/>
        <v>-0.59100000008321962</v>
      </c>
      <c r="K1119" s="62">
        <f t="shared" si="188"/>
        <v>8.6922850424127035E-2</v>
      </c>
      <c r="L1119" s="63">
        <f t="shared" si="189"/>
        <v>1.1469485168769178</v>
      </c>
      <c r="M1119" s="63">
        <f t="shared" si="190"/>
        <v>-8.7752457803014585E-4</v>
      </c>
      <c r="N1119" s="63">
        <f t="shared" si="191"/>
        <v>1.1470775810691833</v>
      </c>
      <c r="O1119" s="62">
        <f t="shared" si="192"/>
        <v>8.684657348648743E-2</v>
      </c>
      <c r="P1119" s="62">
        <f t="shared" si="193"/>
        <v>0.67784657356970701</v>
      </c>
      <c r="Q1119" s="62">
        <f t="shared" si="194"/>
        <v>7.6276937639604969E-5</v>
      </c>
      <c r="R1119" s="63">
        <f t="shared" si="195"/>
        <v>1.1469485168769178</v>
      </c>
      <c r="S1119" s="63">
        <f t="shared" si="196"/>
        <v>1.2906419226542181E-4</v>
      </c>
      <c r="T1119" s="63">
        <f t="shared" si="197"/>
        <v>1.1470775810691831</v>
      </c>
    </row>
    <row r="1120" spans="1:20" x14ac:dyDescent="0.3">
      <c r="A1120" s="18" t="s">
        <v>315</v>
      </c>
      <c r="B1120" s="18" t="s">
        <v>316</v>
      </c>
      <c r="C1120" s="18" t="s">
        <v>282</v>
      </c>
      <c r="D1120" s="18" t="s">
        <v>279</v>
      </c>
      <c r="E1120" s="61">
        <v>2023</v>
      </c>
      <c r="F1120" s="62">
        <v>431000000</v>
      </c>
      <c r="G1120" s="62">
        <v>2655000000</v>
      </c>
      <c r="H1120" s="62">
        <v>4958420000</v>
      </c>
      <c r="I1120" s="62">
        <v>4932631000</v>
      </c>
      <c r="J1120" s="62">
        <f t="shared" si="187"/>
        <v>8.6922850424127035E-2</v>
      </c>
      <c r="K1120" s="62">
        <f t="shared" si="188"/>
        <v>0.53825230389218248</v>
      </c>
      <c r="L1120" s="63">
        <f t="shared" si="189"/>
        <v>5.1600928074245935</v>
      </c>
      <c r="M1120" s="63">
        <f t="shared" si="190"/>
        <v>-5.2010519479995642E-3</v>
      </c>
      <c r="N1120" s="63">
        <f t="shared" si="191"/>
        <v>5.1922992776451871</v>
      </c>
      <c r="O1120" s="62">
        <f t="shared" si="192"/>
        <v>0.53545282569850883</v>
      </c>
      <c r="P1120" s="62">
        <f t="shared" si="193"/>
        <v>0.44852997527438176</v>
      </c>
      <c r="Q1120" s="62">
        <f t="shared" si="194"/>
        <v>2.7994781936736546E-3</v>
      </c>
      <c r="R1120" s="63">
        <f t="shared" si="195"/>
        <v>5.1600928074245944</v>
      </c>
      <c r="S1120" s="63">
        <f t="shared" si="196"/>
        <v>3.2206470220592399E-2</v>
      </c>
      <c r="T1120" s="63">
        <f t="shared" si="197"/>
        <v>5.1922992776451871</v>
      </c>
    </row>
    <row r="1121" spans="1:20" x14ac:dyDescent="0.3">
      <c r="A1121" s="18" t="s">
        <v>315</v>
      </c>
      <c r="B1121" s="18" t="s">
        <v>316</v>
      </c>
      <c r="C1121" s="18" t="s">
        <v>282</v>
      </c>
      <c r="D1121" s="18" t="s">
        <v>279</v>
      </c>
      <c r="E1121" s="61">
        <v>2024</v>
      </c>
      <c r="F1121" s="62">
        <v>2655000000</v>
      </c>
      <c r="G1121" s="62">
        <v>2732000000</v>
      </c>
      <c r="H1121" s="62">
        <v>4932631000</v>
      </c>
      <c r="I1121" s="62">
        <v>4903453000</v>
      </c>
      <c r="J1121" s="62">
        <f t="shared" si="187"/>
        <v>0.53825230389218248</v>
      </c>
      <c r="K1121" s="62">
        <f t="shared" si="188"/>
        <v>0.5571583942988747</v>
      </c>
      <c r="L1121" s="63">
        <f t="shared" si="189"/>
        <v>2.9001883239171376E-2</v>
      </c>
      <c r="M1121" s="63">
        <f t="shared" si="190"/>
        <v>-5.9153015905710361E-3</v>
      </c>
      <c r="N1121" s="63">
        <f t="shared" si="191"/>
        <v>3.512495955888989E-2</v>
      </c>
      <c r="O1121" s="62">
        <f t="shared" si="192"/>
        <v>0.55386263436287853</v>
      </c>
      <c r="P1121" s="62">
        <f t="shared" si="193"/>
        <v>1.5610330470696043E-2</v>
      </c>
      <c r="Q1121" s="62">
        <f t="shared" si="194"/>
        <v>3.2957599359961787E-3</v>
      </c>
      <c r="R1121" s="63">
        <f t="shared" si="195"/>
        <v>2.9001883239171335E-2</v>
      </c>
      <c r="S1121" s="63">
        <f t="shared" si="196"/>
        <v>6.1230763197185562E-3</v>
      </c>
      <c r="T1121" s="63">
        <f t="shared" si="197"/>
        <v>3.512495955888989E-2</v>
      </c>
    </row>
    <row r="1122" spans="1:20" x14ac:dyDescent="0.3">
      <c r="A1122" s="18" t="s">
        <v>317</v>
      </c>
      <c r="B1122" s="18" t="s">
        <v>318</v>
      </c>
      <c r="C1122" s="18" t="s">
        <v>282</v>
      </c>
      <c r="D1122" s="18" t="s">
        <v>279</v>
      </c>
      <c r="E1122" s="61">
        <v>2016</v>
      </c>
      <c r="F1122" s="62">
        <v>49078000</v>
      </c>
      <c r="G1122" s="62">
        <v>582645000</v>
      </c>
      <c r="H1122" s="62">
        <v>223377458</v>
      </c>
      <c r="I1122" s="62">
        <v>359870354</v>
      </c>
      <c r="J1122" s="62">
        <f t="shared" si="187"/>
        <v>0.21970883024373927</v>
      </c>
      <c r="K1122" s="62">
        <f t="shared" si="188"/>
        <v>1.6190413951130855</v>
      </c>
      <c r="L1122" s="63">
        <f t="shared" si="189"/>
        <v>10.871816292432454</v>
      </c>
      <c r="M1122" s="63">
        <f t="shared" si="190"/>
        <v>0.61104149551204934</v>
      </c>
      <c r="N1122" s="63">
        <f t="shared" si="191"/>
        <v>6.3690319743497019</v>
      </c>
      <c r="O1122" s="62">
        <f t="shared" si="192"/>
        <v>2.6083428704789005</v>
      </c>
      <c r="P1122" s="62">
        <f t="shared" si="193"/>
        <v>2.3886340402351611</v>
      </c>
      <c r="Q1122" s="62">
        <f t="shared" si="194"/>
        <v>-0.98930147536581492</v>
      </c>
      <c r="R1122" s="63">
        <f t="shared" si="195"/>
        <v>10.871816292432454</v>
      </c>
      <c r="S1122" s="63">
        <f t="shared" si="196"/>
        <v>-4.5027843180827531</v>
      </c>
      <c r="T1122" s="63">
        <f t="shared" si="197"/>
        <v>6.369031974349701</v>
      </c>
    </row>
    <row r="1123" spans="1:20" x14ac:dyDescent="0.3">
      <c r="A1123" s="18" t="s">
        <v>317</v>
      </c>
      <c r="B1123" s="18" t="s">
        <v>318</v>
      </c>
      <c r="C1123" s="18" t="s">
        <v>282</v>
      </c>
      <c r="D1123" s="18" t="s">
        <v>279</v>
      </c>
      <c r="E1123" s="61">
        <v>2017</v>
      </c>
      <c r="F1123" s="62">
        <v>582645000</v>
      </c>
      <c r="G1123" s="62">
        <v>1100418000</v>
      </c>
      <c r="H1123" s="62">
        <v>359870354</v>
      </c>
      <c r="I1123" s="62">
        <v>467899126</v>
      </c>
      <c r="J1123" s="62">
        <f t="shared" si="187"/>
        <v>1.6190413951130855</v>
      </c>
      <c r="K1123" s="62">
        <f t="shared" si="188"/>
        <v>2.3518274321375845</v>
      </c>
      <c r="L1123" s="63">
        <f t="shared" si="189"/>
        <v>0.88865947532373912</v>
      </c>
      <c r="M1123" s="63">
        <f t="shared" si="190"/>
        <v>0.30018802826975849</v>
      </c>
      <c r="N1123" s="63">
        <f t="shared" si="191"/>
        <v>0.45260488041648611</v>
      </c>
      <c r="O1123" s="62">
        <f t="shared" si="192"/>
        <v>3.0578178718216948</v>
      </c>
      <c r="P1123" s="62">
        <f t="shared" si="193"/>
        <v>1.4387764767086093</v>
      </c>
      <c r="Q1123" s="62">
        <f t="shared" si="194"/>
        <v>-0.70599043968411035</v>
      </c>
      <c r="R1123" s="63">
        <f t="shared" si="195"/>
        <v>0.88865947532373923</v>
      </c>
      <c r="S1123" s="63">
        <f t="shared" si="196"/>
        <v>-0.43605459490725307</v>
      </c>
      <c r="T1123" s="63">
        <f t="shared" si="197"/>
        <v>0.45260488041648617</v>
      </c>
    </row>
    <row r="1124" spans="1:20" x14ac:dyDescent="0.3">
      <c r="A1124" s="18" t="s">
        <v>317</v>
      </c>
      <c r="B1124" s="18" t="s">
        <v>318</v>
      </c>
      <c r="C1124" s="18" t="s">
        <v>282</v>
      </c>
      <c r="D1124" s="18" t="s">
        <v>279</v>
      </c>
      <c r="E1124" s="61">
        <v>2018</v>
      </c>
      <c r="F1124" s="62">
        <v>1100418000</v>
      </c>
      <c r="G1124" s="62">
        <v>854878000</v>
      </c>
      <c r="H1124" s="62">
        <v>467899126</v>
      </c>
      <c r="I1124" s="62">
        <v>467812182</v>
      </c>
      <c r="J1124" s="62">
        <f t="shared" si="187"/>
        <v>2.3518274321375845</v>
      </c>
      <c r="K1124" s="62">
        <f t="shared" si="188"/>
        <v>1.8273957645677554</v>
      </c>
      <c r="L1124" s="63">
        <f t="shared" si="189"/>
        <v>-0.22313339112955258</v>
      </c>
      <c r="M1124" s="63">
        <f t="shared" si="190"/>
        <v>-1.8581782946095948E-4</v>
      </c>
      <c r="N1124" s="63">
        <f t="shared" si="191"/>
        <v>-0.22298900863366969</v>
      </c>
      <c r="O1124" s="62">
        <f t="shared" si="192"/>
        <v>1.8270562018532175</v>
      </c>
      <c r="P1124" s="62">
        <f t="shared" si="193"/>
        <v>-0.52477123028436701</v>
      </c>
      <c r="Q1124" s="62">
        <f t="shared" si="194"/>
        <v>3.3956271453794429E-4</v>
      </c>
      <c r="R1124" s="63">
        <f t="shared" si="195"/>
        <v>-0.22313339112955261</v>
      </c>
      <c r="S1124" s="63">
        <f t="shared" si="196"/>
        <v>1.443824958829205E-4</v>
      </c>
      <c r="T1124" s="63">
        <f t="shared" si="197"/>
        <v>-0.22298900863366969</v>
      </c>
    </row>
    <row r="1125" spans="1:20" x14ac:dyDescent="0.3">
      <c r="A1125" s="18" t="s">
        <v>317</v>
      </c>
      <c r="B1125" s="18" t="s">
        <v>318</v>
      </c>
      <c r="C1125" s="18" t="s">
        <v>282</v>
      </c>
      <c r="D1125" s="18" t="s">
        <v>279</v>
      </c>
      <c r="E1125" s="61">
        <v>2019</v>
      </c>
      <c r="F1125" s="62">
        <v>854878000</v>
      </c>
      <c r="G1125" s="62">
        <v>563639000</v>
      </c>
      <c r="H1125" s="62">
        <v>467812182</v>
      </c>
      <c r="I1125" s="62">
        <v>464454482</v>
      </c>
      <c r="J1125" s="62">
        <f t="shared" si="187"/>
        <v>1.8273957645677554</v>
      </c>
      <c r="K1125" s="62">
        <f t="shared" si="188"/>
        <v>1.2135505670499698</v>
      </c>
      <c r="L1125" s="63">
        <f t="shared" si="189"/>
        <v>-0.34067902086613527</v>
      </c>
      <c r="M1125" s="63">
        <f t="shared" si="190"/>
        <v>-7.1774531087349927E-3</v>
      </c>
      <c r="N1125" s="63">
        <f t="shared" si="191"/>
        <v>-0.33591256443728379</v>
      </c>
      <c r="O1125" s="62">
        <f t="shared" si="192"/>
        <v>1.20484036475989</v>
      </c>
      <c r="P1125" s="62">
        <f t="shared" si="193"/>
        <v>-0.62255539980786545</v>
      </c>
      <c r="Q1125" s="62">
        <f t="shared" si="194"/>
        <v>8.7102022900797937E-3</v>
      </c>
      <c r="R1125" s="63">
        <f t="shared" si="195"/>
        <v>-0.34067902086613522</v>
      </c>
      <c r="S1125" s="63">
        <f t="shared" si="196"/>
        <v>4.7664564288513985E-3</v>
      </c>
      <c r="T1125" s="63">
        <f t="shared" si="197"/>
        <v>-0.33591256443728384</v>
      </c>
    </row>
    <row r="1126" spans="1:20" x14ac:dyDescent="0.3">
      <c r="A1126" s="18" t="s">
        <v>317</v>
      </c>
      <c r="B1126" s="18" t="s">
        <v>318</v>
      </c>
      <c r="C1126" s="18" t="s">
        <v>282</v>
      </c>
      <c r="D1126" s="18" t="s">
        <v>279</v>
      </c>
      <c r="E1126" s="61">
        <v>2020</v>
      </c>
      <c r="F1126" s="62">
        <v>563639000</v>
      </c>
      <c r="G1126" s="62">
        <v>56358000</v>
      </c>
      <c r="H1126" s="62">
        <v>464454482</v>
      </c>
      <c r="I1126" s="62">
        <v>469650000</v>
      </c>
      <c r="J1126" s="62">
        <f t="shared" si="187"/>
        <v>1.2135505670499698</v>
      </c>
      <c r="K1126" s="62">
        <f t="shared" si="188"/>
        <v>0.12</v>
      </c>
      <c r="L1126" s="63">
        <f t="shared" si="189"/>
        <v>-0.90001046769297366</v>
      </c>
      <c r="M1126" s="63">
        <f t="shared" si="190"/>
        <v>1.1186280252108752E-2</v>
      </c>
      <c r="N1126" s="63">
        <f t="shared" si="191"/>
        <v>-0.90111660506104074</v>
      </c>
      <c r="O1126" s="62">
        <f t="shared" si="192"/>
        <v>0.12134235363025304</v>
      </c>
      <c r="P1126" s="62">
        <f t="shared" si="193"/>
        <v>-1.0922082134197166</v>
      </c>
      <c r="Q1126" s="62">
        <f t="shared" si="194"/>
        <v>-1.3423536302530487E-3</v>
      </c>
      <c r="R1126" s="63">
        <f t="shared" si="195"/>
        <v>-0.90001046769297366</v>
      </c>
      <c r="S1126" s="63">
        <f t="shared" si="196"/>
        <v>-1.106137368067148E-3</v>
      </c>
      <c r="T1126" s="63">
        <f t="shared" si="197"/>
        <v>-0.90111660506104085</v>
      </c>
    </row>
    <row r="1127" spans="1:20" x14ac:dyDescent="0.3">
      <c r="A1127" s="18" t="s">
        <v>317</v>
      </c>
      <c r="B1127" s="18" t="s">
        <v>318</v>
      </c>
      <c r="C1127" s="18" t="s">
        <v>282</v>
      </c>
      <c r="D1127" s="18" t="s">
        <v>279</v>
      </c>
      <c r="E1127" s="61">
        <v>2021</v>
      </c>
      <c r="F1127" s="62">
        <v>56358000</v>
      </c>
      <c r="G1127" s="62">
        <v>512217000</v>
      </c>
      <c r="H1127" s="62">
        <v>469650000</v>
      </c>
      <c r="I1127" s="62">
        <v>466396524</v>
      </c>
      <c r="J1127" s="62">
        <f t="shared" si="187"/>
        <v>0.12</v>
      </c>
      <c r="K1127" s="62">
        <f t="shared" si="188"/>
        <v>1.0982436052632329</v>
      </c>
      <c r="L1127" s="63">
        <f t="shared" si="189"/>
        <v>8.088629830725008</v>
      </c>
      <c r="M1127" s="63">
        <f t="shared" si="190"/>
        <v>-6.9274480996486748E-3</v>
      </c>
      <c r="N1127" s="63">
        <f t="shared" si="191"/>
        <v>8.1520300438602753</v>
      </c>
      <c r="O1127" s="62">
        <f t="shared" si="192"/>
        <v>1.0906355796870009</v>
      </c>
      <c r="P1127" s="62">
        <f t="shared" si="193"/>
        <v>0.97063557968700087</v>
      </c>
      <c r="Q1127" s="62">
        <f t="shared" si="194"/>
        <v>7.6080255762320803E-3</v>
      </c>
      <c r="R1127" s="63">
        <f t="shared" si="195"/>
        <v>8.088629830725008</v>
      </c>
      <c r="S1127" s="63">
        <f t="shared" si="196"/>
        <v>6.3400213135267336E-2</v>
      </c>
      <c r="T1127" s="63">
        <f t="shared" si="197"/>
        <v>8.1520300438602753</v>
      </c>
    </row>
    <row r="1128" spans="1:20" x14ac:dyDescent="0.3">
      <c r="A1128" s="18" t="s">
        <v>317</v>
      </c>
      <c r="B1128" s="18" t="s">
        <v>318</v>
      </c>
      <c r="C1128" s="18" t="s">
        <v>282</v>
      </c>
      <c r="D1128" s="18" t="s">
        <v>279</v>
      </c>
      <c r="E1128" s="61">
        <v>2022</v>
      </c>
      <c r="F1128" s="62">
        <v>512217000</v>
      </c>
      <c r="G1128" s="62">
        <v>263087000</v>
      </c>
      <c r="H1128" s="62">
        <v>466396524</v>
      </c>
      <c r="I1128" s="62">
        <v>467891000</v>
      </c>
      <c r="J1128" s="62">
        <f t="shared" si="187"/>
        <v>1.0982436052632329</v>
      </c>
      <c r="K1128" s="62">
        <f t="shared" si="188"/>
        <v>0.56228266839926389</v>
      </c>
      <c r="L1128" s="63">
        <f t="shared" si="189"/>
        <v>-0.48637589146787397</v>
      </c>
      <c r="M1128" s="63">
        <f t="shared" si="190"/>
        <v>3.2043034694658229E-3</v>
      </c>
      <c r="N1128" s="63">
        <f t="shared" si="191"/>
        <v>-0.4880164421585747</v>
      </c>
      <c r="O1128" s="62">
        <f t="shared" si="192"/>
        <v>0.56408439270443622</v>
      </c>
      <c r="P1128" s="62">
        <f t="shared" si="193"/>
        <v>-0.53415921255879673</v>
      </c>
      <c r="Q1128" s="62">
        <f t="shared" si="194"/>
        <v>-1.8017243051723364E-3</v>
      </c>
      <c r="R1128" s="63">
        <f t="shared" si="195"/>
        <v>-0.48637589146787391</v>
      </c>
      <c r="S1128" s="63">
        <f t="shared" si="196"/>
        <v>-1.6405506907008025E-3</v>
      </c>
      <c r="T1128" s="63">
        <f t="shared" si="197"/>
        <v>-0.4880164421585747</v>
      </c>
    </row>
    <row r="1129" spans="1:20" x14ac:dyDescent="0.3">
      <c r="A1129" s="18" t="s">
        <v>317</v>
      </c>
      <c r="B1129" s="18" t="s">
        <v>318</v>
      </c>
      <c r="C1129" s="18" t="s">
        <v>282</v>
      </c>
      <c r="D1129" s="18" t="s">
        <v>279</v>
      </c>
      <c r="E1129" s="61">
        <v>2023</v>
      </c>
      <c r="F1129" s="62">
        <v>263087000</v>
      </c>
      <c r="G1129" s="62">
        <v>-83497000</v>
      </c>
      <c r="H1129" s="62">
        <v>467891000</v>
      </c>
      <c r="I1129" s="62">
        <v>468324000</v>
      </c>
      <c r="J1129" s="62">
        <f t="shared" si="187"/>
        <v>0.56228266839926389</v>
      </c>
      <c r="K1129" s="62">
        <f t="shared" si="188"/>
        <v>-0.17828896234231004</v>
      </c>
      <c r="L1129" s="63">
        <f t="shared" si="189"/>
        <v>-1.3173741005826969</v>
      </c>
      <c r="M1129" s="63">
        <f t="shared" si="190"/>
        <v>9.2542921321418878E-4</v>
      </c>
      <c r="N1129" s="63">
        <f t="shared" si="191"/>
        <v>-1.3170806648724787</v>
      </c>
      <c r="O1129" s="62">
        <f t="shared" si="192"/>
        <v>-0.17845395615645523</v>
      </c>
      <c r="P1129" s="62">
        <f t="shared" si="193"/>
        <v>-0.74073662455571909</v>
      </c>
      <c r="Q1129" s="62">
        <f t="shared" si="194"/>
        <v>1.6499381414519787E-4</v>
      </c>
      <c r="R1129" s="63">
        <f t="shared" si="195"/>
        <v>-1.3173741005826969</v>
      </c>
      <c r="S1129" s="63">
        <f t="shared" si="196"/>
        <v>2.9343571021833378E-4</v>
      </c>
      <c r="T1129" s="63">
        <f t="shared" si="197"/>
        <v>-1.3170806648724787</v>
      </c>
    </row>
    <row r="1130" spans="1:20" x14ac:dyDescent="0.3">
      <c r="A1130" s="18" t="s">
        <v>317</v>
      </c>
      <c r="B1130" s="18" t="s">
        <v>318</v>
      </c>
      <c r="C1130" s="18" t="s">
        <v>282</v>
      </c>
      <c r="D1130" s="18" t="s">
        <v>279</v>
      </c>
      <c r="E1130" s="61">
        <v>2024</v>
      </c>
      <c r="F1130" s="62">
        <v>-83497000</v>
      </c>
      <c r="G1130" s="62">
        <v>283759000</v>
      </c>
      <c r="H1130" s="62">
        <v>468324000</v>
      </c>
      <c r="I1130" s="62">
        <v>509857000</v>
      </c>
      <c r="J1130" s="62">
        <f t="shared" si="187"/>
        <v>-0.17828896234231004</v>
      </c>
      <c r="K1130" s="62">
        <f t="shared" si="188"/>
        <v>0.55654624728110036</v>
      </c>
      <c r="L1130" s="63">
        <f t="shared" si="189"/>
        <v>4.3984334766518556</v>
      </c>
      <c r="M1130" s="63">
        <f t="shared" si="190"/>
        <v>8.8684329652121183E-2</v>
      </c>
      <c r="N1130" s="63">
        <f t="shared" si="191"/>
        <v>4.1215967605024613</v>
      </c>
      <c r="O1130" s="62">
        <f t="shared" si="192"/>
        <v>0.60590317814162842</v>
      </c>
      <c r="P1130" s="62">
        <f t="shared" si="193"/>
        <v>0.78419214048393848</v>
      </c>
      <c r="Q1130" s="62">
        <f t="shared" si="194"/>
        <v>-4.9356930860528059E-2</v>
      </c>
      <c r="R1130" s="63">
        <f t="shared" si="195"/>
        <v>4.3984334766518556</v>
      </c>
      <c r="S1130" s="63">
        <f t="shared" si="196"/>
        <v>-0.27683671614939387</v>
      </c>
      <c r="T1130" s="63">
        <f t="shared" si="197"/>
        <v>4.1215967605024613</v>
      </c>
    </row>
    <row r="1131" spans="1:20" x14ac:dyDescent="0.3">
      <c r="A1131" s="18" t="s">
        <v>319</v>
      </c>
      <c r="B1131" s="18" t="s">
        <v>268</v>
      </c>
      <c r="C1131" s="18" t="s">
        <v>282</v>
      </c>
      <c r="D1131" s="18" t="s">
        <v>279</v>
      </c>
      <c r="E1131" s="61">
        <v>2016</v>
      </c>
      <c r="F1131" s="62">
        <v>-7946000000</v>
      </c>
      <c r="G1131" s="62">
        <v>1779000000</v>
      </c>
      <c r="H1131" s="62">
        <v>771604946</v>
      </c>
      <c r="I1131" s="62">
        <v>953332380</v>
      </c>
      <c r="J1131" s="62">
        <f t="shared" si="187"/>
        <v>-10.298015896855073</v>
      </c>
      <c r="K1131" s="62">
        <f t="shared" si="188"/>
        <v>1.8660857821696983</v>
      </c>
      <c r="L1131" s="63">
        <f t="shared" si="189"/>
        <v>1.2238862320664485</v>
      </c>
      <c r="M1131" s="63">
        <f t="shared" si="190"/>
        <v>0.23551875210504417</v>
      </c>
      <c r="N1131" s="63">
        <f t="shared" si="191"/>
        <v>1.1812082833101456</v>
      </c>
      <c r="O1131" s="62">
        <f t="shared" si="192"/>
        <v>2.305583976907271</v>
      </c>
      <c r="P1131" s="62">
        <f t="shared" si="193"/>
        <v>12.603599873762345</v>
      </c>
      <c r="Q1131" s="62">
        <f t="shared" si="194"/>
        <v>-0.43949819473757268</v>
      </c>
      <c r="R1131" s="63">
        <f t="shared" si="195"/>
        <v>1.2238862320664485</v>
      </c>
      <c r="S1131" s="63">
        <f t="shared" si="196"/>
        <v>-4.2677948756302826E-2</v>
      </c>
      <c r="T1131" s="63">
        <f t="shared" si="197"/>
        <v>1.1812082833101456</v>
      </c>
    </row>
    <row r="1132" spans="1:20" x14ac:dyDescent="0.3">
      <c r="A1132" s="18" t="s">
        <v>319</v>
      </c>
      <c r="B1132" s="18" t="s">
        <v>268</v>
      </c>
      <c r="C1132" s="18" t="s">
        <v>282</v>
      </c>
      <c r="D1132" s="18" t="s">
        <v>279</v>
      </c>
      <c r="E1132" s="61">
        <v>2017</v>
      </c>
      <c r="F1132" s="62">
        <v>1779000000</v>
      </c>
      <c r="G1132" s="62">
        <v>4568000000</v>
      </c>
      <c r="H1132" s="62">
        <v>953332380</v>
      </c>
      <c r="I1132" s="62">
        <v>1020000000</v>
      </c>
      <c r="J1132" s="62">
        <f t="shared" si="187"/>
        <v>1.8660857821696983</v>
      </c>
      <c r="K1132" s="62">
        <f t="shared" si="188"/>
        <v>4.4784313725490197</v>
      </c>
      <c r="L1132" s="63">
        <f t="shared" si="189"/>
        <v>1.567734682405846</v>
      </c>
      <c r="M1132" s="63">
        <f t="shared" si="190"/>
        <v>6.9931139861209787E-2</v>
      </c>
      <c r="N1132" s="63">
        <f t="shared" si="191"/>
        <v>1.3999064862612836</v>
      </c>
      <c r="O1132" s="62">
        <f t="shared" si="192"/>
        <v>4.7916131832215747</v>
      </c>
      <c r="P1132" s="62">
        <f t="shared" si="193"/>
        <v>2.9255274010518764</v>
      </c>
      <c r="Q1132" s="62">
        <f t="shared" si="194"/>
        <v>-0.31318181067255502</v>
      </c>
      <c r="R1132" s="63">
        <f t="shared" si="195"/>
        <v>1.5677346824058458</v>
      </c>
      <c r="S1132" s="63">
        <f t="shared" si="196"/>
        <v>-0.16782819614456226</v>
      </c>
      <c r="T1132" s="63">
        <f t="shared" si="197"/>
        <v>1.3999064862612836</v>
      </c>
    </row>
    <row r="1133" spans="1:20" x14ac:dyDescent="0.3">
      <c r="A1133" s="18" t="s">
        <v>319</v>
      </c>
      <c r="B1133" s="18" t="s">
        <v>268</v>
      </c>
      <c r="C1133" s="18" t="s">
        <v>282</v>
      </c>
      <c r="D1133" s="18" t="s">
        <v>279</v>
      </c>
      <c r="E1133" s="61">
        <v>2018</v>
      </c>
      <c r="F1133" s="62">
        <v>4568000000</v>
      </c>
      <c r="G1133" s="62">
        <v>5149000000</v>
      </c>
      <c r="H1133" s="62">
        <v>1020000000</v>
      </c>
      <c r="I1133" s="62">
        <v>1015000000</v>
      </c>
      <c r="J1133" s="62">
        <f t="shared" si="187"/>
        <v>4.4784313725490197</v>
      </c>
      <c r="K1133" s="62">
        <f t="shared" si="188"/>
        <v>5.0729064039408867</v>
      </c>
      <c r="L1133" s="63">
        <f t="shared" si="189"/>
        <v>0.1271891418563923</v>
      </c>
      <c r="M1133" s="63">
        <f t="shared" si="190"/>
        <v>-4.9019607843137254E-3</v>
      </c>
      <c r="N1133" s="63">
        <f t="shared" si="191"/>
        <v>0.13274179772760603</v>
      </c>
      <c r="O1133" s="62">
        <f t="shared" si="192"/>
        <v>5.0480392156862743</v>
      </c>
      <c r="P1133" s="62">
        <f t="shared" si="193"/>
        <v>0.56960784313725465</v>
      </c>
      <c r="Q1133" s="62">
        <f t="shared" si="194"/>
        <v>2.4867188254612316E-2</v>
      </c>
      <c r="R1133" s="63">
        <f t="shared" si="195"/>
        <v>0.12718914185639224</v>
      </c>
      <c r="S1133" s="63">
        <f t="shared" si="196"/>
        <v>5.5526558712137835E-3</v>
      </c>
      <c r="T1133" s="63">
        <f t="shared" si="197"/>
        <v>0.13274179772760603</v>
      </c>
    </row>
    <row r="1134" spans="1:20" x14ac:dyDescent="0.3">
      <c r="A1134" s="18" t="s">
        <v>319</v>
      </c>
      <c r="B1134" s="18" t="s">
        <v>268</v>
      </c>
      <c r="C1134" s="18" t="s">
        <v>282</v>
      </c>
      <c r="D1134" s="18" t="s">
        <v>279</v>
      </c>
      <c r="E1134" s="61">
        <v>2019</v>
      </c>
      <c r="F1134" s="62">
        <v>5149000000</v>
      </c>
      <c r="G1134" s="62">
        <v>-2391000000</v>
      </c>
      <c r="H1134" s="62">
        <v>1015000000</v>
      </c>
      <c r="I1134" s="62">
        <v>1013000000</v>
      </c>
      <c r="J1134" s="62">
        <f t="shared" si="187"/>
        <v>5.0729064039408867</v>
      </c>
      <c r="K1134" s="62">
        <f t="shared" si="188"/>
        <v>-2.360315893385982</v>
      </c>
      <c r="L1134" s="63">
        <f t="shared" si="189"/>
        <v>-1.4643620120411731</v>
      </c>
      <c r="M1134" s="63">
        <f t="shared" si="190"/>
        <v>-1.9704433497536944E-3</v>
      </c>
      <c r="N1134" s="63">
        <f t="shared" si="191"/>
        <v>-1.4652788175930807</v>
      </c>
      <c r="O1134" s="62">
        <f t="shared" si="192"/>
        <v>-2.3556650246305417</v>
      </c>
      <c r="P1134" s="62">
        <f t="shared" si="193"/>
        <v>-7.4285714285714288</v>
      </c>
      <c r="Q1134" s="62">
        <f t="shared" si="194"/>
        <v>-4.6508687554402961E-3</v>
      </c>
      <c r="R1134" s="63">
        <f t="shared" si="195"/>
        <v>-1.4643620120411731</v>
      </c>
      <c r="S1134" s="63">
        <f t="shared" si="196"/>
        <v>-9.1680555190753554E-4</v>
      </c>
      <c r="T1134" s="63">
        <f t="shared" si="197"/>
        <v>-1.4652788175930807</v>
      </c>
    </row>
    <row r="1135" spans="1:20" x14ac:dyDescent="0.3">
      <c r="A1135" s="18" t="s">
        <v>319</v>
      </c>
      <c r="B1135" s="18" t="s">
        <v>268</v>
      </c>
      <c r="C1135" s="18" t="s">
        <v>282</v>
      </c>
      <c r="D1135" s="18" t="s">
        <v>279</v>
      </c>
      <c r="E1135" s="61">
        <v>2020</v>
      </c>
      <c r="F1135" s="62">
        <v>-2391000000</v>
      </c>
      <c r="G1135" s="62">
        <v>-578000000</v>
      </c>
      <c r="H1135" s="62">
        <v>1013000000</v>
      </c>
      <c r="I1135" s="62">
        <v>1140000000</v>
      </c>
      <c r="J1135" s="62">
        <f t="shared" si="187"/>
        <v>-2.360315893385982</v>
      </c>
      <c r="K1135" s="62">
        <f t="shared" si="188"/>
        <v>-0.50701754385964914</v>
      </c>
      <c r="L1135" s="63">
        <f t="shared" si="189"/>
        <v>0.75826014219991633</v>
      </c>
      <c r="M1135" s="63">
        <f t="shared" si="190"/>
        <v>0.12537018756169793</v>
      </c>
      <c r="N1135" s="63">
        <f t="shared" si="191"/>
        <v>0.78519081056887297</v>
      </c>
      <c r="O1135" s="62">
        <f t="shared" si="192"/>
        <v>-0.57058242843040474</v>
      </c>
      <c r="P1135" s="62">
        <f t="shared" si="193"/>
        <v>1.7897334649555772</v>
      </c>
      <c r="Q1135" s="62">
        <f t="shared" si="194"/>
        <v>6.3564884570755598E-2</v>
      </c>
      <c r="R1135" s="63">
        <f t="shared" si="195"/>
        <v>0.75826014219991633</v>
      </c>
      <c r="S1135" s="63">
        <f t="shared" si="196"/>
        <v>2.6930668368956683E-2</v>
      </c>
      <c r="T1135" s="63">
        <f t="shared" si="197"/>
        <v>0.78519081056887297</v>
      </c>
    </row>
    <row r="1136" spans="1:20" x14ac:dyDescent="0.3">
      <c r="A1136" s="18" t="s">
        <v>319</v>
      </c>
      <c r="B1136" s="18" t="s">
        <v>268</v>
      </c>
      <c r="C1136" s="18" t="s">
        <v>282</v>
      </c>
      <c r="D1136" s="18" t="s">
        <v>279</v>
      </c>
      <c r="E1136" s="61">
        <v>2021</v>
      </c>
      <c r="F1136" s="62">
        <v>-578000000</v>
      </c>
      <c r="G1136" s="62">
        <v>20485000000</v>
      </c>
      <c r="H1136" s="62">
        <v>1140000000</v>
      </c>
      <c r="I1136" s="62">
        <v>1105000000</v>
      </c>
      <c r="J1136" s="62">
        <f t="shared" si="187"/>
        <v>-0.50701754385964914</v>
      </c>
      <c r="K1136" s="62">
        <f t="shared" si="188"/>
        <v>18.53846153846154</v>
      </c>
      <c r="L1136" s="63">
        <f t="shared" si="189"/>
        <v>36.441176470588232</v>
      </c>
      <c r="M1136" s="63">
        <f t="shared" si="190"/>
        <v>-3.0701754385964911E-2</v>
      </c>
      <c r="N1136" s="63">
        <f t="shared" si="191"/>
        <v>37.563747671014113</v>
      </c>
      <c r="O1136" s="62">
        <f t="shared" si="192"/>
        <v>17.969298245614034</v>
      </c>
      <c r="P1136" s="62">
        <f t="shared" si="193"/>
        <v>18.476315789473684</v>
      </c>
      <c r="Q1136" s="62">
        <f t="shared" si="194"/>
        <v>0.56916329284750589</v>
      </c>
      <c r="R1136" s="63">
        <f t="shared" si="195"/>
        <v>36.441176470588232</v>
      </c>
      <c r="S1136" s="63">
        <f t="shared" si="196"/>
        <v>1.1225712004258765</v>
      </c>
      <c r="T1136" s="63">
        <f t="shared" si="197"/>
        <v>37.563747671014106</v>
      </c>
    </row>
    <row r="1137" spans="1:20" x14ac:dyDescent="0.3">
      <c r="A1137" s="18" t="s">
        <v>319</v>
      </c>
      <c r="B1137" s="18" t="s">
        <v>268</v>
      </c>
      <c r="C1137" s="18" t="s">
        <v>282</v>
      </c>
      <c r="D1137" s="18" t="s">
        <v>279</v>
      </c>
      <c r="E1137" s="61">
        <v>2022</v>
      </c>
      <c r="F1137" s="62">
        <v>20485000000</v>
      </c>
      <c r="G1137" s="62">
        <v>9302000000</v>
      </c>
      <c r="H1137" s="62">
        <v>1105000000</v>
      </c>
      <c r="I1137" s="62">
        <v>911000000</v>
      </c>
      <c r="J1137" s="62">
        <f t="shared" si="187"/>
        <v>18.53846153846154</v>
      </c>
      <c r="K1137" s="62">
        <f t="shared" si="188"/>
        <v>10.210757409440175</v>
      </c>
      <c r="L1137" s="63">
        <f t="shared" si="189"/>
        <v>-0.54591164266536485</v>
      </c>
      <c r="M1137" s="63">
        <f t="shared" si="190"/>
        <v>-0.17556561085972849</v>
      </c>
      <c r="N1137" s="63">
        <f t="shared" si="191"/>
        <v>-0.44921225592231423</v>
      </c>
      <c r="O1137" s="62">
        <f t="shared" si="192"/>
        <v>8.4180995475113125</v>
      </c>
      <c r="P1137" s="62">
        <f t="shared" si="193"/>
        <v>-10.120361990950228</v>
      </c>
      <c r="Q1137" s="62">
        <f t="shared" si="194"/>
        <v>1.7926578619288627</v>
      </c>
      <c r="R1137" s="63">
        <f t="shared" si="195"/>
        <v>-0.54591164266536496</v>
      </c>
      <c r="S1137" s="63">
        <f t="shared" si="196"/>
        <v>9.6699386743050675E-2</v>
      </c>
      <c r="T1137" s="63">
        <f t="shared" si="197"/>
        <v>-0.44921225592231429</v>
      </c>
    </row>
    <row r="1138" spans="1:20" x14ac:dyDescent="0.3">
      <c r="A1138" s="18" t="s">
        <v>319</v>
      </c>
      <c r="B1138" s="18" t="s">
        <v>268</v>
      </c>
      <c r="C1138" s="18" t="s">
        <v>282</v>
      </c>
      <c r="D1138" s="18" t="s">
        <v>279</v>
      </c>
      <c r="E1138" s="61">
        <v>2023</v>
      </c>
      <c r="F1138" s="62">
        <v>9302000000</v>
      </c>
      <c r="G1138" s="62">
        <v>919000000</v>
      </c>
      <c r="H1138" s="62">
        <v>911000000</v>
      </c>
      <c r="I1138" s="62">
        <v>842000000</v>
      </c>
      <c r="J1138" s="62">
        <f t="shared" si="187"/>
        <v>10.210757409440175</v>
      </c>
      <c r="K1138" s="62">
        <f t="shared" si="188"/>
        <v>1.0914489311163895</v>
      </c>
      <c r="L1138" s="63">
        <f t="shared" si="189"/>
        <v>-0.90120404214147498</v>
      </c>
      <c r="M1138" s="63">
        <f t="shared" si="190"/>
        <v>-7.5740944017563122E-2</v>
      </c>
      <c r="N1138" s="63">
        <f t="shared" si="191"/>
        <v>-0.89310793633121577</v>
      </c>
      <c r="O1138" s="62">
        <f t="shared" si="192"/>
        <v>1.008781558726674</v>
      </c>
      <c r="P1138" s="62">
        <f t="shared" si="193"/>
        <v>-9.2019758507135005</v>
      </c>
      <c r="Q1138" s="62">
        <f t="shared" si="194"/>
        <v>8.2667372389715554E-2</v>
      </c>
      <c r="R1138" s="63">
        <f t="shared" si="195"/>
        <v>-0.90120404214147487</v>
      </c>
      <c r="S1138" s="63">
        <f t="shared" si="196"/>
        <v>8.0961058102591785E-3</v>
      </c>
      <c r="T1138" s="63">
        <f t="shared" si="197"/>
        <v>-0.89310793633121566</v>
      </c>
    </row>
    <row r="1139" spans="1:20" x14ac:dyDescent="0.3">
      <c r="A1139" s="18" t="s">
        <v>319</v>
      </c>
      <c r="B1139" s="18" t="s">
        <v>268</v>
      </c>
      <c r="C1139" s="18" t="s">
        <v>282</v>
      </c>
      <c r="D1139" s="18" t="s">
        <v>279</v>
      </c>
      <c r="E1139" s="61">
        <v>2024</v>
      </c>
      <c r="F1139" s="62">
        <v>919000000</v>
      </c>
      <c r="G1139" s="62">
        <v>1339000000</v>
      </c>
      <c r="H1139" s="62">
        <v>842000000</v>
      </c>
      <c r="I1139" s="62">
        <v>788000000</v>
      </c>
      <c r="J1139" s="62">
        <f t="shared" si="187"/>
        <v>1.0914489311163895</v>
      </c>
      <c r="K1139" s="62">
        <f t="shared" si="188"/>
        <v>1.6992385786802031</v>
      </c>
      <c r="L1139" s="63">
        <f t="shared" si="189"/>
        <v>0.45701849836779107</v>
      </c>
      <c r="M1139" s="63">
        <f t="shared" si="190"/>
        <v>-6.413301662707839E-2</v>
      </c>
      <c r="N1139" s="63">
        <f t="shared" si="191"/>
        <v>0.55686494368741135</v>
      </c>
      <c r="O1139" s="62">
        <f t="shared" si="192"/>
        <v>1.5902612826603326</v>
      </c>
      <c r="P1139" s="62">
        <f t="shared" si="193"/>
        <v>0.4988123515439431</v>
      </c>
      <c r="Q1139" s="62">
        <f t="shared" si="194"/>
        <v>0.1089772960198705</v>
      </c>
      <c r="R1139" s="63">
        <f t="shared" si="195"/>
        <v>0.45701849836779118</v>
      </c>
      <c r="S1139" s="63">
        <f t="shared" si="196"/>
        <v>9.9846445319620197E-2</v>
      </c>
      <c r="T1139" s="63">
        <f t="shared" si="197"/>
        <v>0.55686494368741135</v>
      </c>
    </row>
    <row r="1140" spans="1:20" x14ac:dyDescent="0.3">
      <c r="A1140" s="18" t="s">
        <v>320</v>
      </c>
      <c r="B1140" s="18" t="s">
        <v>321</v>
      </c>
      <c r="C1140" s="18" t="s">
        <v>282</v>
      </c>
      <c r="D1140" s="18" t="s">
        <v>279</v>
      </c>
      <c r="E1140" s="61">
        <v>2016</v>
      </c>
      <c r="F1140" s="62">
        <v>708441000</v>
      </c>
      <c r="G1140" s="62">
        <v>710432000</v>
      </c>
      <c r="H1140" s="62">
        <v>4963202362</v>
      </c>
      <c r="I1140" s="62">
        <v>5534330239</v>
      </c>
      <c r="J1140" s="62">
        <f t="shared" si="187"/>
        <v>0.14273868932366535</v>
      </c>
      <c r="K1140" s="62">
        <f t="shared" si="188"/>
        <v>0.12836819801493599</v>
      </c>
      <c r="L1140" s="63">
        <f t="shared" si="189"/>
        <v>2.8103963491666914E-3</v>
      </c>
      <c r="M1140" s="63">
        <f t="shared" si="190"/>
        <v>0.11507245430344595</v>
      </c>
      <c r="N1140" s="63">
        <f t="shared" si="191"/>
        <v>-0.10067691791777443</v>
      </c>
      <c r="O1140" s="62">
        <f t="shared" si="192"/>
        <v>0.14313984161502541</v>
      </c>
      <c r="P1140" s="62">
        <f t="shared" si="193"/>
        <v>4.0115229136006292E-4</v>
      </c>
      <c r="Q1140" s="62">
        <f t="shared" si="194"/>
        <v>-1.4771643600089424E-2</v>
      </c>
      <c r="R1140" s="63">
        <f t="shared" si="195"/>
        <v>2.810396349166658E-3</v>
      </c>
      <c r="S1140" s="63">
        <f t="shared" si="196"/>
        <v>-0.10348731426694108</v>
      </c>
      <c r="T1140" s="63">
        <f t="shared" si="197"/>
        <v>-0.10067691791777442</v>
      </c>
    </row>
    <row r="1141" spans="1:20" x14ac:dyDescent="0.3">
      <c r="A1141" s="18" t="s">
        <v>320</v>
      </c>
      <c r="B1141" s="18" t="s">
        <v>321</v>
      </c>
      <c r="C1141" s="18" t="s">
        <v>282</v>
      </c>
      <c r="D1141" s="18" t="s">
        <v>279</v>
      </c>
      <c r="E1141" s="61">
        <v>2017</v>
      </c>
      <c r="F1141" s="62">
        <v>710432000</v>
      </c>
      <c r="G1141" s="62">
        <v>801466000</v>
      </c>
      <c r="H1141" s="62">
        <v>5534330239</v>
      </c>
      <c r="I1141" s="62">
        <v>5654165701</v>
      </c>
      <c r="J1141" s="62">
        <f t="shared" si="187"/>
        <v>0.12836819801493599</v>
      </c>
      <c r="K1141" s="62">
        <f t="shared" si="188"/>
        <v>0.14174787977265188</v>
      </c>
      <c r="L1141" s="63">
        <f t="shared" si="189"/>
        <v>0.12813893518309985</v>
      </c>
      <c r="M1141" s="63">
        <f t="shared" si="190"/>
        <v>2.1653110100934837E-2</v>
      </c>
      <c r="N1141" s="63">
        <f t="shared" si="191"/>
        <v>0.10422894427605139</v>
      </c>
      <c r="O1141" s="62">
        <f t="shared" si="192"/>
        <v>0.1448171622199432</v>
      </c>
      <c r="P1141" s="62">
        <f t="shared" si="193"/>
        <v>1.6448964205007216E-2</v>
      </c>
      <c r="Q1141" s="62">
        <f t="shared" si="194"/>
        <v>-3.0692824472913216E-3</v>
      </c>
      <c r="R1141" s="63">
        <f t="shared" si="195"/>
        <v>0.12813893518309991</v>
      </c>
      <c r="S1141" s="63">
        <f t="shared" si="196"/>
        <v>-2.3909990907048508E-2</v>
      </c>
      <c r="T1141" s="63">
        <f t="shared" si="197"/>
        <v>0.10422894427605139</v>
      </c>
    </row>
    <row r="1142" spans="1:20" x14ac:dyDescent="0.3">
      <c r="A1142" s="18" t="s">
        <v>320</v>
      </c>
      <c r="B1142" s="18" t="s">
        <v>321</v>
      </c>
      <c r="C1142" s="18" t="s">
        <v>282</v>
      </c>
      <c r="D1142" s="18" t="s">
        <v>279</v>
      </c>
      <c r="E1142" s="61">
        <v>2018</v>
      </c>
      <c r="F1142" s="62">
        <v>801466000</v>
      </c>
      <c r="G1142" s="62">
        <v>328102000</v>
      </c>
      <c r="H1142" s="62">
        <v>5654165701</v>
      </c>
      <c r="I1142" s="62">
        <v>5648773279</v>
      </c>
      <c r="J1142" s="62">
        <f t="shared" si="187"/>
        <v>0.14174787977265188</v>
      </c>
      <c r="K1142" s="62">
        <f t="shared" si="188"/>
        <v>5.8083761516816226E-2</v>
      </c>
      <c r="L1142" s="63">
        <f t="shared" si="189"/>
        <v>-0.59062268393169515</v>
      </c>
      <c r="M1142" s="63">
        <f t="shared" si="190"/>
        <v>-9.5370781210856489E-4</v>
      </c>
      <c r="N1142" s="63">
        <f t="shared" si="191"/>
        <v>-0.59023188487915135</v>
      </c>
      <c r="O1142" s="62">
        <f t="shared" si="192"/>
        <v>5.8028366579700986E-2</v>
      </c>
      <c r="P1142" s="62">
        <f t="shared" si="193"/>
        <v>-8.3719513192950901E-2</v>
      </c>
      <c r="Q1142" s="62">
        <f t="shared" si="194"/>
        <v>5.5394937115239851E-5</v>
      </c>
      <c r="R1142" s="63">
        <f t="shared" si="195"/>
        <v>-0.59062268393169515</v>
      </c>
      <c r="S1142" s="63">
        <f t="shared" si="196"/>
        <v>3.9079905254376491E-4</v>
      </c>
      <c r="T1142" s="63">
        <f t="shared" si="197"/>
        <v>-0.59023188487915135</v>
      </c>
    </row>
    <row r="1143" spans="1:20" x14ac:dyDescent="0.3">
      <c r="A1143" s="18" t="s">
        <v>320</v>
      </c>
      <c r="B1143" s="18" t="s">
        <v>321</v>
      </c>
      <c r="C1143" s="18" t="s">
        <v>282</v>
      </c>
      <c r="D1143" s="18" t="s">
        <v>279</v>
      </c>
      <c r="E1143" s="61">
        <v>2019</v>
      </c>
      <c r="F1143" s="62">
        <v>328102000</v>
      </c>
      <c r="G1143" s="62">
        <v>767822000</v>
      </c>
      <c r="H1143" s="62">
        <v>5648773279</v>
      </c>
      <c r="I1143" s="62">
        <v>5538122771</v>
      </c>
      <c r="J1143" s="62">
        <f t="shared" si="187"/>
        <v>5.8083761516816226E-2</v>
      </c>
      <c r="K1143" s="62">
        <f t="shared" si="188"/>
        <v>0.13864300806414898</v>
      </c>
      <c r="L1143" s="63">
        <f t="shared" si="189"/>
        <v>1.3401929887656887</v>
      </c>
      <c r="M1143" s="63">
        <f t="shared" si="190"/>
        <v>-1.9588413720082676E-2</v>
      </c>
      <c r="N1143" s="63">
        <f t="shared" si="191"/>
        <v>1.3869495439617747</v>
      </c>
      <c r="O1143" s="62">
        <f t="shared" si="192"/>
        <v>0.13592721146279166</v>
      </c>
      <c r="P1143" s="62">
        <f t="shared" si="193"/>
        <v>7.7843449945975432E-2</v>
      </c>
      <c r="Q1143" s="62">
        <f t="shared" si="194"/>
        <v>2.7157966013573176E-3</v>
      </c>
      <c r="R1143" s="63">
        <f t="shared" si="195"/>
        <v>1.3401929887656887</v>
      </c>
      <c r="S1143" s="63">
        <f t="shared" si="196"/>
        <v>4.6756555196086069E-2</v>
      </c>
      <c r="T1143" s="63">
        <f t="shared" si="197"/>
        <v>1.3869495439617747</v>
      </c>
    </row>
    <row r="1144" spans="1:20" x14ac:dyDescent="0.3">
      <c r="A1144" s="18" t="s">
        <v>320</v>
      </c>
      <c r="B1144" s="18" t="s">
        <v>321</v>
      </c>
      <c r="C1144" s="18" t="s">
        <v>282</v>
      </c>
      <c r="D1144" s="18" t="s">
        <v>279</v>
      </c>
      <c r="E1144" s="61">
        <v>2020</v>
      </c>
      <c r="F1144" s="62">
        <v>767822000</v>
      </c>
      <c r="G1144" s="62">
        <v>2002000</v>
      </c>
      <c r="H1144" s="62">
        <v>5538122771</v>
      </c>
      <c r="I1144" s="62">
        <v>5582484318</v>
      </c>
      <c r="J1144" s="62">
        <f t="shared" si="187"/>
        <v>0.13864300806414898</v>
      </c>
      <c r="K1144" s="62">
        <f t="shared" si="188"/>
        <v>3.5862169707218155E-4</v>
      </c>
      <c r="L1144" s="63">
        <f t="shared" si="189"/>
        <v>-0.99739262485315605</v>
      </c>
      <c r="M1144" s="63">
        <f t="shared" si="190"/>
        <v>8.0102137194025744E-3</v>
      </c>
      <c r="N1144" s="63">
        <f t="shared" si="191"/>
        <v>-0.99741334451639818</v>
      </c>
      <c r="O1144" s="62">
        <f t="shared" si="192"/>
        <v>3.614943335101446E-4</v>
      </c>
      <c r="P1144" s="62">
        <f t="shared" si="193"/>
        <v>-0.13828151373063882</v>
      </c>
      <c r="Q1144" s="62">
        <f t="shared" si="194"/>
        <v>-2.8726364379630495E-6</v>
      </c>
      <c r="R1144" s="63">
        <f t="shared" si="195"/>
        <v>-0.99739262485315605</v>
      </c>
      <c r="S1144" s="63">
        <f t="shared" si="196"/>
        <v>-2.0719663242115348E-5</v>
      </c>
      <c r="T1144" s="63">
        <f t="shared" si="197"/>
        <v>-0.99741334451639818</v>
      </c>
    </row>
    <row r="1145" spans="1:20" x14ac:dyDescent="0.3">
      <c r="A1145" s="18" t="s">
        <v>320</v>
      </c>
      <c r="B1145" s="18" t="s">
        <v>321</v>
      </c>
      <c r="C1145" s="18" t="s">
        <v>282</v>
      </c>
      <c r="D1145" s="18" t="s">
        <v>279</v>
      </c>
      <c r="E1145" s="61">
        <v>2021</v>
      </c>
      <c r="F1145" s="62">
        <v>2002000</v>
      </c>
      <c r="G1145" s="62">
        <v>530238000</v>
      </c>
      <c r="H1145" s="62">
        <v>5582484318</v>
      </c>
      <c r="I1145" s="62">
        <v>5586444414</v>
      </c>
      <c r="J1145" s="62">
        <f t="shared" si="187"/>
        <v>3.5862169707218155E-4</v>
      </c>
      <c r="K1145" s="62">
        <f t="shared" si="188"/>
        <v>9.4915112494664486E-2</v>
      </c>
      <c r="L1145" s="63">
        <f t="shared" si="189"/>
        <v>263.85414585414583</v>
      </c>
      <c r="M1145" s="63">
        <f t="shared" si="190"/>
        <v>7.0937879524912977E-4</v>
      </c>
      <c r="N1145" s="63">
        <f t="shared" si="191"/>
        <v>263.66639712421096</v>
      </c>
      <c r="O1145" s="62">
        <f t="shared" si="192"/>
        <v>9.4982443262816879E-2</v>
      </c>
      <c r="P1145" s="62">
        <f t="shared" si="193"/>
        <v>9.4623821565744698E-2</v>
      </c>
      <c r="Q1145" s="62">
        <f t="shared" si="194"/>
        <v>-6.733076815239325E-5</v>
      </c>
      <c r="R1145" s="63">
        <f t="shared" si="195"/>
        <v>263.85414585414583</v>
      </c>
      <c r="S1145" s="63">
        <f t="shared" si="196"/>
        <v>-0.1877487299348797</v>
      </c>
      <c r="T1145" s="63">
        <f t="shared" si="197"/>
        <v>263.66639712421096</v>
      </c>
    </row>
    <row r="1146" spans="1:20" x14ac:dyDescent="0.3">
      <c r="A1146" s="18" t="s">
        <v>320</v>
      </c>
      <c r="B1146" s="18" t="s">
        <v>321</v>
      </c>
      <c r="C1146" s="18" t="s">
        <v>282</v>
      </c>
      <c r="D1146" s="18" t="s">
        <v>279</v>
      </c>
      <c r="E1146" s="61">
        <v>2022</v>
      </c>
      <c r="F1146" s="62">
        <v>530238000</v>
      </c>
      <c r="G1146" s="62">
        <v>889392000</v>
      </c>
      <c r="H1146" s="62">
        <v>5586444414</v>
      </c>
      <c r="I1146" s="62">
        <v>5593885977</v>
      </c>
      <c r="J1146" s="62">
        <f t="shared" si="187"/>
        <v>9.4915112494664486E-2</v>
      </c>
      <c r="K1146" s="62">
        <f t="shared" si="188"/>
        <v>0.1589935875805929</v>
      </c>
      <c r="L1146" s="63">
        <f t="shared" si="189"/>
        <v>0.67734489040770374</v>
      </c>
      <c r="M1146" s="63">
        <f t="shared" si="190"/>
        <v>1.332075010242821E-3</v>
      </c>
      <c r="N1146" s="63">
        <f t="shared" si="191"/>
        <v>0.67511351355697435</v>
      </c>
      <c r="O1146" s="62">
        <f t="shared" si="192"/>
        <v>0.15920537896539785</v>
      </c>
      <c r="P1146" s="62">
        <f t="shared" si="193"/>
        <v>6.4290266470733368E-2</v>
      </c>
      <c r="Q1146" s="62">
        <f t="shared" si="194"/>
        <v>-2.1179138480495463E-4</v>
      </c>
      <c r="R1146" s="63">
        <f t="shared" si="195"/>
        <v>0.67734489040770351</v>
      </c>
      <c r="S1146" s="63">
        <f t="shared" si="196"/>
        <v>-2.231376850729226E-3</v>
      </c>
      <c r="T1146" s="63">
        <f t="shared" si="197"/>
        <v>0.67511351355697424</v>
      </c>
    </row>
    <row r="1147" spans="1:20" x14ac:dyDescent="0.3">
      <c r="A1147" s="18" t="s">
        <v>320</v>
      </c>
      <c r="B1147" s="18" t="s">
        <v>321</v>
      </c>
      <c r="C1147" s="18" t="s">
        <v>282</v>
      </c>
      <c r="D1147" s="18" t="s">
        <v>279</v>
      </c>
      <c r="E1147" s="61">
        <v>2023</v>
      </c>
      <c r="F1147" s="62">
        <v>889392000</v>
      </c>
      <c r="G1147" s="62">
        <v>1332000000</v>
      </c>
      <c r="H1147" s="62">
        <v>5593885977</v>
      </c>
      <c r="I1147" s="62">
        <v>5401000000</v>
      </c>
      <c r="J1147" s="62">
        <f t="shared" si="187"/>
        <v>0.1589935875805929</v>
      </c>
      <c r="K1147" s="62">
        <f t="shared" si="188"/>
        <v>0.24662099611183114</v>
      </c>
      <c r="L1147" s="63">
        <f t="shared" si="189"/>
        <v>0.49765232878190946</v>
      </c>
      <c r="M1147" s="63">
        <f t="shared" si="190"/>
        <v>-3.4481571092631516E-2</v>
      </c>
      <c r="N1147" s="63">
        <f t="shared" si="191"/>
        <v>0.55113800414636493</v>
      </c>
      <c r="O1147" s="62">
        <f t="shared" si="192"/>
        <v>0.23811711670146543</v>
      </c>
      <c r="P1147" s="62">
        <f t="shared" si="193"/>
        <v>7.9123529120872532E-2</v>
      </c>
      <c r="Q1147" s="62">
        <f t="shared" si="194"/>
        <v>8.5038794103657056E-3</v>
      </c>
      <c r="R1147" s="63">
        <f t="shared" si="195"/>
        <v>0.49765232878190946</v>
      </c>
      <c r="S1147" s="63">
        <f t="shared" si="196"/>
        <v>5.3485675364455434E-2</v>
      </c>
      <c r="T1147" s="63">
        <f t="shared" si="197"/>
        <v>0.55113800414636493</v>
      </c>
    </row>
    <row r="1148" spans="1:20" x14ac:dyDescent="0.3">
      <c r="A1148" s="18" t="s">
        <v>320</v>
      </c>
      <c r="B1148" s="18" t="s">
        <v>321</v>
      </c>
      <c r="C1148" s="18" t="s">
        <v>282</v>
      </c>
      <c r="D1148" s="18" t="s">
        <v>279</v>
      </c>
      <c r="E1148" s="61">
        <v>2024</v>
      </c>
      <c r="F1148" s="62">
        <v>1332000000</v>
      </c>
      <c r="G1148" s="62">
        <v>1827000000</v>
      </c>
      <c r="H1148" s="62">
        <v>5401000000</v>
      </c>
      <c r="I1148" s="62">
        <v>5376450440</v>
      </c>
      <c r="J1148" s="62">
        <f t="shared" si="187"/>
        <v>0.24662099611183114</v>
      </c>
      <c r="K1148" s="62">
        <f t="shared" si="188"/>
        <v>0.33981527782854443</v>
      </c>
      <c r="L1148" s="63">
        <f t="shared" si="189"/>
        <v>0.3716216216216216</v>
      </c>
      <c r="M1148" s="63">
        <f t="shared" si="190"/>
        <v>-4.5453730790594336E-3</v>
      </c>
      <c r="N1148" s="63">
        <f t="shared" si="191"/>
        <v>0.37788462128526162</v>
      </c>
      <c r="O1148" s="62">
        <f t="shared" si="192"/>
        <v>0.33827069061284948</v>
      </c>
      <c r="P1148" s="62">
        <f t="shared" si="193"/>
        <v>9.1649694501018342E-2</v>
      </c>
      <c r="Q1148" s="62">
        <f t="shared" si="194"/>
        <v>1.5445872156949481E-3</v>
      </c>
      <c r="R1148" s="63">
        <f t="shared" si="195"/>
        <v>0.37162162162162166</v>
      </c>
      <c r="S1148" s="63">
        <f t="shared" si="196"/>
        <v>6.2629996636399511E-3</v>
      </c>
      <c r="T1148" s="63">
        <f t="shared" si="197"/>
        <v>0.37788462128526162</v>
      </c>
    </row>
    <row r="1149" spans="1:20" x14ac:dyDescent="0.3">
      <c r="A1149" s="18" t="s">
        <v>322</v>
      </c>
      <c r="B1149" s="18" t="s">
        <v>323</v>
      </c>
      <c r="C1149" s="18" t="s">
        <v>282</v>
      </c>
      <c r="D1149" s="18" t="s">
        <v>279</v>
      </c>
      <c r="E1149" s="61">
        <v>2016</v>
      </c>
      <c r="F1149" s="62">
        <v>1502000000</v>
      </c>
      <c r="G1149" s="62">
        <v>1347000000</v>
      </c>
      <c r="H1149" s="62">
        <v>1001689341</v>
      </c>
      <c r="I1149" s="62">
        <v>1000468342</v>
      </c>
      <c r="J1149" s="62">
        <f t="shared" si="187"/>
        <v>1.4994668891060907</v>
      </c>
      <c r="K1149" s="62">
        <f t="shared" si="188"/>
        <v>1.3463694386443663</v>
      </c>
      <c r="L1149" s="63">
        <f t="shared" si="189"/>
        <v>-0.10319573901464714</v>
      </c>
      <c r="M1149" s="63">
        <f t="shared" si="190"/>
        <v>-1.2189397950277282E-3</v>
      </c>
      <c r="N1149" s="63">
        <f t="shared" si="191"/>
        <v>-0.1021012545018541</v>
      </c>
      <c r="O1149" s="62">
        <f t="shared" si="192"/>
        <v>1.3447282953567936</v>
      </c>
      <c r="P1149" s="62">
        <f t="shared" si="193"/>
        <v>-0.1547385937492971</v>
      </c>
      <c r="Q1149" s="62">
        <f t="shared" si="194"/>
        <v>1.6411432875726994E-3</v>
      </c>
      <c r="R1149" s="63">
        <f t="shared" si="195"/>
        <v>-0.10319573901464722</v>
      </c>
      <c r="S1149" s="63">
        <f t="shared" si="196"/>
        <v>1.094484512793123E-3</v>
      </c>
      <c r="T1149" s="63">
        <f t="shared" si="197"/>
        <v>-0.1021012545018541</v>
      </c>
    </row>
    <row r="1150" spans="1:20" x14ac:dyDescent="0.3">
      <c r="A1150" s="18" t="s">
        <v>322</v>
      </c>
      <c r="B1150" s="18" t="s">
        <v>323</v>
      </c>
      <c r="C1150" s="18" t="s">
        <v>282</v>
      </c>
      <c r="D1150" s="18" t="s">
        <v>279</v>
      </c>
      <c r="E1150" s="61">
        <v>2017</v>
      </c>
      <c r="F1150" s="62">
        <v>1347000000</v>
      </c>
      <c r="G1150" s="62">
        <v>1360000000</v>
      </c>
      <c r="H1150" s="62">
        <v>1000468342</v>
      </c>
      <c r="I1150" s="62">
        <v>1000478210</v>
      </c>
      <c r="J1150" s="62">
        <f t="shared" si="187"/>
        <v>1.3463694386443663</v>
      </c>
      <c r="K1150" s="62">
        <f t="shared" si="188"/>
        <v>1.3593499452626758</v>
      </c>
      <c r="L1150" s="63">
        <f t="shared" si="189"/>
        <v>9.6510764662212315E-3</v>
      </c>
      <c r="M1150" s="63">
        <f t="shared" si="190"/>
        <v>9.8633805646196043E-6</v>
      </c>
      <c r="N1150" s="63">
        <f t="shared" si="191"/>
        <v>9.6411179916407949E-3</v>
      </c>
      <c r="O1150" s="62">
        <f t="shared" si="192"/>
        <v>1.3593633530485065</v>
      </c>
      <c r="P1150" s="62">
        <f t="shared" si="193"/>
        <v>1.2993914404140217E-2</v>
      </c>
      <c r="Q1150" s="62">
        <f t="shared" si="194"/>
        <v>-1.3407785830699126E-5</v>
      </c>
      <c r="R1150" s="63">
        <f t="shared" si="195"/>
        <v>9.6510764662212922E-3</v>
      </c>
      <c r="S1150" s="63">
        <f t="shared" si="196"/>
        <v>-9.9584745804978827E-6</v>
      </c>
      <c r="T1150" s="63">
        <f t="shared" si="197"/>
        <v>9.6411179916407949E-3</v>
      </c>
    </row>
    <row r="1151" spans="1:20" x14ac:dyDescent="0.3">
      <c r="A1151" s="18" t="s">
        <v>322</v>
      </c>
      <c r="B1151" s="18" t="s">
        <v>323</v>
      </c>
      <c r="C1151" s="18" t="s">
        <v>282</v>
      </c>
      <c r="D1151" s="18" t="s">
        <v>279</v>
      </c>
      <c r="E1151" s="61">
        <v>2018</v>
      </c>
      <c r="F1151" s="62">
        <v>1360000000</v>
      </c>
      <c r="G1151" s="62">
        <v>-2822000000</v>
      </c>
      <c r="H1151" s="62">
        <v>1000478210</v>
      </c>
      <c r="I1151" s="62">
        <v>997663816</v>
      </c>
      <c r="J1151" s="62">
        <f t="shared" si="187"/>
        <v>1.3593499452626758</v>
      </c>
      <c r="K1151" s="62">
        <f t="shared" si="188"/>
        <v>-2.8286081491001975</v>
      </c>
      <c r="L1151" s="63">
        <f t="shared" si="189"/>
        <v>-3.0750000000000002</v>
      </c>
      <c r="M1151" s="63">
        <f t="shared" si="190"/>
        <v>-2.8130487719467672E-3</v>
      </c>
      <c r="N1151" s="63">
        <f t="shared" si="191"/>
        <v>-3.0808535425023371</v>
      </c>
      <c r="O1151" s="62">
        <f t="shared" si="192"/>
        <v>-2.8206511364200524</v>
      </c>
      <c r="P1151" s="62">
        <f t="shared" si="193"/>
        <v>-4.180001081682728</v>
      </c>
      <c r="Q1151" s="62">
        <f t="shared" si="194"/>
        <v>-7.957012680145148E-3</v>
      </c>
      <c r="R1151" s="63">
        <f t="shared" si="195"/>
        <v>-3.0749999999999997</v>
      </c>
      <c r="S1151" s="63">
        <f t="shared" si="196"/>
        <v>-5.8535425023374414E-3</v>
      </c>
      <c r="T1151" s="63">
        <f t="shared" si="197"/>
        <v>-3.0808535425023371</v>
      </c>
    </row>
    <row r="1152" spans="1:20" x14ac:dyDescent="0.3">
      <c r="A1152" s="18" t="s">
        <v>322</v>
      </c>
      <c r="B1152" s="18" t="s">
        <v>323</v>
      </c>
      <c r="C1152" s="18" t="s">
        <v>282</v>
      </c>
      <c r="D1152" s="18" t="s">
        <v>279</v>
      </c>
      <c r="E1152" s="61">
        <v>2019</v>
      </c>
      <c r="F1152" s="62">
        <v>-2822000000</v>
      </c>
      <c r="G1152" s="62">
        <v>1401000000</v>
      </c>
      <c r="H1152" s="62">
        <v>997663816</v>
      </c>
      <c r="I1152" s="62">
        <v>977636309</v>
      </c>
      <c r="J1152" s="62">
        <f t="shared" si="187"/>
        <v>-2.8286081491001975</v>
      </c>
      <c r="K1152" s="62">
        <f t="shared" si="188"/>
        <v>1.433048248211084</v>
      </c>
      <c r="L1152" s="63">
        <f t="shared" si="189"/>
        <v>1.4964564138908576</v>
      </c>
      <c r="M1152" s="63">
        <f t="shared" si="190"/>
        <v>-2.0074404502608521E-2</v>
      </c>
      <c r="N1152" s="63">
        <f t="shared" si="191"/>
        <v>1.5066266420348635</v>
      </c>
      <c r="O1152" s="62">
        <f t="shared" si="192"/>
        <v>1.4042806580047402</v>
      </c>
      <c r="P1152" s="62">
        <f t="shared" si="193"/>
        <v>4.2328888071049375</v>
      </c>
      <c r="Q1152" s="62">
        <f t="shared" si="194"/>
        <v>2.8767590206343785E-2</v>
      </c>
      <c r="R1152" s="63">
        <f t="shared" si="195"/>
        <v>1.4964564138908576</v>
      </c>
      <c r="S1152" s="63">
        <f t="shared" si="196"/>
        <v>1.0170228144006083E-2</v>
      </c>
      <c r="T1152" s="63">
        <f t="shared" si="197"/>
        <v>1.5066266420348637</v>
      </c>
    </row>
    <row r="1153" spans="1:20" x14ac:dyDescent="0.3">
      <c r="A1153" s="18" t="s">
        <v>322</v>
      </c>
      <c r="B1153" s="18" t="s">
        <v>323</v>
      </c>
      <c r="C1153" s="18" t="s">
        <v>282</v>
      </c>
      <c r="D1153" s="18" t="s">
        <v>279</v>
      </c>
      <c r="E1153" s="61">
        <v>2020</v>
      </c>
      <c r="F1153" s="62">
        <v>1401000000</v>
      </c>
      <c r="G1153" s="62">
        <v>-55000000</v>
      </c>
      <c r="H1153" s="62">
        <v>977636309</v>
      </c>
      <c r="I1153" s="62">
        <v>962554727</v>
      </c>
      <c r="J1153" s="62">
        <f t="shared" si="187"/>
        <v>1.433048248211084</v>
      </c>
      <c r="K1153" s="62">
        <f t="shared" si="188"/>
        <v>-5.71396082292576E-2</v>
      </c>
      <c r="L1153" s="63">
        <f t="shared" si="189"/>
        <v>-1.0392576730906495</v>
      </c>
      <c r="M1153" s="63">
        <f t="shared" si="190"/>
        <v>-1.5426577205818569E-2</v>
      </c>
      <c r="N1153" s="63">
        <f t="shared" si="191"/>
        <v>-1.0398727735096056</v>
      </c>
      <c r="O1153" s="62">
        <f t="shared" si="192"/>
        <v>-5.6258139651398732E-2</v>
      </c>
      <c r="P1153" s="62">
        <f t="shared" si="193"/>
        <v>-1.4893063878624828</v>
      </c>
      <c r="Q1153" s="62">
        <f t="shared" si="194"/>
        <v>-8.8146857785886823E-4</v>
      </c>
      <c r="R1153" s="63">
        <f t="shared" si="195"/>
        <v>-1.0392576730906495</v>
      </c>
      <c r="S1153" s="63">
        <f t="shared" si="196"/>
        <v>-6.1510041895604785E-4</v>
      </c>
      <c r="T1153" s="63">
        <f t="shared" si="197"/>
        <v>-1.0398727735096056</v>
      </c>
    </row>
    <row r="1154" spans="1:20" x14ac:dyDescent="0.3">
      <c r="A1154" s="18" t="s">
        <v>322</v>
      </c>
      <c r="B1154" s="18" t="s">
        <v>323</v>
      </c>
      <c r="C1154" s="18" t="s">
        <v>282</v>
      </c>
      <c r="D1154" s="18" t="s">
        <v>279</v>
      </c>
      <c r="E1154" s="61">
        <v>2021</v>
      </c>
      <c r="F1154" s="62">
        <v>-55000000</v>
      </c>
      <c r="G1154" s="62">
        <v>1214000000</v>
      </c>
      <c r="H1154" s="62">
        <v>962554727</v>
      </c>
      <c r="I1154" s="62">
        <v>960934956</v>
      </c>
      <c r="J1154" s="62">
        <f t="shared" si="187"/>
        <v>-5.71396082292576E-2</v>
      </c>
      <c r="K1154" s="62">
        <f t="shared" si="188"/>
        <v>1.2633529381149915</v>
      </c>
      <c r="L1154" s="63">
        <f t="shared" si="189"/>
        <v>23.072727272727274</v>
      </c>
      <c r="M1154" s="63">
        <f t="shared" si="190"/>
        <v>-1.68278327929296E-3</v>
      </c>
      <c r="N1154" s="63">
        <f t="shared" si="191"/>
        <v>23.109933499125884</v>
      </c>
      <c r="O1154" s="62">
        <f t="shared" si="192"/>
        <v>1.2612269889148859</v>
      </c>
      <c r="P1154" s="62">
        <f t="shared" si="193"/>
        <v>1.3183665971441436</v>
      </c>
      <c r="Q1154" s="62">
        <f t="shared" si="194"/>
        <v>2.1259492001055591E-3</v>
      </c>
      <c r="R1154" s="63">
        <f t="shared" si="195"/>
        <v>23.072727272727274</v>
      </c>
      <c r="S1154" s="63">
        <f t="shared" si="196"/>
        <v>3.7206226398608634E-2</v>
      </c>
      <c r="T1154" s="63">
        <f t="shared" si="197"/>
        <v>23.109933499125884</v>
      </c>
    </row>
    <row r="1155" spans="1:20" x14ac:dyDescent="0.3">
      <c r="A1155" s="18" t="s">
        <v>322</v>
      </c>
      <c r="B1155" s="18" t="s">
        <v>323</v>
      </c>
      <c r="C1155" s="18" t="s">
        <v>282</v>
      </c>
      <c r="D1155" s="18" t="s">
        <v>279</v>
      </c>
      <c r="E1155" s="61">
        <v>2022</v>
      </c>
      <c r="F1155" s="62">
        <v>1214000000</v>
      </c>
      <c r="G1155" s="62">
        <v>1649000000</v>
      </c>
      <c r="H1155" s="62">
        <v>960934956</v>
      </c>
      <c r="I1155" s="62">
        <v>960908336</v>
      </c>
      <c r="J1155" s="62">
        <f t="shared" si="187"/>
        <v>1.2633529381149915</v>
      </c>
      <c r="K1155" s="62">
        <f t="shared" si="188"/>
        <v>1.716084602683684</v>
      </c>
      <c r="L1155" s="63">
        <f t="shared" si="189"/>
        <v>0.35831960461285006</v>
      </c>
      <c r="M1155" s="63">
        <f t="shared" si="190"/>
        <v>-2.7702187160313899E-5</v>
      </c>
      <c r="N1155" s="63">
        <f t="shared" si="191"/>
        <v>0.35835723407917897</v>
      </c>
      <c r="O1155" s="62">
        <f t="shared" si="192"/>
        <v>1.7160370633868376</v>
      </c>
      <c r="P1155" s="62">
        <f t="shared" si="193"/>
        <v>0.45268412527184609</v>
      </c>
      <c r="Q1155" s="62">
        <f t="shared" si="194"/>
        <v>4.7539296846421664E-5</v>
      </c>
      <c r="R1155" s="63">
        <f t="shared" si="195"/>
        <v>0.35831960461285001</v>
      </c>
      <c r="S1155" s="63">
        <f t="shared" si="196"/>
        <v>3.7629466328984462E-5</v>
      </c>
      <c r="T1155" s="63">
        <f t="shared" si="197"/>
        <v>0.35835723407917897</v>
      </c>
    </row>
    <row r="1156" spans="1:20" x14ac:dyDescent="0.3">
      <c r="A1156" s="18" t="s">
        <v>322</v>
      </c>
      <c r="B1156" s="18" t="s">
        <v>323</v>
      </c>
      <c r="C1156" s="18" t="s">
        <v>282</v>
      </c>
      <c r="D1156" s="18" t="s">
        <v>279</v>
      </c>
      <c r="E1156" s="61">
        <v>2023</v>
      </c>
      <c r="F1156" s="62">
        <v>1649000000</v>
      </c>
      <c r="G1156" s="62">
        <v>1986000000</v>
      </c>
      <c r="H1156" s="62">
        <v>960908336</v>
      </c>
      <c r="I1156" s="62">
        <v>960734206</v>
      </c>
      <c r="J1156" s="62">
        <f t="shared" si="187"/>
        <v>1.716084602683684</v>
      </c>
      <c r="K1156" s="62">
        <f t="shared" si="188"/>
        <v>2.0671690334298352</v>
      </c>
      <c r="L1156" s="63">
        <f t="shared" si="189"/>
        <v>0.20436628259551243</v>
      </c>
      <c r="M1156" s="63">
        <f t="shared" si="190"/>
        <v>-1.8121395504263791E-4</v>
      </c>
      <c r="N1156" s="63">
        <f t="shared" si="191"/>
        <v>0.20458457012964909</v>
      </c>
      <c r="O1156" s="62">
        <f t="shared" si="192"/>
        <v>2.0667944335535453</v>
      </c>
      <c r="P1156" s="62">
        <f t="shared" si="193"/>
        <v>0.35070983086986129</v>
      </c>
      <c r="Q1156" s="62">
        <f t="shared" si="194"/>
        <v>3.7459987628984948E-4</v>
      </c>
      <c r="R1156" s="63">
        <f t="shared" si="195"/>
        <v>0.20436628259551234</v>
      </c>
      <c r="S1156" s="63">
        <f t="shared" si="196"/>
        <v>2.1828753413674051E-4</v>
      </c>
      <c r="T1156" s="63">
        <f t="shared" si="197"/>
        <v>0.20458457012964909</v>
      </c>
    </row>
    <row r="1157" spans="1:20" x14ac:dyDescent="0.3">
      <c r="A1157" s="18" t="s">
        <v>322</v>
      </c>
      <c r="B1157" s="18" t="s">
        <v>323</v>
      </c>
      <c r="C1157" s="18" t="s">
        <v>282</v>
      </c>
      <c r="D1157" s="18" t="s">
        <v>279</v>
      </c>
      <c r="E1157" s="61">
        <v>2024</v>
      </c>
      <c r="F1157" s="62">
        <v>1986000000</v>
      </c>
      <c r="G1157" s="62">
        <v>1901000000</v>
      </c>
      <c r="H1157" s="62">
        <v>960734206</v>
      </c>
      <c r="I1157" s="62">
        <v>960734206</v>
      </c>
      <c r="J1157" s="62">
        <f t="shared" ref="J1157:J1220" si="198">F1157/H1157</f>
        <v>2.0671690334298352</v>
      </c>
      <c r="K1157" s="62">
        <f t="shared" ref="K1157:K1220" si="199">G1157/I1157</f>
        <v>1.9786950314955269</v>
      </c>
      <c r="L1157" s="63">
        <f t="shared" ref="L1157:L1220" si="200">IF(F1157=0,"",((G1157-F1157)/ABS(F1157)))</f>
        <v>-4.2799597180261835E-2</v>
      </c>
      <c r="M1157" s="63">
        <f t="shared" ref="M1157:M1220" si="201">(I1157-H1157)/H1157</f>
        <v>0</v>
      </c>
      <c r="N1157" s="63">
        <f t="shared" ref="N1157:N1220" si="202">IF(J1157=0,"",((K1157-J1157)/ABS(J1157)))</f>
        <v>-4.2799597180261863E-2</v>
      </c>
      <c r="O1157" s="62">
        <f t="shared" ref="O1157:O1220" si="203">G1157/H1157</f>
        <v>1.9786950314955269</v>
      </c>
      <c r="P1157" s="62">
        <f t="shared" ref="P1157:P1220" si="204">O1157-J1157</f>
        <v>-8.8474001934308211E-2</v>
      </c>
      <c r="Q1157" s="62">
        <f t="shared" ref="Q1157:Q1220" si="205">K1157-O1157</f>
        <v>0</v>
      </c>
      <c r="R1157" s="63">
        <f t="shared" ref="R1157:R1220" si="206">IF(J1157=0,"",P1157/ABS(J1157))</f>
        <v>-4.2799597180261863E-2</v>
      </c>
      <c r="S1157" s="63">
        <f t="shared" ref="S1157:S1220" si="207">IF(J1157=0,"",Q1157/ABS(J1157))</f>
        <v>0</v>
      </c>
      <c r="T1157" s="63">
        <f t="shared" ref="T1157:T1220" si="208">R1157+S1157</f>
        <v>-4.2799597180261863E-2</v>
      </c>
    </row>
    <row r="1158" spans="1:20" x14ac:dyDescent="0.3">
      <c r="A1158" s="18" t="s">
        <v>324</v>
      </c>
      <c r="B1158" s="18" t="s">
        <v>325</v>
      </c>
      <c r="C1158" s="18" t="s">
        <v>282</v>
      </c>
      <c r="D1158" s="18" t="s">
        <v>279</v>
      </c>
      <c r="E1158" s="61">
        <v>2016</v>
      </c>
      <c r="F1158" s="62">
        <v>415413000</v>
      </c>
      <c r="G1158" s="62">
        <v>273647000</v>
      </c>
      <c r="H1158" s="62">
        <v>318583700</v>
      </c>
      <c r="I1158" s="62">
        <v>336240000</v>
      </c>
      <c r="J1158" s="62">
        <f t="shared" si="198"/>
        <v>1.3039367676375158</v>
      </c>
      <c r="K1158" s="62">
        <f t="shared" si="199"/>
        <v>0.81384427789674041</v>
      </c>
      <c r="L1158" s="63">
        <f t="shared" si="200"/>
        <v>-0.34126519872993866</v>
      </c>
      <c r="M1158" s="63">
        <f t="shared" si="201"/>
        <v>5.5421228393040825E-2</v>
      </c>
      <c r="N1158" s="63">
        <f t="shared" si="202"/>
        <v>-0.37585602454383527</v>
      </c>
      <c r="O1158" s="62">
        <f t="shared" si="203"/>
        <v>0.8589485274984251</v>
      </c>
      <c r="P1158" s="62">
        <f t="shared" si="204"/>
        <v>-0.44498824013909066</v>
      </c>
      <c r="Q1158" s="62">
        <f t="shared" si="205"/>
        <v>-4.5104249601684687E-2</v>
      </c>
      <c r="R1158" s="63">
        <f t="shared" si="206"/>
        <v>-0.34126519872993866</v>
      </c>
      <c r="S1158" s="63">
        <f t="shared" si="207"/>
        <v>-3.4590825813896608E-2</v>
      </c>
      <c r="T1158" s="63">
        <f t="shared" si="208"/>
        <v>-0.37585602454383527</v>
      </c>
    </row>
    <row r="1159" spans="1:20" x14ac:dyDescent="0.3">
      <c r="A1159" s="18" t="s">
        <v>324</v>
      </c>
      <c r="B1159" s="18" t="s">
        <v>325</v>
      </c>
      <c r="C1159" s="18" t="s">
        <v>282</v>
      </c>
      <c r="D1159" s="18" t="s">
        <v>279</v>
      </c>
      <c r="E1159" s="61">
        <v>2017</v>
      </c>
      <c r="F1159" s="62">
        <v>273647000</v>
      </c>
      <c r="G1159" s="62">
        <v>682523000</v>
      </c>
      <c r="H1159" s="62">
        <v>336240000</v>
      </c>
      <c r="I1159" s="62">
        <v>373312000</v>
      </c>
      <c r="J1159" s="62">
        <f t="shared" si="198"/>
        <v>0.81384427789674041</v>
      </c>
      <c r="K1159" s="62">
        <f t="shared" si="199"/>
        <v>1.8282910809189097</v>
      </c>
      <c r="L1159" s="63">
        <f t="shared" si="200"/>
        <v>1.4941731500802129</v>
      </c>
      <c r="M1159" s="63">
        <f t="shared" si="201"/>
        <v>0.11025458006186058</v>
      </c>
      <c r="N1159" s="63">
        <f t="shared" si="202"/>
        <v>1.2464876028174041</v>
      </c>
      <c r="O1159" s="62">
        <f t="shared" si="203"/>
        <v>2.0298685462764694</v>
      </c>
      <c r="P1159" s="62">
        <f t="shared" si="204"/>
        <v>1.2160242683797291</v>
      </c>
      <c r="Q1159" s="62">
        <f t="shared" si="205"/>
        <v>-0.20157746535755972</v>
      </c>
      <c r="R1159" s="63">
        <f t="shared" si="206"/>
        <v>1.4941731500802133</v>
      </c>
      <c r="S1159" s="63">
        <f t="shared" si="207"/>
        <v>-0.24768554726280895</v>
      </c>
      <c r="T1159" s="63">
        <f t="shared" si="208"/>
        <v>1.2464876028174043</v>
      </c>
    </row>
    <row r="1160" spans="1:20" x14ac:dyDescent="0.3">
      <c r="A1160" s="18" t="s">
        <v>324</v>
      </c>
      <c r="B1160" s="18" t="s">
        <v>325</v>
      </c>
      <c r="C1160" s="18" t="s">
        <v>282</v>
      </c>
      <c r="D1160" s="18" t="s">
        <v>279</v>
      </c>
      <c r="E1160" s="61">
        <v>2018</v>
      </c>
      <c r="F1160" s="62">
        <v>682523000</v>
      </c>
      <c r="G1160" s="62">
        <v>524763000</v>
      </c>
      <c r="H1160" s="62">
        <v>373312000</v>
      </c>
      <c r="I1160" s="62">
        <v>448214000</v>
      </c>
      <c r="J1160" s="62">
        <f t="shared" si="198"/>
        <v>1.8282910809189097</v>
      </c>
      <c r="K1160" s="62">
        <f t="shared" si="199"/>
        <v>1.1707867224138468</v>
      </c>
      <c r="L1160" s="63">
        <f t="shared" si="200"/>
        <v>-0.23114239373618178</v>
      </c>
      <c r="M1160" s="63">
        <f t="shared" si="201"/>
        <v>0.20064182238985084</v>
      </c>
      <c r="N1160" s="63">
        <f t="shared" si="202"/>
        <v>-0.35962783244263125</v>
      </c>
      <c r="O1160" s="62">
        <f t="shared" si="203"/>
        <v>1.4056955040288017</v>
      </c>
      <c r="P1160" s="62">
        <f t="shared" si="204"/>
        <v>-0.42259557689010796</v>
      </c>
      <c r="Q1160" s="62">
        <f t="shared" si="205"/>
        <v>-0.23490878161495488</v>
      </c>
      <c r="R1160" s="63">
        <f t="shared" si="206"/>
        <v>-0.23114239373618176</v>
      </c>
      <c r="S1160" s="63">
        <f t="shared" si="207"/>
        <v>-0.12848543870644949</v>
      </c>
      <c r="T1160" s="63">
        <f t="shared" si="208"/>
        <v>-0.35962783244263125</v>
      </c>
    </row>
    <row r="1161" spans="1:20" x14ac:dyDescent="0.3">
      <c r="A1161" s="18" t="s">
        <v>324</v>
      </c>
      <c r="B1161" s="18" t="s">
        <v>325</v>
      </c>
      <c r="C1161" s="18" t="s">
        <v>282</v>
      </c>
      <c r="D1161" s="18" t="s">
        <v>279</v>
      </c>
      <c r="E1161" s="61">
        <v>2019</v>
      </c>
      <c r="F1161" s="62">
        <v>524763000</v>
      </c>
      <c r="G1161" s="62">
        <v>826799000</v>
      </c>
      <c r="H1161" s="62">
        <v>448214000</v>
      </c>
      <c r="I1161" s="62">
        <v>507661000</v>
      </c>
      <c r="J1161" s="62">
        <f t="shared" si="198"/>
        <v>1.1707867224138468</v>
      </c>
      <c r="K1161" s="62">
        <f t="shared" si="199"/>
        <v>1.628643917890088</v>
      </c>
      <c r="L1161" s="63">
        <f t="shared" si="200"/>
        <v>0.57556649382673697</v>
      </c>
      <c r="M1161" s="63">
        <f t="shared" si="201"/>
        <v>0.13263084151766791</v>
      </c>
      <c r="N1161" s="63">
        <f t="shared" si="202"/>
        <v>0.39106797737871757</v>
      </c>
      <c r="O1161" s="62">
        <f t="shared" si="203"/>
        <v>1.8446523312524821</v>
      </c>
      <c r="P1161" s="62">
        <f t="shared" si="204"/>
        <v>0.67386560883863522</v>
      </c>
      <c r="Q1161" s="62">
        <f t="shared" si="205"/>
        <v>-0.21600841336239407</v>
      </c>
      <c r="R1161" s="63">
        <f t="shared" si="206"/>
        <v>0.57556649382673719</v>
      </c>
      <c r="S1161" s="63">
        <f t="shared" si="207"/>
        <v>-0.18449851644801959</v>
      </c>
      <c r="T1161" s="63">
        <f t="shared" si="208"/>
        <v>0.39106797737871757</v>
      </c>
    </row>
    <row r="1162" spans="1:20" x14ac:dyDescent="0.3">
      <c r="A1162" s="18" t="s">
        <v>324</v>
      </c>
      <c r="B1162" s="18" t="s">
        <v>325</v>
      </c>
      <c r="C1162" s="18" t="s">
        <v>282</v>
      </c>
      <c r="D1162" s="18" t="s">
        <v>279</v>
      </c>
      <c r="E1162" s="61">
        <v>2020</v>
      </c>
      <c r="F1162" s="62">
        <v>826799000</v>
      </c>
      <c r="G1162" s="62">
        <v>62817000</v>
      </c>
      <c r="H1162" s="62">
        <v>507661000</v>
      </c>
      <c r="I1162" s="62">
        <v>507139000</v>
      </c>
      <c r="J1162" s="62">
        <f t="shared" si="198"/>
        <v>1.628643917890088</v>
      </c>
      <c r="K1162" s="62">
        <f t="shared" si="199"/>
        <v>0.12386544911750033</v>
      </c>
      <c r="L1162" s="63">
        <f t="shared" si="200"/>
        <v>-0.92402385585855817</v>
      </c>
      <c r="M1162" s="63">
        <f t="shared" si="201"/>
        <v>-1.0282452266374609E-3</v>
      </c>
      <c r="N1162" s="63">
        <f t="shared" si="202"/>
        <v>-0.92394565333963952</v>
      </c>
      <c r="O1162" s="62">
        <f t="shared" si="203"/>
        <v>0.12373808506069996</v>
      </c>
      <c r="P1162" s="62">
        <f t="shared" si="204"/>
        <v>-1.5049058328293881</v>
      </c>
      <c r="Q1162" s="62">
        <f t="shared" si="205"/>
        <v>1.2736405680037477E-4</v>
      </c>
      <c r="R1162" s="63">
        <f t="shared" si="206"/>
        <v>-0.92402385585855817</v>
      </c>
      <c r="S1162" s="63">
        <f t="shared" si="207"/>
        <v>7.8202518918546175E-5</v>
      </c>
      <c r="T1162" s="63">
        <f t="shared" si="208"/>
        <v>-0.92394565333963963</v>
      </c>
    </row>
    <row r="1163" spans="1:20" x14ac:dyDescent="0.3">
      <c r="A1163" s="18" t="s">
        <v>324</v>
      </c>
      <c r="B1163" s="18" t="s">
        <v>325</v>
      </c>
      <c r="C1163" s="18" t="s">
        <v>282</v>
      </c>
      <c r="D1163" s="18" t="s">
        <v>279</v>
      </c>
      <c r="E1163" s="61">
        <v>2021</v>
      </c>
      <c r="F1163" s="62">
        <v>62817000</v>
      </c>
      <c r="G1163" s="62">
        <v>473842000</v>
      </c>
      <c r="H1163" s="62">
        <v>507139000</v>
      </c>
      <c r="I1163" s="62">
        <v>515705000</v>
      </c>
      <c r="J1163" s="62">
        <f t="shared" si="198"/>
        <v>0.12386544911750033</v>
      </c>
      <c r="K1163" s="62">
        <f t="shared" si="199"/>
        <v>0.91882374613393314</v>
      </c>
      <c r="L1163" s="63">
        <f t="shared" si="200"/>
        <v>6.543212824553863</v>
      </c>
      <c r="M1163" s="63">
        <f t="shared" si="201"/>
        <v>1.6890832690840185E-2</v>
      </c>
      <c r="N1163" s="63">
        <f t="shared" si="202"/>
        <v>6.4179180124905155</v>
      </c>
      <c r="O1163" s="62">
        <f t="shared" si="203"/>
        <v>0.93434344430225247</v>
      </c>
      <c r="P1163" s="62">
        <f t="shared" si="204"/>
        <v>0.81047799518475216</v>
      </c>
      <c r="Q1163" s="62">
        <f t="shared" si="205"/>
        <v>-1.5519698168319329E-2</v>
      </c>
      <c r="R1163" s="63">
        <f t="shared" si="206"/>
        <v>6.543212824553863</v>
      </c>
      <c r="S1163" s="63">
        <f t="shared" si="207"/>
        <v>-0.12529481206334744</v>
      </c>
      <c r="T1163" s="63">
        <f t="shared" si="208"/>
        <v>6.4179180124905155</v>
      </c>
    </row>
    <row r="1164" spans="1:20" x14ac:dyDescent="0.3">
      <c r="A1164" s="18" t="s">
        <v>324</v>
      </c>
      <c r="B1164" s="18" t="s">
        <v>325</v>
      </c>
      <c r="C1164" s="18" t="s">
        <v>282</v>
      </c>
      <c r="D1164" s="18" t="s">
        <v>279</v>
      </c>
      <c r="E1164" s="61">
        <v>2022</v>
      </c>
      <c r="F1164" s="62">
        <v>473842000</v>
      </c>
      <c r="G1164" s="62">
        <v>49618000</v>
      </c>
      <c r="H1164" s="62">
        <v>515705000</v>
      </c>
      <c r="I1164" s="62">
        <v>531429000</v>
      </c>
      <c r="J1164" s="62">
        <f t="shared" si="198"/>
        <v>0.91882374613393314</v>
      </c>
      <c r="K1164" s="62">
        <f t="shared" si="199"/>
        <v>9.3367129005003491E-2</v>
      </c>
      <c r="L1164" s="63">
        <f t="shared" si="200"/>
        <v>-0.89528577036227264</v>
      </c>
      <c r="M1164" s="63">
        <f t="shared" si="201"/>
        <v>3.0490299686836468E-2</v>
      </c>
      <c r="N1164" s="63">
        <f t="shared" si="202"/>
        <v>-0.89838407050551594</v>
      </c>
      <c r="O1164" s="62">
        <f t="shared" si="203"/>
        <v>9.6213920749265575E-2</v>
      </c>
      <c r="P1164" s="62">
        <f t="shared" si="204"/>
        <v>-0.82260982538466754</v>
      </c>
      <c r="Q1164" s="62">
        <f t="shared" si="205"/>
        <v>-2.8467917442620838E-3</v>
      </c>
      <c r="R1164" s="63">
        <f t="shared" si="206"/>
        <v>-0.89528577036227264</v>
      </c>
      <c r="S1164" s="63">
        <f t="shared" si="207"/>
        <v>-3.098300143243271E-3</v>
      </c>
      <c r="T1164" s="63">
        <f t="shared" si="208"/>
        <v>-0.89838407050551594</v>
      </c>
    </row>
    <row r="1165" spans="1:20" x14ac:dyDescent="0.3">
      <c r="A1165" s="18" t="s">
        <v>324</v>
      </c>
      <c r="B1165" s="18" t="s">
        <v>325</v>
      </c>
      <c r="C1165" s="18" t="s">
        <v>282</v>
      </c>
      <c r="D1165" s="18" t="s">
        <v>279</v>
      </c>
      <c r="E1165" s="61">
        <v>2023</v>
      </c>
      <c r="F1165" s="62">
        <v>49618000</v>
      </c>
      <c r="G1165" s="62">
        <v>-1018973000</v>
      </c>
      <c r="H1165" s="62">
        <v>531429000</v>
      </c>
      <c r="I1165" s="62">
        <v>531476000</v>
      </c>
      <c r="J1165" s="62">
        <f t="shared" si="198"/>
        <v>9.3367129005003491E-2</v>
      </c>
      <c r="K1165" s="62">
        <f t="shared" si="199"/>
        <v>-1.9172512023120518</v>
      </c>
      <c r="L1165" s="63">
        <f t="shared" si="200"/>
        <v>-21.536357773388691</v>
      </c>
      <c r="M1165" s="63">
        <f t="shared" si="201"/>
        <v>8.844078889183692E-5</v>
      </c>
      <c r="N1165" s="63">
        <f t="shared" si="202"/>
        <v>-21.534541682322772</v>
      </c>
      <c r="O1165" s="62">
        <f t="shared" si="203"/>
        <v>-1.9174207655208879</v>
      </c>
      <c r="P1165" s="62">
        <f t="shared" si="204"/>
        <v>-2.0107878945258912</v>
      </c>
      <c r="Q1165" s="62">
        <f t="shared" si="205"/>
        <v>1.6956320883609877E-4</v>
      </c>
      <c r="R1165" s="63">
        <f t="shared" si="206"/>
        <v>-21.536357773388687</v>
      </c>
      <c r="S1165" s="63">
        <f t="shared" si="207"/>
        <v>1.8160910659147714E-3</v>
      </c>
      <c r="T1165" s="63">
        <f t="shared" si="208"/>
        <v>-21.534541682322772</v>
      </c>
    </row>
    <row r="1166" spans="1:20" x14ac:dyDescent="0.3">
      <c r="A1166" s="18" t="s">
        <v>324</v>
      </c>
      <c r="B1166" s="18" t="s">
        <v>325</v>
      </c>
      <c r="C1166" s="18" t="s">
        <v>282</v>
      </c>
      <c r="D1166" s="18" t="s">
        <v>279</v>
      </c>
      <c r="E1166" s="61">
        <v>2024</v>
      </c>
      <c r="F1166" s="62">
        <v>-1018973000</v>
      </c>
      <c r="G1166" s="62">
        <v>307395000</v>
      </c>
      <c r="H1166" s="62">
        <v>531476000</v>
      </c>
      <c r="I1166" s="62">
        <v>576863000</v>
      </c>
      <c r="J1166" s="62">
        <f t="shared" si="198"/>
        <v>-1.9172512023120518</v>
      </c>
      <c r="K1166" s="62">
        <f t="shared" si="199"/>
        <v>0.53287348989274752</v>
      </c>
      <c r="L1166" s="63">
        <f t="shared" si="200"/>
        <v>1.3016713887414093</v>
      </c>
      <c r="M1166" s="63">
        <f t="shared" si="201"/>
        <v>8.5398023617247062E-2</v>
      </c>
      <c r="N1166" s="63">
        <f t="shared" si="202"/>
        <v>1.2779361876264022</v>
      </c>
      <c r="O1166" s="62">
        <f t="shared" si="203"/>
        <v>0.57837983276761318</v>
      </c>
      <c r="P1166" s="62">
        <f t="shared" si="204"/>
        <v>2.4956310350796649</v>
      </c>
      <c r="Q1166" s="62">
        <f t="shared" si="205"/>
        <v>-4.5506342874865657E-2</v>
      </c>
      <c r="R1166" s="63">
        <f t="shared" si="206"/>
        <v>1.3016713887414091</v>
      </c>
      <c r="S1166" s="63">
        <f t="shared" si="207"/>
        <v>-2.3735201115007071E-2</v>
      </c>
      <c r="T1166" s="63">
        <f t="shared" si="208"/>
        <v>1.2779361876264019</v>
      </c>
    </row>
    <row r="1167" spans="1:20" x14ac:dyDescent="0.3">
      <c r="A1167" s="18" t="s">
        <v>326</v>
      </c>
      <c r="B1167" s="18" t="s">
        <v>327</v>
      </c>
      <c r="C1167" s="18" t="s">
        <v>282</v>
      </c>
      <c r="D1167" s="18" t="s">
        <v>279</v>
      </c>
      <c r="E1167" s="61">
        <v>2016</v>
      </c>
      <c r="F1167" s="62">
        <v>109193000</v>
      </c>
      <c r="G1167" s="62">
        <v>132079000</v>
      </c>
      <c r="H1167" s="62">
        <v>132749000</v>
      </c>
      <c r="I1167" s="62">
        <v>132550999</v>
      </c>
      <c r="J1167" s="62">
        <f t="shared" si="198"/>
        <v>0.82255233561081442</v>
      </c>
      <c r="K1167" s="62">
        <f t="shared" si="199"/>
        <v>0.99643911397453899</v>
      </c>
      <c r="L1167" s="63">
        <f t="shared" si="200"/>
        <v>0.20959218997554788</v>
      </c>
      <c r="M1167" s="63">
        <f t="shared" si="201"/>
        <v>-1.491544192423295E-3</v>
      </c>
      <c r="N1167" s="63">
        <f t="shared" si="202"/>
        <v>0.21139904518610234</v>
      </c>
      <c r="O1167" s="62">
        <f t="shared" si="203"/>
        <v>0.99495288100098678</v>
      </c>
      <c r="P1167" s="62">
        <f t="shared" si="204"/>
        <v>0.17240054539017236</v>
      </c>
      <c r="Q1167" s="62">
        <f t="shared" si="205"/>
        <v>1.4862329735522151E-3</v>
      </c>
      <c r="R1167" s="63">
        <f t="shared" si="206"/>
        <v>0.20959218997554779</v>
      </c>
      <c r="S1167" s="63">
        <f t="shared" si="207"/>
        <v>1.8068552105545501E-3</v>
      </c>
      <c r="T1167" s="63">
        <f t="shared" si="208"/>
        <v>0.21139904518610234</v>
      </c>
    </row>
    <row r="1168" spans="1:20" x14ac:dyDescent="0.3">
      <c r="A1168" s="18" t="s">
        <v>326</v>
      </c>
      <c r="B1168" s="18" t="s">
        <v>327</v>
      </c>
      <c r="C1168" s="18" t="s">
        <v>282</v>
      </c>
      <c r="D1168" s="18" t="s">
        <v>279</v>
      </c>
      <c r="E1168" s="61">
        <v>2017</v>
      </c>
      <c r="F1168" s="62">
        <v>132079000</v>
      </c>
      <c r="G1168" s="62">
        <v>153862000</v>
      </c>
      <c r="H1168" s="62">
        <v>132550999</v>
      </c>
      <c r="I1168" s="62">
        <v>132364000</v>
      </c>
      <c r="J1168" s="62">
        <f t="shared" si="198"/>
        <v>0.99643911397453899</v>
      </c>
      <c r="K1168" s="62">
        <f t="shared" si="199"/>
        <v>1.1624157625940588</v>
      </c>
      <c r="L1168" s="63">
        <f t="shared" si="200"/>
        <v>0.16492402274396384</v>
      </c>
      <c r="M1168" s="63">
        <f t="shared" si="201"/>
        <v>-1.4107702047571893E-3</v>
      </c>
      <c r="N1168" s="63">
        <f t="shared" si="202"/>
        <v>0.16656978463790093</v>
      </c>
      <c r="O1168" s="62">
        <f t="shared" si="203"/>
        <v>1.1607758610706509</v>
      </c>
      <c r="P1168" s="62">
        <f t="shared" si="204"/>
        <v>0.1643367470961119</v>
      </c>
      <c r="Q1168" s="62">
        <f t="shared" si="205"/>
        <v>1.6399015234078718E-3</v>
      </c>
      <c r="R1168" s="63">
        <f t="shared" si="206"/>
        <v>0.1649240227439637</v>
      </c>
      <c r="S1168" s="63">
        <f t="shared" si="207"/>
        <v>1.6457618939372291E-3</v>
      </c>
      <c r="T1168" s="63">
        <f t="shared" si="208"/>
        <v>0.16656978463790093</v>
      </c>
    </row>
    <row r="1169" spans="1:20" x14ac:dyDescent="0.3">
      <c r="A1169" s="18" t="s">
        <v>326</v>
      </c>
      <c r="B1169" s="18" t="s">
        <v>327</v>
      </c>
      <c r="C1169" s="18" t="s">
        <v>282</v>
      </c>
      <c r="D1169" s="18" t="s">
        <v>279</v>
      </c>
      <c r="E1169" s="61">
        <v>2018</v>
      </c>
      <c r="F1169" s="62">
        <v>153862000</v>
      </c>
      <c r="G1169" s="62">
        <v>156706000</v>
      </c>
      <c r="H1169" s="62">
        <v>132364000</v>
      </c>
      <c r="I1169" s="62">
        <v>132336000</v>
      </c>
      <c r="J1169" s="62">
        <f t="shared" si="198"/>
        <v>1.1624157625940588</v>
      </c>
      <c r="K1169" s="62">
        <f t="shared" si="199"/>
        <v>1.1841524604038205</v>
      </c>
      <c r="L1169" s="63">
        <f t="shared" si="200"/>
        <v>1.8484096138097775E-2</v>
      </c>
      <c r="M1169" s="63">
        <f t="shared" si="201"/>
        <v>-2.1153788039043848E-4</v>
      </c>
      <c r="N1169" s="63">
        <f t="shared" si="202"/>
        <v>1.8699589690055383E-2</v>
      </c>
      <c r="O1169" s="62">
        <f t="shared" si="203"/>
        <v>1.1839019673022877</v>
      </c>
      <c r="P1169" s="62">
        <f t="shared" si="204"/>
        <v>2.1486204708228929E-2</v>
      </c>
      <c r="Q1169" s="62">
        <f t="shared" si="205"/>
        <v>2.5049310153280047E-4</v>
      </c>
      <c r="R1169" s="63">
        <f t="shared" si="206"/>
        <v>1.8484096138097868E-2</v>
      </c>
      <c r="S1169" s="63">
        <f t="shared" si="207"/>
        <v>2.1549355195751778E-4</v>
      </c>
      <c r="T1169" s="63">
        <f t="shared" si="208"/>
        <v>1.8699589690055387E-2</v>
      </c>
    </row>
    <row r="1170" spans="1:20" x14ac:dyDescent="0.3">
      <c r="A1170" s="18" t="s">
        <v>326</v>
      </c>
      <c r="B1170" s="18" t="s">
        <v>327</v>
      </c>
      <c r="C1170" s="18" t="s">
        <v>282</v>
      </c>
      <c r="D1170" s="18" t="s">
        <v>279</v>
      </c>
      <c r="E1170" s="61">
        <v>2019</v>
      </c>
      <c r="F1170" s="62">
        <v>156706000</v>
      </c>
      <c r="G1170" s="62">
        <v>164626000</v>
      </c>
      <c r="H1170" s="62">
        <v>132336000</v>
      </c>
      <c r="I1170" s="62">
        <v>132269000</v>
      </c>
      <c r="J1170" s="62">
        <f t="shared" si="198"/>
        <v>1.1841524604038205</v>
      </c>
      <c r="K1170" s="62">
        <f t="shared" si="199"/>
        <v>1.2446302610589026</v>
      </c>
      <c r="L1170" s="63">
        <f t="shared" si="200"/>
        <v>5.0540502597220274E-2</v>
      </c>
      <c r="M1170" s="63">
        <f t="shared" si="201"/>
        <v>-5.0628702696167336E-4</v>
      </c>
      <c r="N1170" s="63">
        <f t="shared" si="202"/>
        <v>5.1072647042812329E-2</v>
      </c>
      <c r="O1170" s="62">
        <f t="shared" si="203"/>
        <v>1.2440001209043647</v>
      </c>
      <c r="P1170" s="62">
        <f t="shared" si="204"/>
        <v>5.9847660500544242E-2</v>
      </c>
      <c r="Q1170" s="62">
        <f t="shared" si="205"/>
        <v>6.3014015453788375E-4</v>
      </c>
      <c r="R1170" s="63">
        <f t="shared" si="206"/>
        <v>5.054050259722042E-2</v>
      </c>
      <c r="S1170" s="63">
        <f t="shared" si="207"/>
        <v>5.3214444559190703E-4</v>
      </c>
      <c r="T1170" s="63">
        <f t="shared" si="208"/>
        <v>5.1072647042812329E-2</v>
      </c>
    </row>
    <row r="1171" spans="1:20" x14ac:dyDescent="0.3">
      <c r="A1171" s="18" t="s">
        <v>326</v>
      </c>
      <c r="B1171" s="18" t="s">
        <v>327</v>
      </c>
      <c r="C1171" s="18" t="s">
        <v>282</v>
      </c>
      <c r="D1171" s="18" t="s">
        <v>279</v>
      </c>
      <c r="E1171" s="61">
        <v>2020</v>
      </c>
      <c r="F1171" s="62">
        <v>164626000</v>
      </c>
      <c r="G1171" s="62">
        <v>157184000</v>
      </c>
      <c r="H1171" s="62">
        <v>132269000</v>
      </c>
      <c r="I1171" s="62">
        <v>132228000</v>
      </c>
      <c r="J1171" s="62">
        <f t="shared" si="198"/>
        <v>1.2446302610589026</v>
      </c>
      <c r="K1171" s="62">
        <f t="shared" si="199"/>
        <v>1.1887346099162053</v>
      </c>
      <c r="L1171" s="63">
        <f t="shared" si="200"/>
        <v>-4.5205496094177101E-2</v>
      </c>
      <c r="M1171" s="63">
        <f t="shared" si="201"/>
        <v>-3.099743704118123E-4</v>
      </c>
      <c r="N1171" s="63">
        <f t="shared" si="202"/>
        <v>-4.4909442499929751E-2</v>
      </c>
      <c r="O1171" s="62">
        <f t="shared" si="203"/>
        <v>1.1883661326539099</v>
      </c>
      <c r="P1171" s="62">
        <f t="shared" si="204"/>
        <v>-5.626412840499273E-2</v>
      </c>
      <c r="Q1171" s="62">
        <f t="shared" si="205"/>
        <v>3.684772622953858E-4</v>
      </c>
      <c r="R1171" s="63">
        <f t="shared" si="206"/>
        <v>-4.5205496094177004E-2</v>
      </c>
      <c r="S1171" s="63">
        <f t="shared" si="207"/>
        <v>2.9605359424725368E-4</v>
      </c>
      <c r="T1171" s="63">
        <f t="shared" si="208"/>
        <v>-4.4909442499929751E-2</v>
      </c>
    </row>
    <row r="1172" spans="1:20" x14ac:dyDescent="0.3">
      <c r="A1172" s="18" t="s">
        <v>326</v>
      </c>
      <c r="B1172" s="18" t="s">
        <v>327</v>
      </c>
      <c r="C1172" s="18" t="s">
        <v>282</v>
      </c>
      <c r="D1172" s="18" t="s">
        <v>279</v>
      </c>
      <c r="E1172" s="61">
        <v>2021</v>
      </c>
      <c r="F1172" s="62">
        <v>157184000</v>
      </c>
      <c r="G1172" s="62">
        <v>173961000</v>
      </c>
      <c r="H1172" s="62">
        <v>132228000</v>
      </c>
      <c r="I1172" s="62">
        <v>131982000</v>
      </c>
      <c r="J1172" s="62">
        <f t="shared" si="198"/>
        <v>1.1887346099162053</v>
      </c>
      <c r="K1172" s="62">
        <f t="shared" si="199"/>
        <v>1.3180660999227167</v>
      </c>
      <c r="L1172" s="63">
        <f t="shared" si="200"/>
        <v>0.10673478216612378</v>
      </c>
      <c r="M1172" s="63">
        <f t="shared" si="201"/>
        <v>-1.8604229058898267E-3</v>
      </c>
      <c r="N1172" s="63">
        <f t="shared" si="202"/>
        <v>0.10879761464640801</v>
      </c>
      <c r="O1172" s="62">
        <f t="shared" si="203"/>
        <v>1.3156139395589437</v>
      </c>
      <c r="P1172" s="62">
        <f t="shared" si="204"/>
        <v>0.1268793296427384</v>
      </c>
      <c r="Q1172" s="62">
        <f t="shared" si="205"/>
        <v>2.4521603637730482E-3</v>
      </c>
      <c r="R1172" s="63">
        <f t="shared" si="206"/>
        <v>0.10673478216612386</v>
      </c>
      <c r="S1172" s="63">
        <f t="shared" si="207"/>
        <v>2.0628324802841424E-3</v>
      </c>
      <c r="T1172" s="63">
        <f t="shared" si="208"/>
        <v>0.10879761464640801</v>
      </c>
    </row>
    <row r="1173" spans="1:20" x14ac:dyDescent="0.3">
      <c r="A1173" s="18" t="s">
        <v>326</v>
      </c>
      <c r="B1173" s="18" t="s">
        <v>327</v>
      </c>
      <c r="C1173" s="18" t="s">
        <v>282</v>
      </c>
      <c r="D1173" s="18" t="s">
        <v>279</v>
      </c>
      <c r="E1173" s="61">
        <v>2022</v>
      </c>
      <c r="F1173" s="62">
        <v>173961000</v>
      </c>
      <c r="G1173" s="62">
        <v>198848000</v>
      </c>
      <c r="H1173" s="62">
        <v>131982000</v>
      </c>
      <c r="I1173" s="62">
        <v>131854999</v>
      </c>
      <c r="J1173" s="62">
        <f t="shared" si="198"/>
        <v>1.3180660999227167</v>
      </c>
      <c r="K1173" s="62">
        <f t="shared" si="199"/>
        <v>1.5080808578217046</v>
      </c>
      <c r="L1173" s="63">
        <f t="shared" si="200"/>
        <v>0.14306080098412863</v>
      </c>
      <c r="M1173" s="63">
        <f t="shared" si="201"/>
        <v>-9.6226000515221767E-4</v>
      </c>
      <c r="N1173" s="63">
        <f t="shared" si="202"/>
        <v>0.14416178210647343</v>
      </c>
      <c r="O1173" s="62">
        <f t="shared" si="203"/>
        <v>1.5066296919276871</v>
      </c>
      <c r="P1173" s="62">
        <f t="shared" si="204"/>
        <v>0.18856359200497042</v>
      </c>
      <c r="Q1173" s="62">
        <f t="shared" si="205"/>
        <v>1.4511658940175032E-3</v>
      </c>
      <c r="R1173" s="63">
        <f t="shared" si="206"/>
        <v>0.14306080098412866</v>
      </c>
      <c r="S1173" s="63">
        <f t="shared" si="207"/>
        <v>1.1009811223447676E-3</v>
      </c>
      <c r="T1173" s="63">
        <f t="shared" si="208"/>
        <v>0.14416178210647343</v>
      </c>
    </row>
    <row r="1174" spans="1:20" x14ac:dyDescent="0.3">
      <c r="A1174" s="18" t="s">
        <v>326</v>
      </c>
      <c r="B1174" s="18" t="s">
        <v>327</v>
      </c>
      <c r="C1174" s="18" t="s">
        <v>282</v>
      </c>
      <c r="D1174" s="18" t="s">
        <v>279</v>
      </c>
      <c r="E1174" s="61">
        <v>2023</v>
      </c>
      <c r="F1174" s="62">
        <v>198848000</v>
      </c>
      <c r="G1174" s="62">
        <v>272254000</v>
      </c>
      <c r="H1174" s="62">
        <v>131854999</v>
      </c>
      <c r="I1174" s="62">
        <v>131841000</v>
      </c>
      <c r="J1174" s="62">
        <f t="shared" si="198"/>
        <v>1.5080808578217046</v>
      </c>
      <c r="K1174" s="62">
        <f t="shared" si="199"/>
        <v>2.0650177107273153</v>
      </c>
      <c r="L1174" s="63">
        <f t="shared" si="200"/>
        <v>0.36915634052140328</v>
      </c>
      <c r="M1174" s="63">
        <f t="shared" si="201"/>
        <v>-1.0616965686678288E-4</v>
      </c>
      <c r="N1174" s="63">
        <f t="shared" si="202"/>
        <v>0.36930171881503682</v>
      </c>
      <c r="O1174" s="62">
        <f t="shared" si="203"/>
        <v>2.0647984685055438</v>
      </c>
      <c r="P1174" s="62">
        <f t="shared" si="204"/>
        <v>0.55671761068383918</v>
      </c>
      <c r="Q1174" s="62">
        <f t="shared" si="205"/>
        <v>2.1924222177149844E-4</v>
      </c>
      <c r="R1174" s="63">
        <f t="shared" si="206"/>
        <v>0.36915634052140328</v>
      </c>
      <c r="S1174" s="63">
        <f t="shared" si="207"/>
        <v>1.453782936335226E-4</v>
      </c>
      <c r="T1174" s="63">
        <f t="shared" si="208"/>
        <v>0.36930171881503682</v>
      </c>
    </row>
    <row r="1175" spans="1:20" x14ac:dyDescent="0.3">
      <c r="A1175" s="18" t="s">
        <v>326</v>
      </c>
      <c r="B1175" s="18" t="s">
        <v>327</v>
      </c>
      <c r="C1175" s="18" t="s">
        <v>282</v>
      </c>
      <c r="D1175" s="18" t="s">
        <v>279</v>
      </c>
      <c r="E1175" s="61">
        <v>2024</v>
      </c>
      <c r="F1175" s="62">
        <v>272254000</v>
      </c>
      <c r="G1175" s="62">
        <v>308235000</v>
      </c>
      <c r="H1175" s="62">
        <v>131841000</v>
      </c>
      <c r="I1175" s="62">
        <v>131937999</v>
      </c>
      <c r="J1175" s="62">
        <f t="shared" si="198"/>
        <v>2.0650177107273153</v>
      </c>
      <c r="K1175" s="62">
        <f t="shared" si="199"/>
        <v>2.3362109652731657</v>
      </c>
      <c r="L1175" s="63">
        <f t="shared" si="200"/>
        <v>0.13215967442167975</v>
      </c>
      <c r="M1175" s="63">
        <f t="shared" si="201"/>
        <v>7.3572712585614488E-4</v>
      </c>
      <c r="N1175" s="63">
        <f t="shared" si="202"/>
        <v>0.13132732621955773</v>
      </c>
      <c r="O1175" s="62">
        <f t="shared" si="203"/>
        <v>2.3379297790520401</v>
      </c>
      <c r="P1175" s="62">
        <f t="shared" si="204"/>
        <v>0.27291206832472481</v>
      </c>
      <c r="Q1175" s="62">
        <f t="shared" si="205"/>
        <v>-1.7188137788743951E-3</v>
      </c>
      <c r="R1175" s="63">
        <f t="shared" si="206"/>
        <v>0.13215967442167992</v>
      </c>
      <c r="S1175" s="63">
        <f t="shared" si="207"/>
        <v>-8.3234820212220624E-4</v>
      </c>
      <c r="T1175" s="63">
        <f t="shared" si="208"/>
        <v>0.1313273262195577</v>
      </c>
    </row>
    <row r="1176" spans="1:20" x14ac:dyDescent="0.3">
      <c r="A1176" s="18" t="s">
        <v>328</v>
      </c>
      <c r="B1176" s="18" t="s">
        <v>329</v>
      </c>
      <c r="C1176" s="18" t="s">
        <v>282</v>
      </c>
      <c r="D1176" s="18" t="s">
        <v>279</v>
      </c>
      <c r="E1176" s="61">
        <v>2016</v>
      </c>
      <c r="F1176" s="62">
        <v>370006000</v>
      </c>
      <c r="G1176" s="62">
        <v>120242000</v>
      </c>
      <c r="H1176" s="62">
        <v>541355874</v>
      </c>
      <c r="I1176" s="62">
        <v>523899315</v>
      </c>
      <c r="J1176" s="62">
        <f t="shared" si="198"/>
        <v>0.68348016114811749</v>
      </c>
      <c r="K1176" s="62">
        <f t="shared" si="199"/>
        <v>0.2295135659797532</v>
      </c>
      <c r="L1176" s="63">
        <f t="shared" si="200"/>
        <v>-0.67502689145581418</v>
      </c>
      <c r="M1176" s="63">
        <f t="shared" si="201"/>
        <v>-3.2245995357944521E-2</v>
      </c>
      <c r="N1176" s="63">
        <f t="shared" si="202"/>
        <v>-0.66419864243870108</v>
      </c>
      <c r="O1176" s="62">
        <f t="shared" si="203"/>
        <v>0.22211267259658476</v>
      </c>
      <c r="P1176" s="62">
        <f t="shared" si="204"/>
        <v>-0.46136748855153276</v>
      </c>
      <c r="Q1176" s="62">
        <f t="shared" si="205"/>
        <v>7.4008933831684331E-3</v>
      </c>
      <c r="R1176" s="63">
        <f t="shared" si="206"/>
        <v>-0.67502689145581429</v>
      </c>
      <c r="S1176" s="63">
        <f t="shared" si="207"/>
        <v>1.0828249017113139E-2</v>
      </c>
      <c r="T1176" s="63">
        <f t="shared" si="208"/>
        <v>-0.66419864243870119</v>
      </c>
    </row>
    <row r="1177" spans="1:20" x14ac:dyDescent="0.3">
      <c r="A1177" s="18" t="s">
        <v>328</v>
      </c>
      <c r="B1177" s="18" t="s">
        <v>329</v>
      </c>
      <c r="C1177" s="18" t="s">
        <v>282</v>
      </c>
      <c r="D1177" s="18" t="s">
        <v>279</v>
      </c>
      <c r="E1177" s="61">
        <v>2017</v>
      </c>
      <c r="F1177" s="62">
        <v>120242000</v>
      </c>
      <c r="G1177" s="62">
        <v>130644000</v>
      </c>
      <c r="H1177" s="62">
        <v>523899315</v>
      </c>
      <c r="I1177" s="62">
        <v>522463000</v>
      </c>
      <c r="J1177" s="62">
        <f t="shared" si="198"/>
        <v>0.2295135659797532</v>
      </c>
      <c r="K1177" s="62">
        <f t="shared" si="199"/>
        <v>0.25005407081458397</v>
      </c>
      <c r="L1177" s="63">
        <f t="shared" si="200"/>
        <v>8.6508873771228026E-2</v>
      </c>
      <c r="M1177" s="63">
        <f t="shared" si="201"/>
        <v>-2.7415859476739341E-3</v>
      </c>
      <c r="N1177" s="63">
        <f t="shared" si="202"/>
        <v>8.9495820201943008E-2</v>
      </c>
      <c r="O1177" s="62">
        <f t="shared" si="203"/>
        <v>0.24936852608788007</v>
      </c>
      <c r="P1177" s="62">
        <f t="shared" si="204"/>
        <v>1.9854960108126873E-2</v>
      </c>
      <c r="Q1177" s="62">
        <f t="shared" si="205"/>
        <v>6.8554472670390165E-4</v>
      </c>
      <c r="R1177" s="63">
        <f t="shared" si="206"/>
        <v>8.6508873771227984E-2</v>
      </c>
      <c r="S1177" s="63">
        <f t="shared" si="207"/>
        <v>2.9869464307150269E-3</v>
      </c>
      <c r="T1177" s="63">
        <f t="shared" si="208"/>
        <v>8.9495820201943008E-2</v>
      </c>
    </row>
    <row r="1178" spans="1:20" x14ac:dyDescent="0.3">
      <c r="A1178" s="18" t="s">
        <v>328</v>
      </c>
      <c r="B1178" s="18" t="s">
        <v>329</v>
      </c>
      <c r="C1178" s="18" t="s">
        <v>282</v>
      </c>
      <c r="D1178" s="18" t="s">
        <v>279</v>
      </c>
      <c r="E1178" s="61">
        <v>2018</v>
      </c>
      <c r="F1178" s="62">
        <v>130644000</v>
      </c>
      <c r="G1178" s="62">
        <v>208428000</v>
      </c>
      <c r="H1178" s="62">
        <v>522463000</v>
      </c>
      <c r="I1178" s="62">
        <v>589338000</v>
      </c>
      <c r="J1178" s="62">
        <f t="shared" si="198"/>
        <v>0.25005407081458397</v>
      </c>
      <c r="K1178" s="62">
        <f t="shared" si="199"/>
        <v>0.3536646203027804</v>
      </c>
      <c r="L1178" s="63">
        <f t="shared" si="200"/>
        <v>0.59538899605033524</v>
      </c>
      <c r="M1178" s="63">
        <f t="shared" si="201"/>
        <v>0.12799949470106017</v>
      </c>
      <c r="N1178" s="63">
        <f t="shared" si="202"/>
        <v>0.41435258042659112</v>
      </c>
      <c r="O1178" s="62">
        <f t="shared" si="203"/>
        <v>0.3989335129951786</v>
      </c>
      <c r="P1178" s="62">
        <f t="shared" si="204"/>
        <v>0.14887944218059462</v>
      </c>
      <c r="Q1178" s="62">
        <f t="shared" si="205"/>
        <v>-4.5268892692398199E-2</v>
      </c>
      <c r="R1178" s="63">
        <f t="shared" si="206"/>
        <v>0.59538899605033535</v>
      </c>
      <c r="S1178" s="63">
        <f t="shared" si="207"/>
        <v>-0.18103641562374426</v>
      </c>
      <c r="T1178" s="63">
        <f t="shared" si="208"/>
        <v>0.41435258042659107</v>
      </c>
    </row>
    <row r="1179" spans="1:20" x14ac:dyDescent="0.3">
      <c r="A1179" s="18" t="s">
        <v>328</v>
      </c>
      <c r="B1179" s="18" t="s">
        <v>329</v>
      </c>
      <c r="C1179" s="18" t="s">
        <v>282</v>
      </c>
      <c r="D1179" s="18" t="s">
        <v>279</v>
      </c>
      <c r="E1179" s="61">
        <v>2019</v>
      </c>
      <c r="F1179" s="62">
        <v>208428000</v>
      </c>
      <c r="G1179" s="62">
        <v>-273187000</v>
      </c>
      <c r="H1179" s="62">
        <v>589338000</v>
      </c>
      <c r="I1179" s="62">
        <v>556679000</v>
      </c>
      <c r="J1179" s="62">
        <f t="shared" si="198"/>
        <v>0.3536646203027804</v>
      </c>
      <c r="K1179" s="62">
        <f t="shared" si="199"/>
        <v>-0.49074421704429305</v>
      </c>
      <c r="L1179" s="63">
        <f t="shared" si="200"/>
        <v>-2.3107020170034738</v>
      </c>
      <c r="M1179" s="63">
        <f t="shared" si="201"/>
        <v>-5.5416416385843097E-2</v>
      </c>
      <c r="N1179" s="63">
        <f t="shared" si="202"/>
        <v>-2.3875977094461858</v>
      </c>
      <c r="O1179" s="62">
        <f t="shared" si="203"/>
        <v>-0.46354893117362195</v>
      </c>
      <c r="P1179" s="62">
        <f t="shared" si="204"/>
        <v>-0.81721355147640229</v>
      </c>
      <c r="Q1179" s="62">
        <f t="shared" si="205"/>
        <v>-2.7195285870671104E-2</v>
      </c>
      <c r="R1179" s="63">
        <f t="shared" si="206"/>
        <v>-2.3107020170034738</v>
      </c>
      <c r="S1179" s="63">
        <f t="shared" si="207"/>
        <v>-7.6895692442711952E-2</v>
      </c>
      <c r="T1179" s="63">
        <f t="shared" si="208"/>
        <v>-2.3875977094461858</v>
      </c>
    </row>
    <row r="1180" spans="1:20" x14ac:dyDescent="0.3">
      <c r="A1180" s="18" t="s">
        <v>328</v>
      </c>
      <c r="B1180" s="18" t="s">
        <v>329</v>
      </c>
      <c r="C1180" s="18" t="s">
        <v>282</v>
      </c>
      <c r="D1180" s="18" t="s">
        <v>279</v>
      </c>
      <c r="E1180" s="61">
        <v>2020</v>
      </c>
      <c r="F1180" s="62">
        <v>-273187000</v>
      </c>
      <c r="G1180" s="62">
        <v>35697000</v>
      </c>
      <c r="H1180" s="62">
        <v>556679000</v>
      </c>
      <c r="I1180" s="62">
        <v>576661000</v>
      </c>
      <c r="J1180" s="62">
        <f t="shared" si="198"/>
        <v>-0.49074421704429305</v>
      </c>
      <c r="K1180" s="62">
        <f t="shared" si="199"/>
        <v>6.1902920433322177E-2</v>
      </c>
      <c r="L1180" s="63">
        <f t="shared" si="200"/>
        <v>1.1306687360672361</v>
      </c>
      <c r="M1180" s="63">
        <f t="shared" si="201"/>
        <v>3.5895013104500079E-2</v>
      </c>
      <c r="N1180" s="63">
        <f t="shared" si="202"/>
        <v>1.1261409065727921</v>
      </c>
      <c r="O1180" s="62">
        <f t="shared" si="203"/>
        <v>6.4124926573483107E-2</v>
      </c>
      <c r="P1180" s="62">
        <f t="shared" si="204"/>
        <v>0.55486914361777617</v>
      </c>
      <c r="Q1180" s="62">
        <f t="shared" si="205"/>
        <v>-2.2220061401609301E-3</v>
      </c>
      <c r="R1180" s="63">
        <f t="shared" si="206"/>
        <v>1.1306687360672361</v>
      </c>
      <c r="S1180" s="63">
        <f t="shared" si="207"/>
        <v>-4.5278294944439022E-3</v>
      </c>
      <c r="T1180" s="63">
        <f t="shared" si="208"/>
        <v>1.1261409065727921</v>
      </c>
    </row>
    <row r="1181" spans="1:20" x14ac:dyDescent="0.3">
      <c r="A1181" s="18" t="s">
        <v>328</v>
      </c>
      <c r="B1181" s="18" t="s">
        <v>329</v>
      </c>
      <c r="C1181" s="18" t="s">
        <v>282</v>
      </c>
      <c r="D1181" s="18" t="s">
        <v>279</v>
      </c>
      <c r="E1181" s="61">
        <v>2021</v>
      </c>
      <c r="F1181" s="62">
        <v>35697000</v>
      </c>
      <c r="G1181" s="62">
        <v>-189182000</v>
      </c>
      <c r="H1181" s="62">
        <v>576661000</v>
      </c>
      <c r="I1181" s="62">
        <v>605217000</v>
      </c>
      <c r="J1181" s="62">
        <f t="shared" si="198"/>
        <v>6.1902920433322177E-2</v>
      </c>
      <c r="K1181" s="62">
        <f t="shared" si="199"/>
        <v>-0.31258540325205669</v>
      </c>
      <c r="L1181" s="63">
        <f t="shared" si="200"/>
        <v>-6.299661035941396</v>
      </c>
      <c r="M1181" s="63">
        <f t="shared" si="201"/>
        <v>4.951956175291896E-2</v>
      </c>
      <c r="N1181" s="63">
        <f t="shared" si="202"/>
        <v>-6.0496067239469502</v>
      </c>
      <c r="O1181" s="62">
        <f t="shared" si="203"/>
        <v>-0.32806449543145799</v>
      </c>
      <c r="P1181" s="62">
        <f t="shared" si="204"/>
        <v>-0.38996741586478018</v>
      </c>
      <c r="Q1181" s="62">
        <f t="shared" si="205"/>
        <v>1.5479092179401299E-2</v>
      </c>
      <c r="R1181" s="63">
        <f t="shared" si="206"/>
        <v>-6.299661035941396</v>
      </c>
      <c r="S1181" s="63">
        <f t="shared" si="207"/>
        <v>0.25005431199444583</v>
      </c>
      <c r="T1181" s="63">
        <f t="shared" si="208"/>
        <v>-6.0496067239469502</v>
      </c>
    </row>
    <row r="1182" spans="1:20" x14ac:dyDescent="0.3">
      <c r="A1182" s="18" t="s">
        <v>328</v>
      </c>
      <c r="B1182" s="18" t="s">
        <v>329</v>
      </c>
      <c r="C1182" s="18" t="s">
        <v>282</v>
      </c>
      <c r="D1182" s="18" t="s">
        <v>279</v>
      </c>
      <c r="E1182" s="61">
        <v>2022</v>
      </c>
      <c r="F1182" s="62">
        <v>-189182000</v>
      </c>
      <c r="G1182" s="62">
        <v>110516000</v>
      </c>
      <c r="H1182" s="62">
        <v>605217000</v>
      </c>
      <c r="I1182" s="62">
        <v>629199000</v>
      </c>
      <c r="J1182" s="62">
        <f t="shared" si="198"/>
        <v>-0.31258540325205669</v>
      </c>
      <c r="K1182" s="62">
        <f t="shared" si="199"/>
        <v>0.17564554298401619</v>
      </c>
      <c r="L1182" s="63">
        <f t="shared" si="200"/>
        <v>1.5841781987715533</v>
      </c>
      <c r="M1182" s="63">
        <f t="shared" si="201"/>
        <v>3.962545665439008E-2</v>
      </c>
      <c r="N1182" s="63">
        <f t="shared" si="202"/>
        <v>1.5619121723428091</v>
      </c>
      <c r="O1182" s="62">
        <f t="shared" si="203"/>
        <v>0.18260557783406614</v>
      </c>
      <c r="P1182" s="62">
        <f t="shared" si="204"/>
        <v>0.49519098108612281</v>
      </c>
      <c r="Q1182" s="62">
        <f t="shared" si="205"/>
        <v>-6.9600348500499509E-3</v>
      </c>
      <c r="R1182" s="63">
        <f t="shared" si="206"/>
        <v>1.5841781987715533</v>
      </c>
      <c r="S1182" s="63">
        <f t="shared" si="207"/>
        <v>-2.226602642874418E-2</v>
      </c>
      <c r="T1182" s="63">
        <f t="shared" si="208"/>
        <v>1.5619121723428091</v>
      </c>
    </row>
    <row r="1183" spans="1:20" x14ac:dyDescent="0.3">
      <c r="A1183" s="18" t="s">
        <v>328</v>
      </c>
      <c r="B1183" s="18" t="s">
        <v>329</v>
      </c>
      <c r="C1183" s="18" t="s">
        <v>282</v>
      </c>
      <c r="D1183" s="18" t="s">
        <v>279</v>
      </c>
      <c r="E1183" s="61">
        <v>2023</v>
      </c>
      <c r="F1183" s="62">
        <v>110516000</v>
      </c>
      <c r="G1183" s="62">
        <v>153222000</v>
      </c>
      <c r="H1183" s="62">
        <v>629199000</v>
      </c>
      <c r="I1183" s="62">
        <v>652871000</v>
      </c>
      <c r="J1183" s="62">
        <f t="shared" si="198"/>
        <v>0.17564554298401619</v>
      </c>
      <c r="K1183" s="62">
        <f t="shared" si="199"/>
        <v>0.23468954816495141</v>
      </c>
      <c r="L1183" s="63">
        <f t="shared" si="200"/>
        <v>0.38642368525824317</v>
      </c>
      <c r="M1183" s="63">
        <f t="shared" si="201"/>
        <v>3.7622437416461249E-2</v>
      </c>
      <c r="N1183" s="63">
        <f t="shared" si="202"/>
        <v>0.33615430359259529</v>
      </c>
      <c r="O1183" s="62">
        <f t="shared" si="203"/>
        <v>0.24351914100308489</v>
      </c>
      <c r="P1183" s="62">
        <f t="shared" si="204"/>
        <v>6.7873598019068698E-2</v>
      </c>
      <c r="Q1183" s="62">
        <f t="shared" si="205"/>
        <v>-8.8295928381334765E-3</v>
      </c>
      <c r="R1183" s="63">
        <f t="shared" si="206"/>
        <v>0.38642368525824322</v>
      </c>
      <c r="S1183" s="63">
        <f t="shared" si="207"/>
        <v>-5.0269381665647914E-2</v>
      </c>
      <c r="T1183" s="63">
        <f t="shared" si="208"/>
        <v>0.33615430359259529</v>
      </c>
    </row>
    <row r="1184" spans="1:20" x14ac:dyDescent="0.3">
      <c r="A1184" s="18" t="s">
        <v>328</v>
      </c>
      <c r="B1184" s="18" t="s">
        <v>329</v>
      </c>
      <c r="C1184" s="18" t="s">
        <v>282</v>
      </c>
      <c r="D1184" s="18" t="s">
        <v>279</v>
      </c>
      <c r="E1184" s="61">
        <v>2024</v>
      </c>
      <c r="F1184" s="62">
        <v>153222000</v>
      </c>
      <c r="G1184" s="62">
        <v>113373000</v>
      </c>
      <c r="H1184" s="62">
        <v>652871000</v>
      </c>
      <c r="I1184" s="62">
        <v>734622000</v>
      </c>
      <c r="J1184" s="62">
        <f t="shared" si="198"/>
        <v>0.23468954816495141</v>
      </c>
      <c r="K1184" s="62">
        <f t="shared" si="199"/>
        <v>0.15432834845675736</v>
      </c>
      <c r="L1184" s="63">
        <f t="shared" si="200"/>
        <v>-0.26007361867094803</v>
      </c>
      <c r="M1184" s="63">
        <f t="shared" si="201"/>
        <v>0.1252176923159399</v>
      </c>
      <c r="N1184" s="63">
        <f t="shared" si="202"/>
        <v>-0.34241490657143464</v>
      </c>
      <c r="O1184" s="62">
        <f t="shared" si="203"/>
        <v>0.17365298810944274</v>
      </c>
      <c r="P1184" s="62">
        <f t="shared" si="204"/>
        <v>-6.1036560055508671E-2</v>
      </c>
      <c r="Q1184" s="62">
        <f t="shared" si="205"/>
        <v>-1.9324639652685383E-2</v>
      </c>
      <c r="R1184" s="63">
        <f t="shared" si="206"/>
        <v>-0.26007361867094808</v>
      </c>
      <c r="S1184" s="63">
        <f t="shared" si="207"/>
        <v>-8.2341287900486601E-2</v>
      </c>
      <c r="T1184" s="63">
        <f t="shared" si="208"/>
        <v>-0.3424149065714347</v>
      </c>
    </row>
    <row r="1185" spans="1:20" x14ac:dyDescent="0.3">
      <c r="A1185" s="18" t="s">
        <v>330</v>
      </c>
      <c r="B1185" s="18" t="s">
        <v>331</v>
      </c>
      <c r="C1185" s="18" t="s">
        <v>282</v>
      </c>
      <c r="D1185" s="18" t="s">
        <v>279</v>
      </c>
      <c r="E1185" s="61">
        <v>2019</v>
      </c>
      <c r="F1185" s="62">
        <v>152550000</v>
      </c>
      <c r="G1185" s="62">
        <v>172281000</v>
      </c>
      <c r="H1185" s="62">
        <v>1606703000</v>
      </c>
      <c r="I1185" s="62">
        <v>1604781000</v>
      </c>
      <c r="J1185" s="62">
        <f t="shared" si="198"/>
        <v>9.4945985661320106E-2</v>
      </c>
      <c r="K1185" s="62">
        <f t="shared" si="199"/>
        <v>0.10735483533267157</v>
      </c>
      <c r="L1185" s="63">
        <f t="shared" si="200"/>
        <v>0.12934119960668633</v>
      </c>
      <c r="M1185" s="63">
        <f t="shared" si="201"/>
        <v>-1.1962385082992936E-3</v>
      </c>
      <c r="N1185" s="63">
        <f t="shared" si="202"/>
        <v>0.13069377904627602</v>
      </c>
      <c r="O1185" s="62">
        <f t="shared" si="203"/>
        <v>0.10722641334459448</v>
      </c>
      <c r="P1185" s="62">
        <f t="shared" si="204"/>
        <v>1.2280427683274378E-2</v>
      </c>
      <c r="Q1185" s="62">
        <f t="shared" si="205"/>
        <v>1.2842198807708205E-4</v>
      </c>
      <c r="R1185" s="63">
        <f t="shared" si="206"/>
        <v>0.12934119960668627</v>
      </c>
      <c r="S1185" s="63">
        <f t="shared" si="207"/>
        <v>1.3525794395897212E-3</v>
      </c>
      <c r="T1185" s="63">
        <f t="shared" si="208"/>
        <v>0.13069377904627599</v>
      </c>
    </row>
    <row r="1186" spans="1:20" x14ac:dyDescent="0.3">
      <c r="A1186" s="18" t="s">
        <v>330</v>
      </c>
      <c r="B1186" s="18" t="s">
        <v>331</v>
      </c>
      <c r="C1186" s="18" t="s">
        <v>282</v>
      </c>
      <c r="D1186" s="18" t="s">
        <v>279</v>
      </c>
      <c r="E1186" s="61">
        <v>2020</v>
      </c>
      <c r="F1186" s="62">
        <v>172281000</v>
      </c>
      <c r="G1186" s="62">
        <v>77831000</v>
      </c>
      <c r="H1186" s="62">
        <v>1604781000</v>
      </c>
      <c r="I1186" s="62">
        <v>1582947000</v>
      </c>
      <c r="J1186" s="62">
        <f t="shared" si="198"/>
        <v>0.10735483533267157</v>
      </c>
      <c r="K1186" s="62">
        <f t="shared" si="199"/>
        <v>4.9168418146659364E-2</v>
      </c>
      <c r="L1186" s="63">
        <f t="shared" si="200"/>
        <v>-0.54823224847777763</v>
      </c>
      <c r="M1186" s="63">
        <f t="shared" si="201"/>
        <v>-1.3605594782091762E-2</v>
      </c>
      <c r="N1186" s="63">
        <f t="shared" si="202"/>
        <v>-0.54200089828934039</v>
      </c>
      <c r="O1186" s="62">
        <f t="shared" si="203"/>
        <v>4.8499452573279471E-2</v>
      </c>
      <c r="P1186" s="62">
        <f t="shared" si="204"/>
        <v>-5.8855382759392096E-2</v>
      </c>
      <c r="Q1186" s="62">
        <f t="shared" si="205"/>
        <v>6.6896557337989271E-4</v>
      </c>
      <c r="R1186" s="63">
        <f t="shared" si="206"/>
        <v>-0.54823224847777763</v>
      </c>
      <c r="S1186" s="63">
        <f t="shared" si="207"/>
        <v>6.2313501884372485E-3</v>
      </c>
      <c r="T1186" s="63">
        <f t="shared" si="208"/>
        <v>-0.54200089828934039</v>
      </c>
    </row>
    <row r="1187" spans="1:20" x14ac:dyDescent="0.3">
      <c r="A1187" s="18" t="s">
        <v>330</v>
      </c>
      <c r="B1187" s="18" t="s">
        <v>331</v>
      </c>
      <c r="C1187" s="18" t="s">
        <v>282</v>
      </c>
      <c r="D1187" s="18" t="s">
        <v>279</v>
      </c>
      <c r="E1187" s="61">
        <v>2021</v>
      </c>
      <c r="F1187" s="62">
        <v>77831000</v>
      </c>
      <c r="G1187" s="62">
        <v>1113202000</v>
      </c>
      <c r="H1187" s="62">
        <v>1582947000</v>
      </c>
      <c r="I1187" s="62">
        <v>2033709000</v>
      </c>
      <c r="J1187" s="62">
        <f t="shared" si="198"/>
        <v>4.9168418146659364E-2</v>
      </c>
      <c r="K1187" s="62">
        <f t="shared" si="199"/>
        <v>0.54737526361932809</v>
      </c>
      <c r="L1187" s="63">
        <f t="shared" si="200"/>
        <v>13.302809934344927</v>
      </c>
      <c r="M1187" s="63">
        <f t="shared" si="201"/>
        <v>0.28476127122386286</v>
      </c>
      <c r="N1187" s="63">
        <f t="shared" si="202"/>
        <v>10.132659626889344</v>
      </c>
      <c r="O1187" s="62">
        <f t="shared" si="203"/>
        <v>0.70324653952406491</v>
      </c>
      <c r="P1187" s="62">
        <f t="shared" si="204"/>
        <v>0.65407812137740551</v>
      </c>
      <c r="Q1187" s="62">
        <f t="shared" si="205"/>
        <v>-0.15587127590473682</v>
      </c>
      <c r="R1187" s="63">
        <f t="shared" si="206"/>
        <v>13.302809934344927</v>
      </c>
      <c r="S1187" s="63">
        <f t="shared" si="207"/>
        <v>-3.1701503074555824</v>
      </c>
      <c r="T1187" s="63">
        <f t="shared" si="208"/>
        <v>10.132659626889344</v>
      </c>
    </row>
    <row r="1188" spans="1:20" x14ac:dyDescent="0.3">
      <c r="A1188" s="18" t="s">
        <v>330</v>
      </c>
      <c r="B1188" s="18" t="s">
        <v>331</v>
      </c>
      <c r="C1188" s="18" t="s">
        <v>282</v>
      </c>
      <c r="D1188" s="18" t="s">
        <v>279</v>
      </c>
      <c r="E1188" s="61">
        <v>2022</v>
      </c>
      <c r="F1188" s="62">
        <v>1113202000</v>
      </c>
      <c r="G1188" s="62">
        <v>277576000</v>
      </c>
      <c r="H1188" s="62">
        <v>2033709000</v>
      </c>
      <c r="I1188" s="62">
        <v>2653106000</v>
      </c>
      <c r="J1188" s="62">
        <f t="shared" si="198"/>
        <v>0.54737526361932809</v>
      </c>
      <c r="K1188" s="62">
        <f t="shared" si="199"/>
        <v>0.1046230342850983</v>
      </c>
      <c r="L1188" s="63">
        <f t="shared" si="200"/>
        <v>-0.75065082527699378</v>
      </c>
      <c r="M1188" s="63">
        <f t="shared" si="201"/>
        <v>0.30456520573985757</v>
      </c>
      <c r="N1188" s="63">
        <f t="shared" si="202"/>
        <v>-0.80886415364604725</v>
      </c>
      <c r="O1188" s="62">
        <f t="shared" si="203"/>
        <v>0.13648757024726743</v>
      </c>
      <c r="P1188" s="62">
        <f t="shared" si="204"/>
        <v>-0.41088769337206066</v>
      </c>
      <c r="Q1188" s="62">
        <f t="shared" si="205"/>
        <v>-3.1864535962169135E-2</v>
      </c>
      <c r="R1188" s="63">
        <f t="shared" si="206"/>
        <v>-0.75065082527699378</v>
      </c>
      <c r="S1188" s="63">
        <f t="shared" si="207"/>
        <v>-5.8213328369053435E-2</v>
      </c>
      <c r="T1188" s="63">
        <f t="shared" si="208"/>
        <v>-0.80886415364604725</v>
      </c>
    </row>
    <row r="1189" spans="1:20" x14ac:dyDescent="0.3">
      <c r="A1189" s="18" t="s">
        <v>330</v>
      </c>
      <c r="B1189" s="18" t="s">
        <v>331</v>
      </c>
      <c r="C1189" s="18" t="s">
        <v>282</v>
      </c>
      <c r="D1189" s="18" t="s">
        <v>279</v>
      </c>
      <c r="E1189" s="61">
        <v>2023</v>
      </c>
      <c r="F1189" s="62">
        <v>277576000</v>
      </c>
      <c r="G1189" s="62">
        <v>266703000</v>
      </c>
      <c r="H1189" s="62">
        <v>2653106000</v>
      </c>
      <c r="I1189" s="62">
        <v>2655118000</v>
      </c>
      <c r="J1189" s="62">
        <f t="shared" si="198"/>
        <v>0.1046230342850983</v>
      </c>
      <c r="K1189" s="62">
        <f t="shared" si="199"/>
        <v>0.1004486429605012</v>
      </c>
      <c r="L1189" s="63">
        <f t="shared" si="200"/>
        <v>-3.9171253998904802E-2</v>
      </c>
      <c r="M1189" s="63">
        <f t="shared" si="201"/>
        <v>7.5835643204606219E-4</v>
      </c>
      <c r="N1189" s="63">
        <f t="shared" si="202"/>
        <v>-3.9899352500347686E-2</v>
      </c>
      <c r="O1189" s="62">
        <f t="shared" si="203"/>
        <v>0.10052481883498059</v>
      </c>
      <c r="P1189" s="62">
        <f t="shared" si="204"/>
        <v>-4.0982154501177093E-3</v>
      </c>
      <c r="Q1189" s="62">
        <f t="shared" si="205"/>
        <v>-7.6175874479389449E-5</v>
      </c>
      <c r="R1189" s="63">
        <f t="shared" si="206"/>
        <v>-3.9171253998904788E-2</v>
      </c>
      <c r="S1189" s="63">
        <f t="shared" si="207"/>
        <v>-7.2809850144290222E-4</v>
      </c>
      <c r="T1189" s="63">
        <f t="shared" si="208"/>
        <v>-3.9899352500347693E-2</v>
      </c>
    </row>
    <row r="1190" spans="1:20" x14ac:dyDescent="0.3">
      <c r="A1190" s="18" t="s">
        <v>330</v>
      </c>
      <c r="B1190" s="18" t="s">
        <v>331</v>
      </c>
      <c r="C1190" s="18" t="s">
        <v>282</v>
      </c>
      <c r="D1190" s="18" t="s">
        <v>279</v>
      </c>
      <c r="E1190" s="61">
        <v>2024</v>
      </c>
      <c r="F1190" s="62">
        <v>266703000</v>
      </c>
      <c r="G1190" s="62">
        <v>573334000</v>
      </c>
      <c r="H1190" s="62">
        <v>2655118000</v>
      </c>
      <c r="I1190" s="62">
        <v>2569157515</v>
      </c>
      <c r="J1190" s="62">
        <f t="shared" si="198"/>
        <v>0.1004486429605012</v>
      </c>
      <c r="K1190" s="62">
        <f t="shared" si="199"/>
        <v>0.22316031487076807</v>
      </c>
      <c r="L1190" s="63">
        <f t="shared" si="200"/>
        <v>1.1497096020667184</v>
      </c>
      <c r="M1190" s="63">
        <f t="shared" si="201"/>
        <v>-3.2375391602181149E-2</v>
      </c>
      <c r="N1190" s="63">
        <f t="shared" si="202"/>
        <v>1.2216359354752062</v>
      </c>
      <c r="O1190" s="62">
        <f t="shared" si="203"/>
        <v>0.21593541228676089</v>
      </c>
      <c r="P1190" s="62">
        <f t="shared" si="204"/>
        <v>0.11548676932625969</v>
      </c>
      <c r="Q1190" s="62">
        <f t="shared" si="205"/>
        <v>7.2249025840071812E-3</v>
      </c>
      <c r="R1190" s="63">
        <f t="shared" si="206"/>
        <v>1.1497096020667181</v>
      </c>
      <c r="S1190" s="63">
        <f t="shared" si="207"/>
        <v>7.1926333408488016E-2</v>
      </c>
      <c r="T1190" s="63">
        <f t="shared" si="208"/>
        <v>1.2216359354752062</v>
      </c>
    </row>
    <row r="1191" spans="1:20" x14ac:dyDescent="0.3">
      <c r="A1191" s="18" t="s">
        <v>332</v>
      </c>
      <c r="B1191" s="18" t="s">
        <v>333</v>
      </c>
      <c r="C1191" s="18" t="s">
        <v>282</v>
      </c>
      <c r="D1191" s="18" t="s">
        <v>279</v>
      </c>
      <c r="E1191" s="61">
        <v>2016</v>
      </c>
      <c r="F1191" s="62">
        <v>6588000</v>
      </c>
      <c r="G1191" s="62">
        <v>-24082000</v>
      </c>
      <c r="H1191" s="62">
        <v>18381676</v>
      </c>
      <c r="I1191" s="62">
        <v>18382759</v>
      </c>
      <c r="J1191" s="62">
        <f t="shared" si="198"/>
        <v>0.35840039830970799</v>
      </c>
      <c r="K1191" s="62">
        <f t="shared" si="199"/>
        <v>-1.3100318619201829</v>
      </c>
      <c r="L1191" s="63">
        <f t="shared" si="200"/>
        <v>-4.6554341226472378</v>
      </c>
      <c r="M1191" s="63">
        <f t="shared" si="201"/>
        <v>5.8917369667488425E-5</v>
      </c>
      <c r="N1191" s="63">
        <f t="shared" si="202"/>
        <v>-4.6552187667719398</v>
      </c>
      <c r="O1191" s="62">
        <f t="shared" si="203"/>
        <v>-1.310109045551668</v>
      </c>
      <c r="P1191" s="62">
        <f t="shared" si="204"/>
        <v>-1.6685094438613759</v>
      </c>
      <c r="Q1191" s="62">
        <f t="shared" si="205"/>
        <v>7.7183631485011617E-5</v>
      </c>
      <c r="R1191" s="63">
        <f t="shared" si="206"/>
        <v>-4.6554341226472378</v>
      </c>
      <c r="S1191" s="63">
        <f t="shared" si="207"/>
        <v>2.1535587529764456E-4</v>
      </c>
      <c r="T1191" s="63">
        <f t="shared" si="208"/>
        <v>-4.6552187667719398</v>
      </c>
    </row>
    <row r="1192" spans="1:20" x14ac:dyDescent="0.3">
      <c r="A1192" s="18" t="s">
        <v>332</v>
      </c>
      <c r="B1192" s="18" t="s">
        <v>333</v>
      </c>
      <c r="C1192" s="18" t="s">
        <v>282</v>
      </c>
      <c r="D1192" s="18" t="s">
        <v>279</v>
      </c>
      <c r="E1192" s="61">
        <v>2017</v>
      </c>
      <c r="F1192" s="62">
        <v>-24082000</v>
      </c>
      <c r="G1192" s="62">
        <v>-26745000</v>
      </c>
      <c r="H1192" s="62">
        <v>18382759</v>
      </c>
      <c r="I1192" s="62">
        <v>18389676</v>
      </c>
      <c r="J1192" s="62">
        <f t="shared" si="198"/>
        <v>-1.3100318619201829</v>
      </c>
      <c r="K1192" s="62">
        <f t="shared" si="199"/>
        <v>-1.4543486247392288</v>
      </c>
      <c r="L1192" s="63">
        <f t="shared" si="200"/>
        <v>-0.11058051656839132</v>
      </c>
      <c r="M1192" s="63">
        <f t="shared" si="201"/>
        <v>3.762764882028862E-4</v>
      </c>
      <c r="N1192" s="63">
        <f t="shared" si="202"/>
        <v>-0.1101627884130338</v>
      </c>
      <c r="O1192" s="62">
        <f t="shared" si="203"/>
        <v>-1.4548958619323682</v>
      </c>
      <c r="P1192" s="62">
        <f t="shared" si="204"/>
        <v>-0.14486400001218525</v>
      </c>
      <c r="Q1192" s="62">
        <f t="shared" si="205"/>
        <v>5.4723719313942709E-4</v>
      </c>
      <c r="R1192" s="63">
        <f t="shared" si="206"/>
        <v>-0.11058051656839127</v>
      </c>
      <c r="S1192" s="63">
        <f t="shared" si="207"/>
        <v>4.1772815535746785E-4</v>
      </c>
      <c r="T1192" s="63">
        <f t="shared" si="208"/>
        <v>-0.1101627884130338</v>
      </c>
    </row>
    <row r="1193" spans="1:20" x14ac:dyDescent="0.3">
      <c r="A1193" s="18" t="s">
        <v>332</v>
      </c>
      <c r="B1193" s="18" t="s">
        <v>333</v>
      </c>
      <c r="C1193" s="18" t="s">
        <v>282</v>
      </c>
      <c r="D1193" s="18" t="s">
        <v>279</v>
      </c>
      <c r="E1193" s="61">
        <v>2018</v>
      </c>
      <c r="F1193" s="62">
        <v>-26745000</v>
      </c>
      <c r="G1193" s="62">
        <v>-5535000</v>
      </c>
      <c r="H1193" s="62">
        <v>18389676</v>
      </c>
      <c r="I1193" s="62">
        <v>18413259</v>
      </c>
      <c r="J1193" s="62">
        <f t="shared" si="198"/>
        <v>-1.4543486247392288</v>
      </c>
      <c r="K1193" s="62">
        <f t="shared" si="199"/>
        <v>-0.30059860668879962</v>
      </c>
      <c r="L1193" s="63">
        <f t="shared" si="200"/>
        <v>0.79304542905215925</v>
      </c>
      <c r="M1193" s="63">
        <f t="shared" si="201"/>
        <v>1.2824043229472885E-3</v>
      </c>
      <c r="N1193" s="63">
        <f t="shared" si="202"/>
        <v>0.79331048857511843</v>
      </c>
      <c r="O1193" s="62">
        <f t="shared" si="203"/>
        <v>-0.30098409564148926</v>
      </c>
      <c r="P1193" s="62">
        <f t="shared" si="204"/>
        <v>1.1533645290977395</v>
      </c>
      <c r="Q1193" s="62">
        <f t="shared" si="205"/>
        <v>3.8548895268963879E-4</v>
      </c>
      <c r="R1193" s="63">
        <f t="shared" si="206"/>
        <v>0.79304542905215925</v>
      </c>
      <c r="S1193" s="63">
        <f t="shared" si="207"/>
        <v>2.6505952295912452E-4</v>
      </c>
      <c r="T1193" s="63">
        <f t="shared" si="208"/>
        <v>0.79331048857511832</v>
      </c>
    </row>
    <row r="1194" spans="1:20" x14ac:dyDescent="0.3">
      <c r="A1194" s="18" t="s">
        <v>332</v>
      </c>
      <c r="B1194" s="18" t="s">
        <v>333</v>
      </c>
      <c r="C1194" s="18" t="s">
        <v>282</v>
      </c>
      <c r="D1194" s="18" t="s">
        <v>279</v>
      </c>
      <c r="E1194" s="61">
        <v>2019</v>
      </c>
      <c r="F1194" s="62">
        <v>-5535000</v>
      </c>
      <c r="G1194" s="62">
        <v>-9180000</v>
      </c>
      <c r="H1194" s="62">
        <v>18413259</v>
      </c>
      <c r="I1194" s="62">
        <v>18436999</v>
      </c>
      <c r="J1194" s="62">
        <f t="shared" si="198"/>
        <v>-0.30059860668879962</v>
      </c>
      <c r="K1194" s="62">
        <f t="shared" si="199"/>
        <v>-0.49791183478395806</v>
      </c>
      <c r="L1194" s="63">
        <f t="shared" si="200"/>
        <v>-0.65853658536585369</v>
      </c>
      <c r="M1194" s="63">
        <f t="shared" si="201"/>
        <v>1.2892883329344361E-3</v>
      </c>
      <c r="N1194" s="63">
        <f t="shared" si="202"/>
        <v>-0.65640100687303149</v>
      </c>
      <c r="O1194" s="62">
        <f t="shared" si="203"/>
        <v>-0.49855378670337502</v>
      </c>
      <c r="P1194" s="62">
        <f t="shared" si="204"/>
        <v>-0.1979551800145754</v>
      </c>
      <c r="Q1194" s="62">
        <f t="shared" si="205"/>
        <v>6.4195191941696095E-4</v>
      </c>
      <c r="R1194" s="63">
        <f t="shared" si="206"/>
        <v>-0.6585365853658538</v>
      </c>
      <c r="S1194" s="63">
        <f t="shared" si="207"/>
        <v>2.1355784928223363E-3</v>
      </c>
      <c r="T1194" s="63">
        <f t="shared" si="208"/>
        <v>-0.65640100687303149</v>
      </c>
    </row>
    <row r="1195" spans="1:20" x14ac:dyDescent="0.3">
      <c r="A1195" s="18" t="s">
        <v>332</v>
      </c>
      <c r="B1195" s="18" t="s">
        <v>333</v>
      </c>
      <c r="C1195" s="18" t="s">
        <v>282</v>
      </c>
      <c r="D1195" s="18" t="s">
        <v>279</v>
      </c>
      <c r="E1195" s="61">
        <v>2020</v>
      </c>
      <c r="F1195" s="62">
        <v>-9180000</v>
      </c>
      <c r="G1195" s="62">
        <v>137262000</v>
      </c>
      <c r="H1195" s="62">
        <v>18436999</v>
      </c>
      <c r="I1195" s="62">
        <v>18293000</v>
      </c>
      <c r="J1195" s="62">
        <f t="shared" si="198"/>
        <v>-0.49791183478395806</v>
      </c>
      <c r="K1195" s="62">
        <f t="shared" si="199"/>
        <v>7.5035259388837261</v>
      </c>
      <c r="L1195" s="63">
        <f t="shared" si="200"/>
        <v>15.952287581699347</v>
      </c>
      <c r="M1195" s="63">
        <f t="shared" si="201"/>
        <v>-7.810327483339344E-3</v>
      </c>
      <c r="N1195" s="63">
        <f t="shared" si="202"/>
        <v>16.069989131990557</v>
      </c>
      <c r="O1195" s="62">
        <f t="shared" si="203"/>
        <v>7.4449209440213124</v>
      </c>
      <c r="P1195" s="62">
        <f t="shared" si="204"/>
        <v>7.9428327788052702</v>
      </c>
      <c r="Q1195" s="62">
        <f t="shared" si="205"/>
        <v>5.8604994862413662E-2</v>
      </c>
      <c r="R1195" s="63">
        <f t="shared" si="206"/>
        <v>15.952287581699345</v>
      </c>
      <c r="S1195" s="63">
        <f t="shared" si="207"/>
        <v>0.11770155029121196</v>
      </c>
      <c r="T1195" s="63">
        <f t="shared" si="208"/>
        <v>16.069989131990557</v>
      </c>
    </row>
    <row r="1196" spans="1:20" x14ac:dyDescent="0.3">
      <c r="A1196" s="18" t="s">
        <v>332</v>
      </c>
      <c r="B1196" s="18" t="s">
        <v>333</v>
      </c>
      <c r="C1196" s="18" t="s">
        <v>282</v>
      </c>
      <c r="D1196" s="18" t="s">
        <v>279</v>
      </c>
      <c r="E1196" s="61">
        <v>2021</v>
      </c>
      <c r="F1196" s="62">
        <v>137262000</v>
      </c>
      <c r="G1196" s="62">
        <v>92859000</v>
      </c>
      <c r="H1196" s="62">
        <v>18293000</v>
      </c>
      <c r="I1196" s="62">
        <v>18070000</v>
      </c>
      <c r="J1196" s="62">
        <f t="shared" si="198"/>
        <v>7.5035259388837261</v>
      </c>
      <c r="K1196" s="62">
        <f t="shared" si="199"/>
        <v>5.1388489208633095</v>
      </c>
      <c r="L1196" s="63">
        <f t="shared" si="200"/>
        <v>-0.32349084233072517</v>
      </c>
      <c r="M1196" s="63">
        <f t="shared" si="201"/>
        <v>-1.2190455365440332E-2</v>
      </c>
      <c r="N1196" s="63">
        <f t="shared" si="202"/>
        <v>-0.31514211282545412</v>
      </c>
      <c r="O1196" s="62">
        <f t="shared" si="203"/>
        <v>5.0762040124637844</v>
      </c>
      <c r="P1196" s="62">
        <f t="shared" si="204"/>
        <v>-2.4273219264199417</v>
      </c>
      <c r="Q1196" s="62">
        <f t="shared" si="205"/>
        <v>6.2644908399525079E-2</v>
      </c>
      <c r="R1196" s="63">
        <f t="shared" si="206"/>
        <v>-0.32349084233072511</v>
      </c>
      <c r="S1196" s="63">
        <f t="shared" si="207"/>
        <v>8.3487295052710308E-3</v>
      </c>
      <c r="T1196" s="63">
        <f t="shared" si="208"/>
        <v>-0.31514211282545407</v>
      </c>
    </row>
    <row r="1197" spans="1:20" x14ac:dyDescent="0.3">
      <c r="A1197" s="18" t="s">
        <v>332</v>
      </c>
      <c r="B1197" s="18" t="s">
        <v>333</v>
      </c>
      <c r="C1197" s="18" t="s">
        <v>282</v>
      </c>
      <c r="D1197" s="18" t="s">
        <v>279</v>
      </c>
      <c r="E1197" s="61">
        <v>2022</v>
      </c>
      <c r="F1197" s="62">
        <v>92859000</v>
      </c>
      <c r="G1197" s="62">
        <v>49356000</v>
      </c>
      <c r="H1197" s="62">
        <v>18070000</v>
      </c>
      <c r="I1197" s="62">
        <v>18050000</v>
      </c>
      <c r="J1197" s="62">
        <f t="shared" si="198"/>
        <v>5.1388489208633095</v>
      </c>
      <c r="K1197" s="62">
        <f t="shared" si="199"/>
        <v>2.7344044321329641</v>
      </c>
      <c r="L1197" s="63">
        <f t="shared" si="200"/>
        <v>-0.46848447646431685</v>
      </c>
      <c r="M1197" s="63">
        <f t="shared" si="201"/>
        <v>-1.1068068622025456E-3</v>
      </c>
      <c r="N1197" s="63">
        <f t="shared" si="202"/>
        <v>-0.46789553959613328</v>
      </c>
      <c r="O1197" s="62">
        <f t="shared" si="203"/>
        <v>2.7313779745434421</v>
      </c>
      <c r="P1197" s="62">
        <f t="shared" si="204"/>
        <v>-2.4074709463198674</v>
      </c>
      <c r="Q1197" s="62">
        <f t="shared" si="205"/>
        <v>3.0264575895220247E-3</v>
      </c>
      <c r="R1197" s="63">
        <f t="shared" si="206"/>
        <v>-0.4684844764643169</v>
      </c>
      <c r="S1197" s="63">
        <f t="shared" si="207"/>
        <v>5.889368681836223E-4</v>
      </c>
      <c r="T1197" s="63">
        <f t="shared" si="208"/>
        <v>-0.46789553959613328</v>
      </c>
    </row>
    <row r="1198" spans="1:20" x14ac:dyDescent="0.3">
      <c r="A1198" s="18" t="s">
        <v>332</v>
      </c>
      <c r="B1198" s="18" t="s">
        <v>333</v>
      </c>
      <c r="C1198" s="18" t="s">
        <v>282</v>
      </c>
      <c r="D1198" s="18" t="s">
        <v>279</v>
      </c>
      <c r="E1198" s="61">
        <v>2023</v>
      </c>
      <c r="F1198" s="62">
        <v>49356000</v>
      </c>
      <c r="G1198" s="62">
        <v>1137000</v>
      </c>
      <c r="H1198" s="62">
        <v>18050000</v>
      </c>
      <c r="I1198" s="62">
        <v>17900000</v>
      </c>
      <c r="J1198" s="62">
        <f t="shared" si="198"/>
        <v>2.7344044321329641</v>
      </c>
      <c r="K1198" s="62">
        <f t="shared" si="199"/>
        <v>6.3519553072625703E-2</v>
      </c>
      <c r="L1198" s="63">
        <f t="shared" si="200"/>
        <v>-0.9769632871383418</v>
      </c>
      <c r="M1198" s="63">
        <f t="shared" si="201"/>
        <v>-8.3102493074792248E-3</v>
      </c>
      <c r="N1198" s="63">
        <f t="shared" si="202"/>
        <v>-0.9767702420584955</v>
      </c>
      <c r="O1198" s="62">
        <f t="shared" si="203"/>
        <v>6.2991689750692526E-2</v>
      </c>
      <c r="P1198" s="62">
        <f t="shared" si="204"/>
        <v>-2.6714127423822718</v>
      </c>
      <c r="Q1198" s="62">
        <f t="shared" si="205"/>
        <v>5.2786332193317798E-4</v>
      </c>
      <c r="R1198" s="63">
        <f t="shared" si="206"/>
        <v>-0.97696328713834191</v>
      </c>
      <c r="S1198" s="63">
        <f t="shared" si="207"/>
        <v>1.9304507984629755E-4</v>
      </c>
      <c r="T1198" s="63">
        <f t="shared" si="208"/>
        <v>-0.97677024205849561</v>
      </c>
    </row>
    <row r="1199" spans="1:20" x14ac:dyDescent="0.3">
      <c r="A1199" s="18" t="s">
        <v>332</v>
      </c>
      <c r="B1199" s="18" t="s">
        <v>333</v>
      </c>
      <c r="C1199" s="18" t="s">
        <v>282</v>
      </c>
      <c r="D1199" s="18" t="s">
        <v>279</v>
      </c>
      <c r="E1199" s="61">
        <v>2024</v>
      </c>
      <c r="F1199" s="62">
        <v>1137000</v>
      </c>
      <c r="G1199" s="62">
        <v>26125000</v>
      </c>
      <c r="H1199" s="62">
        <v>17900000</v>
      </c>
      <c r="I1199" s="62">
        <v>17539000</v>
      </c>
      <c r="J1199" s="62">
        <f t="shared" si="198"/>
        <v>6.3519553072625703E-2</v>
      </c>
      <c r="K1199" s="62">
        <f t="shared" si="199"/>
        <v>1.4895376019157307</v>
      </c>
      <c r="L1199" s="63">
        <f t="shared" si="200"/>
        <v>21.977132805628848</v>
      </c>
      <c r="M1199" s="63">
        <f t="shared" si="201"/>
        <v>-2.0167597765363129E-2</v>
      </c>
      <c r="N1199" s="63">
        <f t="shared" si="202"/>
        <v>22.450064269385731</v>
      </c>
      <c r="O1199" s="62">
        <f t="shared" si="203"/>
        <v>1.4594972067039107</v>
      </c>
      <c r="P1199" s="62">
        <f t="shared" si="204"/>
        <v>1.3959776536312849</v>
      </c>
      <c r="Q1199" s="62">
        <f t="shared" si="205"/>
        <v>3.0040395211820003E-2</v>
      </c>
      <c r="R1199" s="63">
        <f t="shared" si="206"/>
        <v>21.977132805628845</v>
      </c>
      <c r="S1199" s="63">
        <f t="shared" si="207"/>
        <v>0.47293146375688477</v>
      </c>
      <c r="T1199" s="63">
        <f t="shared" si="208"/>
        <v>22.450064269385731</v>
      </c>
    </row>
    <row r="1200" spans="1:20" x14ac:dyDescent="0.3">
      <c r="A1200" s="18" t="s">
        <v>334</v>
      </c>
      <c r="B1200" s="18" t="s">
        <v>335</v>
      </c>
      <c r="C1200" s="18" t="s">
        <v>282</v>
      </c>
      <c r="D1200" s="18" t="s">
        <v>279</v>
      </c>
      <c r="E1200" s="61">
        <v>2016</v>
      </c>
      <c r="F1200" s="62">
        <v>375920000</v>
      </c>
      <c r="G1200" s="62">
        <v>490109000</v>
      </c>
      <c r="H1200" s="62">
        <v>898866000</v>
      </c>
      <c r="I1200" s="62">
        <v>898848573</v>
      </c>
      <c r="J1200" s="62">
        <f t="shared" si="198"/>
        <v>0.41821584084835783</v>
      </c>
      <c r="K1200" s="62">
        <f t="shared" si="199"/>
        <v>0.54526314523058161</v>
      </c>
      <c r="L1200" s="63">
        <f t="shared" si="200"/>
        <v>0.30375877846350285</v>
      </c>
      <c r="M1200" s="63">
        <f t="shared" si="201"/>
        <v>-1.9387761913344146E-5</v>
      </c>
      <c r="N1200" s="63">
        <f t="shared" si="202"/>
        <v>0.30378405591836549</v>
      </c>
      <c r="O1200" s="62">
        <f t="shared" si="203"/>
        <v>0.54525257379854175</v>
      </c>
      <c r="P1200" s="62">
        <f t="shared" si="204"/>
        <v>0.12703673295018392</v>
      </c>
      <c r="Q1200" s="62">
        <f t="shared" si="205"/>
        <v>1.0571432039863105E-5</v>
      </c>
      <c r="R1200" s="63">
        <f t="shared" si="206"/>
        <v>0.30375877846350291</v>
      </c>
      <c r="S1200" s="63">
        <f t="shared" si="207"/>
        <v>2.5277454862586692E-5</v>
      </c>
      <c r="T1200" s="63">
        <f t="shared" si="208"/>
        <v>0.30378405591836549</v>
      </c>
    </row>
    <row r="1201" spans="1:20" x14ac:dyDescent="0.3">
      <c r="A1201" s="18" t="s">
        <v>334</v>
      </c>
      <c r="B1201" s="18" t="s">
        <v>335</v>
      </c>
      <c r="C1201" s="18" t="s">
        <v>282</v>
      </c>
      <c r="D1201" s="18" t="s">
        <v>279</v>
      </c>
      <c r="E1201" s="61">
        <v>2017</v>
      </c>
      <c r="F1201" s="62">
        <v>490109000</v>
      </c>
      <c r="G1201" s="62">
        <v>495207000</v>
      </c>
      <c r="H1201" s="62">
        <v>898848573</v>
      </c>
      <c r="I1201" s="62">
        <v>898683000</v>
      </c>
      <c r="J1201" s="62">
        <f t="shared" si="198"/>
        <v>0.54526314523058161</v>
      </c>
      <c r="K1201" s="62">
        <f t="shared" si="199"/>
        <v>0.55103634985862648</v>
      </c>
      <c r="L1201" s="63">
        <f t="shared" si="200"/>
        <v>1.0401767770026667E-2</v>
      </c>
      <c r="M1201" s="63">
        <f t="shared" si="201"/>
        <v>-1.8420566597484046E-4</v>
      </c>
      <c r="N1201" s="63">
        <f t="shared" si="202"/>
        <v>1.0587923791554791E-2</v>
      </c>
      <c r="O1201" s="62">
        <f t="shared" si="203"/>
        <v>0.55093484584082442</v>
      </c>
      <c r="P1201" s="62">
        <f t="shared" si="204"/>
        <v>5.6717006102428025E-3</v>
      </c>
      <c r="Q1201" s="62">
        <f t="shared" si="205"/>
        <v>1.0150401780206764E-4</v>
      </c>
      <c r="R1201" s="63">
        <f t="shared" si="206"/>
        <v>1.0401767770026609E-2</v>
      </c>
      <c r="S1201" s="63">
        <f t="shared" si="207"/>
        <v>1.8615602152818064E-4</v>
      </c>
      <c r="T1201" s="63">
        <f t="shared" si="208"/>
        <v>1.058792379155479E-2</v>
      </c>
    </row>
    <row r="1202" spans="1:20" x14ac:dyDescent="0.3">
      <c r="A1202" s="18" t="s">
        <v>334</v>
      </c>
      <c r="B1202" s="18" t="s">
        <v>335</v>
      </c>
      <c r="C1202" s="18" t="s">
        <v>282</v>
      </c>
      <c r="D1202" s="18" t="s">
        <v>279</v>
      </c>
      <c r="E1202" s="61">
        <v>2018</v>
      </c>
      <c r="F1202" s="62">
        <v>495207000</v>
      </c>
      <c r="G1202" s="62">
        <v>526398000</v>
      </c>
      <c r="H1202" s="62">
        <v>898683000</v>
      </c>
      <c r="I1202" s="62">
        <v>898634000</v>
      </c>
      <c r="J1202" s="62">
        <f t="shared" si="198"/>
        <v>0.55103634985862648</v>
      </c>
      <c r="K1202" s="62">
        <f t="shared" si="199"/>
        <v>0.58577574407378308</v>
      </c>
      <c r="L1202" s="63">
        <f t="shared" si="200"/>
        <v>6.2985781703408877E-2</v>
      </c>
      <c r="M1202" s="63">
        <f t="shared" si="201"/>
        <v>-5.4524231569975172E-5</v>
      </c>
      <c r="N1202" s="63">
        <f t="shared" si="202"/>
        <v>6.3043743346640035E-2</v>
      </c>
      <c r="O1202" s="62">
        <f t="shared" si="203"/>
        <v>0.58574380510146518</v>
      </c>
      <c r="P1202" s="62">
        <f t="shared" si="204"/>
        <v>3.4707455242838692E-2</v>
      </c>
      <c r="Q1202" s="62">
        <f t="shared" si="205"/>
        <v>3.1938972317901992E-5</v>
      </c>
      <c r="R1202" s="63">
        <f t="shared" si="206"/>
        <v>6.2985781703408877E-2</v>
      </c>
      <c r="S1202" s="63">
        <f t="shared" si="207"/>
        <v>5.7961643231152054E-5</v>
      </c>
      <c r="T1202" s="63">
        <f t="shared" si="208"/>
        <v>6.3043743346640035E-2</v>
      </c>
    </row>
    <row r="1203" spans="1:20" x14ac:dyDescent="0.3">
      <c r="A1203" s="18" t="s">
        <v>334</v>
      </c>
      <c r="B1203" s="18" t="s">
        <v>335</v>
      </c>
      <c r="C1203" s="18" t="s">
        <v>282</v>
      </c>
      <c r="D1203" s="18" t="s">
        <v>279</v>
      </c>
      <c r="E1203" s="61">
        <v>2019</v>
      </c>
      <c r="F1203" s="62">
        <v>526398000</v>
      </c>
      <c r="G1203" s="62">
        <v>550665000</v>
      </c>
      <c r="H1203" s="62">
        <v>898634000</v>
      </c>
      <c r="I1203" s="62">
        <v>898663000</v>
      </c>
      <c r="J1203" s="62">
        <f t="shared" si="198"/>
        <v>0.58577574407378308</v>
      </c>
      <c r="K1203" s="62">
        <f t="shared" si="199"/>
        <v>0.61276028945221961</v>
      </c>
      <c r="L1203" s="63">
        <f t="shared" si="200"/>
        <v>4.6100099164510501E-2</v>
      </c>
      <c r="M1203" s="63">
        <f t="shared" si="201"/>
        <v>3.2271202736597993E-5</v>
      </c>
      <c r="N1203" s="63">
        <f t="shared" si="202"/>
        <v>4.6066341345533106E-2</v>
      </c>
      <c r="O1203" s="62">
        <f t="shared" si="203"/>
        <v>0.6127800639637494</v>
      </c>
      <c r="P1203" s="62">
        <f t="shared" si="204"/>
        <v>2.7004319889966322E-2</v>
      </c>
      <c r="Q1203" s="62">
        <f t="shared" si="205"/>
        <v>-1.9774511529790928E-5</v>
      </c>
      <c r="R1203" s="63">
        <f t="shared" si="206"/>
        <v>4.6100099164510494E-2</v>
      </c>
      <c r="S1203" s="63">
        <f t="shared" si="207"/>
        <v>-3.3757818977393798E-5</v>
      </c>
      <c r="T1203" s="63">
        <f t="shared" si="208"/>
        <v>4.6066341345533099E-2</v>
      </c>
    </row>
    <row r="1204" spans="1:20" x14ac:dyDescent="0.3">
      <c r="A1204" s="18" t="s">
        <v>334</v>
      </c>
      <c r="B1204" s="18" t="s">
        <v>335</v>
      </c>
      <c r="C1204" s="18" t="s">
        <v>282</v>
      </c>
      <c r="D1204" s="18" t="s">
        <v>279</v>
      </c>
      <c r="E1204" s="61">
        <v>2020</v>
      </c>
      <c r="F1204" s="62">
        <v>550665000</v>
      </c>
      <c r="G1204" s="62">
        <v>317123000</v>
      </c>
      <c r="H1204" s="62">
        <v>898663000</v>
      </c>
      <c r="I1204" s="62">
        <v>898628000</v>
      </c>
      <c r="J1204" s="62">
        <f t="shared" si="198"/>
        <v>0.61276028945221961</v>
      </c>
      <c r="K1204" s="62">
        <f t="shared" si="199"/>
        <v>0.35289686054741226</v>
      </c>
      <c r="L1204" s="63">
        <f t="shared" si="200"/>
        <v>-0.42410903180699699</v>
      </c>
      <c r="M1204" s="63">
        <f t="shared" si="201"/>
        <v>-3.8946746444440237E-5</v>
      </c>
      <c r="N1204" s="63">
        <f t="shared" si="202"/>
        <v>-0.42408660185390551</v>
      </c>
      <c r="O1204" s="62">
        <f t="shared" si="203"/>
        <v>0.35288311636286351</v>
      </c>
      <c r="P1204" s="62">
        <f t="shared" si="204"/>
        <v>-0.25987717308935609</v>
      </c>
      <c r="Q1204" s="62">
        <f t="shared" si="205"/>
        <v>1.3744184548747373E-5</v>
      </c>
      <c r="R1204" s="63">
        <f t="shared" si="206"/>
        <v>-0.42410903180699699</v>
      </c>
      <c r="S1204" s="63">
        <f t="shared" si="207"/>
        <v>2.2429953091500204E-5</v>
      </c>
      <c r="T1204" s="63">
        <f t="shared" si="208"/>
        <v>-0.42408660185390551</v>
      </c>
    </row>
    <row r="1205" spans="1:20" x14ac:dyDescent="0.3">
      <c r="A1205" s="18" t="s">
        <v>334</v>
      </c>
      <c r="B1205" s="18" t="s">
        <v>335</v>
      </c>
      <c r="C1205" s="18" t="s">
        <v>282</v>
      </c>
      <c r="D1205" s="18" t="s">
        <v>279</v>
      </c>
      <c r="E1205" s="61">
        <v>2021</v>
      </c>
      <c r="F1205" s="62">
        <v>317123000</v>
      </c>
      <c r="G1205" s="62">
        <v>1333108000</v>
      </c>
      <c r="H1205" s="62">
        <v>898628000</v>
      </c>
      <c r="I1205" s="62">
        <v>897715000</v>
      </c>
      <c r="J1205" s="62">
        <f t="shared" si="198"/>
        <v>0.35289686054741226</v>
      </c>
      <c r="K1205" s="62">
        <f t="shared" si="199"/>
        <v>1.485001364575617</v>
      </c>
      <c r="L1205" s="63">
        <f t="shared" si="200"/>
        <v>3.2037569018961096</v>
      </c>
      <c r="M1205" s="63">
        <f t="shared" si="201"/>
        <v>-1.0159932697400926E-3</v>
      </c>
      <c r="N1205" s="63">
        <f t="shared" si="202"/>
        <v>3.2080322343250334</v>
      </c>
      <c r="O1205" s="62">
        <f t="shared" si="203"/>
        <v>1.4834926131836532</v>
      </c>
      <c r="P1205" s="62">
        <f t="shared" si="204"/>
        <v>1.1305957526362409</v>
      </c>
      <c r="Q1205" s="62">
        <f t="shared" si="205"/>
        <v>1.5087513919638251E-3</v>
      </c>
      <c r="R1205" s="63">
        <f t="shared" si="206"/>
        <v>3.2037569018961096</v>
      </c>
      <c r="S1205" s="63">
        <f t="shared" si="207"/>
        <v>4.275332428924008E-3</v>
      </c>
      <c r="T1205" s="63">
        <f t="shared" si="208"/>
        <v>3.2080322343250338</v>
      </c>
    </row>
    <row r="1206" spans="1:20" x14ac:dyDescent="0.3">
      <c r="A1206" s="18" t="s">
        <v>334</v>
      </c>
      <c r="B1206" s="18" t="s">
        <v>335</v>
      </c>
      <c r="C1206" s="18" t="s">
        <v>282</v>
      </c>
      <c r="D1206" s="18" t="s">
        <v>279</v>
      </c>
      <c r="E1206" s="61">
        <v>2022</v>
      </c>
      <c r="F1206" s="62">
        <v>1333108000</v>
      </c>
      <c r="G1206" s="62">
        <v>560203000</v>
      </c>
      <c r="H1206" s="62">
        <v>897715000</v>
      </c>
      <c r="I1206" s="62">
        <v>898592000</v>
      </c>
      <c r="J1206" s="62">
        <f t="shared" si="198"/>
        <v>1.485001364575617</v>
      </c>
      <c r="K1206" s="62">
        <f t="shared" si="199"/>
        <v>0.62342308856522199</v>
      </c>
      <c r="L1206" s="63">
        <f t="shared" si="200"/>
        <v>-0.57977673226775328</v>
      </c>
      <c r="M1206" s="63">
        <f t="shared" si="201"/>
        <v>9.7692474783199566E-4</v>
      </c>
      <c r="N1206" s="63">
        <f t="shared" si="202"/>
        <v>-0.58018685811552539</v>
      </c>
      <c r="O1206" s="62">
        <f t="shared" si="203"/>
        <v>0.62403212600881131</v>
      </c>
      <c r="P1206" s="62">
        <f t="shared" si="204"/>
        <v>-0.86096923856680574</v>
      </c>
      <c r="Q1206" s="62">
        <f t="shared" si="205"/>
        <v>-6.0903744358931089E-4</v>
      </c>
      <c r="R1206" s="63">
        <f t="shared" si="206"/>
        <v>-0.57977673226775328</v>
      </c>
      <c r="S1206" s="63">
        <f t="shared" si="207"/>
        <v>-4.1012584777210713E-4</v>
      </c>
      <c r="T1206" s="63">
        <f t="shared" si="208"/>
        <v>-0.58018685811552539</v>
      </c>
    </row>
    <row r="1207" spans="1:20" x14ac:dyDescent="0.3">
      <c r="A1207" s="18" t="s">
        <v>334</v>
      </c>
      <c r="B1207" s="18" t="s">
        <v>335</v>
      </c>
      <c r="C1207" s="18" t="s">
        <v>282</v>
      </c>
      <c r="D1207" s="18" t="s">
        <v>279</v>
      </c>
      <c r="E1207" s="61">
        <v>2023</v>
      </c>
      <c r="F1207" s="62">
        <v>560203000</v>
      </c>
      <c r="G1207" s="62">
        <v>844787000</v>
      </c>
      <c r="H1207" s="62">
        <v>898592000</v>
      </c>
      <c r="I1207" s="62">
        <v>898620000</v>
      </c>
      <c r="J1207" s="62">
        <f t="shared" si="198"/>
        <v>0.62342308856522199</v>
      </c>
      <c r="K1207" s="62">
        <f t="shared" si="199"/>
        <v>0.94009369922770469</v>
      </c>
      <c r="L1207" s="63">
        <f t="shared" si="200"/>
        <v>0.50800156371886618</v>
      </c>
      <c r="M1207" s="63">
        <f t="shared" si="201"/>
        <v>3.1159858979381078E-5</v>
      </c>
      <c r="N1207" s="63">
        <f t="shared" si="202"/>
        <v>0.50795457606692873</v>
      </c>
      <c r="O1207" s="62">
        <f t="shared" si="203"/>
        <v>0.94012299241480002</v>
      </c>
      <c r="P1207" s="62">
        <f t="shared" si="204"/>
        <v>0.31669990384957802</v>
      </c>
      <c r="Q1207" s="62">
        <f t="shared" si="205"/>
        <v>-2.9293187095325024E-5</v>
      </c>
      <c r="R1207" s="63">
        <f t="shared" si="206"/>
        <v>0.50800156371886629</v>
      </c>
      <c r="S1207" s="63">
        <f t="shared" si="207"/>
        <v>-4.6987651937533901E-5</v>
      </c>
      <c r="T1207" s="63">
        <f t="shared" si="208"/>
        <v>0.50795457606692873</v>
      </c>
    </row>
    <row r="1208" spans="1:20" x14ac:dyDescent="0.3">
      <c r="A1208" s="18" t="s">
        <v>334</v>
      </c>
      <c r="B1208" s="18" t="s">
        <v>335</v>
      </c>
      <c r="C1208" s="18" t="s">
        <v>282</v>
      </c>
      <c r="D1208" s="18" t="s">
        <v>279</v>
      </c>
      <c r="E1208" s="61">
        <v>2024</v>
      </c>
      <c r="F1208" s="62">
        <v>844787000</v>
      </c>
      <c r="G1208" s="62">
        <v>952971000</v>
      </c>
      <c r="H1208" s="62">
        <v>898620000</v>
      </c>
      <c r="I1208" s="62">
        <v>898617256</v>
      </c>
      <c r="J1208" s="62">
        <f t="shared" si="198"/>
        <v>0.94009369922770469</v>
      </c>
      <c r="K1208" s="62">
        <f t="shared" si="199"/>
        <v>1.0604859784709053</v>
      </c>
      <c r="L1208" s="63">
        <f t="shared" si="200"/>
        <v>0.12806068275198362</v>
      </c>
      <c r="M1208" s="63">
        <f t="shared" si="201"/>
        <v>-3.0535710311366318E-6</v>
      </c>
      <c r="N1208" s="63">
        <f t="shared" si="202"/>
        <v>0.12806412737592426</v>
      </c>
      <c r="O1208" s="62">
        <f t="shared" si="203"/>
        <v>1.0604827402016426</v>
      </c>
      <c r="P1208" s="62">
        <f t="shared" si="204"/>
        <v>0.12038904097393788</v>
      </c>
      <c r="Q1208" s="62">
        <f t="shared" si="205"/>
        <v>3.2382692627397347E-6</v>
      </c>
      <c r="R1208" s="63">
        <f t="shared" si="206"/>
        <v>0.12806068275198371</v>
      </c>
      <c r="S1208" s="63">
        <f t="shared" si="207"/>
        <v>3.444623940571032E-6</v>
      </c>
      <c r="T1208" s="63">
        <f t="shared" si="208"/>
        <v>0.12806412737592426</v>
      </c>
    </row>
    <row r="1209" spans="1:20" x14ac:dyDescent="0.3">
      <c r="A1209" s="18" t="s">
        <v>336</v>
      </c>
      <c r="B1209" s="18" t="s">
        <v>337</v>
      </c>
      <c r="C1209" s="18" t="s">
        <v>282</v>
      </c>
      <c r="D1209" s="18" t="s">
        <v>279</v>
      </c>
      <c r="E1209" s="61">
        <v>2016</v>
      </c>
      <c r="F1209" s="62">
        <v>42891000</v>
      </c>
      <c r="G1209" s="62">
        <v>80320000</v>
      </c>
      <c r="H1209" s="62">
        <v>263965000</v>
      </c>
      <c r="I1209" s="62">
        <v>270896000</v>
      </c>
      <c r="J1209" s="62">
        <f t="shared" si="198"/>
        <v>0.16248745098782036</v>
      </c>
      <c r="K1209" s="62">
        <f t="shared" si="199"/>
        <v>0.29649754887484497</v>
      </c>
      <c r="L1209" s="63">
        <f t="shared" si="200"/>
        <v>0.87265393672332192</v>
      </c>
      <c r="M1209" s="63">
        <f t="shared" si="201"/>
        <v>2.6257268956111607E-2</v>
      </c>
      <c r="N1209" s="63">
        <f t="shared" si="202"/>
        <v>0.82474121584361404</v>
      </c>
      <c r="O1209" s="62">
        <f t="shared" si="203"/>
        <v>0.30428276476047961</v>
      </c>
      <c r="P1209" s="62">
        <f t="shared" si="204"/>
        <v>0.14179531377265925</v>
      </c>
      <c r="Q1209" s="62">
        <f t="shared" si="205"/>
        <v>-7.7852158856346332E-3</v>
      </c>
      <c r="R1209" s="63">
        <f t="shared" si="206"/>
        <v>0.87265393672332181</v>
      </c>
      <c r="S1209" s="63">
        <f t="shared" si="207"/>
        <v>-4.7912720879707771E-2</v>
      </c>
      <c r="T1209" s="63">
        <f t="shared" si="208"/>
        <v>0.82474121584361404</v>
      </c>
    </row>
    <row r="1210" spans="1:20" x14ac:dyDescent="0.3">
      <c r="A1210" s="18" t="s">
        <v>336</v>
      </c>
      <c r="B1210" s="18" t="s">
        <v>337</v>
      </c>
      <c r="C1210" s="18" t="s">
        <v>282</v>
      </c>
      <c r="D1210" s="18" t="s">
        <v>279</v>
      </c>
      <c r="E1210" s="61">
        <v>2017</v>
      </c>
      <c r="F1210" s="62">
        <v>80320000</v>
      </c>
      <c r="G1210" s="62">
        <v>234144000</v>
      </c>
      <c r="H1210" s="62">
        <v>270896000</v>
      </c>
      <c r="I1210" s="62">
        <v>276067000</v>
      </c>
      <c r="J1210" s="62">
        <f t="shared" si="198"/>
        <v>0.29649754887484497</v>
      </c>
      <c r="K1210" s="62">
        <f t="shared" si="199"/>
        <v>0.84814193655887882</v>
      </c>
      <c r="L1210" s="63">
        <f t="shared" si="200"/>
        <v>1.9151394422310757</v>
      </c>
      <c r="M1210" s="63">
        <f t="shared" si="201"/>
        <v>1.9088506290236843E-2</v>
      </c>
      <c r="N1210" s="63">
        <f t="shared" si="202"/>
        <v>1.8605360812506724</v>
      </c>
      <c r="O1210" s="62">
        <f t="shared" si="203"/>
        <v>0.86433169924989661</v>
      </c>
      <c r="P1210" s="62">
        <f t="shared" si="204"/>
        <v>0.56783415037505169</v>
      </c>
      <c r="Q1210" s="62">
        <f t="shared" si="205"/>
        <v>-1.6189762691017795E-2</v>
      </c>
      <c r="R1210" s="63">
        <f t="shared" si="206"/>
        <v>1.9151394422310757</v>
      </c>
      <c r="S1210" s="63">
        <f t="shared" si="207"/>
        <v>-5.4603360980402846E-2</v>
      </c>
      <c r="T1210" s="63">
        <f t="shared" si="208"/>
        <v>1.8605360812506728</v>
      </c>
    </row>
    <row r="1211" spans="1:20" x14ac:dyDescent="0.3">
      <c r="A1211" s="18" t="s">
        <v>336</v>
      </c>
      <c r="B1211" s="18" t="s">
        <v>337</v>
      </c>
      <c r="C1211" s="18" t="s">
        <v>282</v>
      </c>
      <c r="D1211" s="18" t="s">
        <v>279</v>
      </c>
      <c r="E1211" s="61">
        <v>2018</v>
      </c>
      <c r="F1211" s="62">
        <v>234144000</v>
      </c>
      <c r="G1211" s="62">
        <v>237086000</v>
      </c>
      <c r="H1211" s="62">
        <v>276067000</v>
      </c>
      <c r="I1211" s="62">
        <v>276068000</v>
      </c>
      <c r="J1211" s="62">
        <f t="shared" si="198"/>
        <v>0.84814193655887882</v>
      </c>
      <c r="K1211" s="62">
        <f t="shared" si="199"/>
        <v>0.85879565904052624</v>
      </c>
      <c r="L1211" s="63">
        <f t="shared" si="200"/>
        <v>1.2564917315839825E-2</v>
      </c>
      <c r="M1211" s="63">
        <f t="shared" si="201"/>
        <v>3.6223090771443164E-6</v>
      </c>
      <c r="N1211" s="63">
        <f t="shared" si="202"/>
        <v>1.256124950603457E-2</v>
      </c>
      <c r="O1211" s="62">
        <f t="shared" si="203"/>
        <v>0.85879876986383741</v>
      </c>
      <c r="P1211" s="62">
        <f t="shared" si="204"/>
        <v>1.0656833304958591E-2</v>
      </c>
      <c r="Q1211" s="62">
        <f t="shared" si="205"/>
        <v>-3.1108233111698524E-6</v>
      </c>
      <c r="R1211" s="63">
        <f t="shared" si="206"/>
        <v>1.2564917315839839E-2</v>
      </c>
      <c r="S1211" s="63">
        <f t="shared" si="207"/>
        <v>-3.6678098052682436E-6</v>
      </c>
      <c r="T1211" s="63">
        <f t="shared" si="208"/>
        <v>1.256124950603457E-2</v>
      </c>
    </row>
    <row r="1212" spans="1:20" x14ac:dyDescent="0.3">
      <c r="A1212" s="18" t="s">
        <v>336</v>
      </c>
      <c r="B1212" s="18" t="s">
        <v>337</v>
      </c>
      <c r="C1212" s="18" t="s">
        <v>282</v>
      </c>
      <c r="D1212" s="18" t="s">
        <v>279</v>
      </c>
      <c r="E1212" s="61">
        <v>2019</v>
      </c>
      <c r="F1212" s="62">
        <v>237086000</v>
      </c>
      <c r="G1212" s="62">
        <v>-59545000</v>
      </c>
      <c r="H1212" s="62">
        <v>276068000</v>
      </c>
      <c r="I1212" s="62">
        <v>272993000</v>
      </c>
      <c r="J1212" s="62">
        <f t="shared" si="198"/>
        <v>0.85879565904052624</v>
      </c>
      <c r="K1212" s="62">
        <f t="shared" si="199"/>
        <v>-0.21811914591216625</v>
      </c>
      <c r="L1212" s="63">
        <f t="shared" si="200"/>
        <v>-1.2511535898365993</v>
      </c>
      <c r="M1212" s="63">
        <f t="shared" si="201"/>
        <v>-1.1138560064911544E-2</v>
      </c>
      <c r="N1212" s="63">
        <f t="shared" si="202"/>
        <v>-1.2539825901726795</v>
      </c>
      <c r="O1212" s="62">
        <f t="shared" si="203"/>
        <v>-0.21568961270411638</v>
      </c>
      <c r="P1212" s="62">
        <f t="shared" si="204"/>
        <v>-1.0744852717446427</v>
      </c>
      <c r="Q1212" s="62">
        <f t="shared" si="205"/>
        <v>-2.4295332080498666E-3</v>
      </c>
      <c r="R1212" s="63">
        <f t="shared" si="206"/>
        <v>-1.2511535898365995</v>
      </c>
      <c r="S1212" s="63">
        <f t="shared" si="207"/>
        <v>-2.8290003360802013E-3</v>
      </c>
      <c r="T1212" s="63">
        <f t="shared" si="208"/>
        <v>-1.2539825901726798</v>
      </c>
    </row>
    <row r="1213" spans="1:20" x14ac:dyDescent="0.3">
      <c r="A1213" s="18" t="s">
        <v>336</v>
      </c>
      <c r="B1213" s="18" t="s">
        <v>337</v>
      </c>
      <c r="C1213" s="18" t="s">
        <v>282</v>
      </c>
      <c r="D1213" s="18" t="s">
        <v>279</v>
      </c>
      <c r="E1213" s="61">
        <v>2020</v>
      </c>
      <c r="F1213" s="62">
        <v>-59545000</v>
      </c>
      <c r="G1213" s="62">
        <v>49049000</v>
      </c>
      <c r="H1213" s="62">
        <v>272993000</v>
      </c>
      <c r="I1213" s="62">
        <v>270453000</v>
      </c>
      <c r="J1213" s="62">
        <f t="shared" si="198"/>
        <v>-0.21811914591216625</v>
      </c>
      <c r="K1213" s="62">
        <f t="shared" si="199"/>
        <v>0.1813586833941572</v>
      </c>
      <c r="L1213" s="63">
        <f t="shared" si="200"/>
        <v>1.8237299521370391</v>
      </c>
      <c r="M1213" s="63">
        <f t="shared" si="201"/>
        <v>-9.3042678750004573E-3</v>
      </c>
      <c r="N1213" s="63">
        <f t="shared" si="202"/>
        <v>1.8314661357934532</v>
      </c>
      <c r="O1213" s="62">
        <f t="shared" si="203"/>
        <v>0.17967127362240057</v>
      </c>
      <c r="P1213" s="62">
        <f t="shared" si="204"/>
        <v>0.39779041953456684</v>
      </c>
      <c r="Q1213" s="62">
        <f t="shared" si="205"/>
        <v>1.6874097717566316E-3</v>
      </c>
      <c r="R1213" s="63">
        <f t="shared" si="206"/>
        <v>1.8237299521370394</v>
      </c>
      <c r="S1213" s="63">
        <f t="shared" si="207"/>
        <v>7.7361836564137738E-3</v>
      </c>
      <c r="T1213" s="63">
        <f t="shared" si="208"/>
        <v>1.8314661357934532</v>
      </c>
    </row>
    <row r="1214" spans="1:20" x14ac:dyDescent="0.3">
      <c r="A1214" s="18" t="s">
        <v>336</v>
      </c>
      <c r="B1214" s="18" t="s">
        <v>337</v>
      </c>
      <c r="C1214" s="18" t="s">
        <v>282</v>
      </c>
      <c r="D1214" s="18" t="s">
        <v>279</v>
      </c>
      <c r="E1214" s="61">
        <v>2021</v>
      </c>
      <c r="F1214" s="62">
        <v>49049000</v>
      </c>
      <c r="G1214" s="62">
        <v>571882000</v>
      </c>
      <c r="H1214" s="62">
        <v>270453000</v>
      </c>
      <c r="I1214" s="62">
        <v>270436000</v>
      </c>
      <c r="J1214" s="62">
        <f t="shared" si="198"/>
        <v>0.1813586833941572</v>
      </c>
      <c r="K1214" s="62">
        <f t="shared" si="199"/>
        <v>2.1146666863879071</v>
      </c>
      <c r="L1214" s="63">
        <f t="shared" si="200"/>
        <v>10.659401822667128</v>
      </c>
      <c r="M1214" s="63">
        <f t="shared" si="201"/>
        <v>-6.285750204286881E-5</v>
      </c>
      <c r="N1214" s="63">
        <f t="shared" si="202"/>
        <v>10.660134749610975</v>
      </c>
      <c r="O1214" s="62">
        <f t="shared" si="203"/>
        <v>2.1145337637223474</v>
      </c>
      <c r="P1214" s="62">
        <f t="shared" si="204"/>
        <v>1.9331750803281902</v>
      </c>
      <c r="Q1214" s="62">
        <f t="shared" si="205"/>
        <v>1.3292266555975374E-4</v>
      </c>
      <c r="R1214" s="63">
        <f t="shared" si="206"/>
        <v>10.65940182266713</v>
      </c>
      <c r="S1214" s="63">
        <f t="shared" si="207"/>
        <v>7.3292694384456528E-4</v>
      </c>
      <c r="T1214" s="63">
        <f t="shared" si="208"/>
        <v>10.660134749610975</v>
      </c>
    </row>
    <row r="1215" spans="1:20" x14ac:dyDescent="0.3">
      <c r="A1215" s="18" t="s">
        <v>336</v>
      </c>
      <c r="B1215" s="18" t="s">
        <v>337</v>
      </c>
      <c r="C1215" s="18" t="s">
        <v>282</v>
      </c>
      <c r="D1215" s="18" t="s">
        <v>279</v>
      </c>
      <c r="E1215" s="61">
        <v>2022</v>
      </c>
      <c r="F1215" s="62">
        <v>571882000</v>
      </c>
      <c r="G1215" s="62">
        <v>556054000</v>
      </c>
      <c r="H1215" s="62">
        <v>270436000</v>
      </c>
      <c r="I1215" s="62">
        <v>257598000</v>
      </c>
      <c r="J1215" s="62">
        <f t="shared" si="198"/>
        <v>2.1146666863879071</v>
      </c>
      <c r="K1215" s="62">
        <f t="shared" si="199"/>
        <v>2.1586114799027944</v>
      </c>
      <c r="L1215" s="63">
        <f t="shared" si="200"/>
        <v>-2.767703827013265E-2</v>
      </c>
      <c r="M1215" s="63">
        <f t="shared" si="201"/>
        <v>-4.7471490482036416E-2</v>
      </c>
      <c r="N1215" s="63">
        <f t="shared" si="202"/>
        <v>2.0780955125344162E-2</v>
      </c>
      <c r="O1215" s="62">
        <f t="shared" si="203"/>
        <v>2.0561389755801742</v>
      </c>
      <c r="P1215" s="62">
        <f t="shared" si="204"/>
        <v>-5.8527710807732891E-2</v>
      </c>
      <c r="Q1215" s="62">
        <f t="shared" si="205"/>
        <v>0.10247250432262023</v>
      </c>
      <c r="R1215" s="63">
        <f t="shared" si="206"/>
        <v>-2.767703827013274E-2</v>
      </c>
      <c r="S1215" s="63">
        <f t="shared" si="207"/>
        <v>4.8457993395476899E-2</v>
      </c>
      <c r="T1215" s="63">
        <f t="shared" si="208"/>
        <v>2.0780955125344159E-2</v>
      </c>
    </row>
    <row r="1216" spans="1:20" x14ac:dyDescent="0.3">
      <c r="A1216" s="18" t="s">
        <v>336</v>
      </c>
      <c r="B1216" s="18" t="s">
        <v>337</v>
      </c>
      <c r="C1216" s="18" t="s">
        <v>282</v>
      </c>
      <c r="D1216" s="18" t="s">
        <v>279</v>
      </c>
      <c r="E1216" s="61">
        <v>2023</v>
      </c>
      <c r="F1216" s="62">
        <v>556054000</v>
      </c>
      <c r="G1216" s="62">
        <v>228128000</v>
      </c>
      <c r="H1216" s="62">
        <v>257598000</v>
      </c>
      <c r="I1216" s="62">
        <v>249260000</v>
      </c>
      <c r="J1216" s="62">
        <f t="shared" si="198"/>
        <v>2.1586114799027944</v>
      </c>
      <c r="K1216" s="62">
        <f t="shared" si="199"/>
        <v>0.91522105432078948</v>
      </c>
      <c r="L1216" s="63">
        <f t="shared" si="200"/>
        <v>-0.58973768734691234</v>
      </c>
      <c r="M1216" s="63">
        <f t="shared" si="201"/>
        <v>-3.2368263728755661E-2</v>
      </c>
      <c r="N1216" s="63">
        <f t="shared" si="202"/>
        <v>-0.57601399657060881</v>
      </c>
      <c r="O1216" s="62">
        <f t="shared" si="203"/>
        <v>0.88559693786442439</v>
      </c>
      <c r="P1216" s="62">
        <f t="shared" si="204"/>
        <v>-1.2730145420383701</v>
      </c>
      <c r="Q1216" s="62">
        <f t="shared" si="205"/>
        <v>2.962411645636509E-2</v>
      </c>
      <c r="R1216" s="63">
        <f t="shared" si="206"/>
        <v>-0.58973768734691234</v>
      </c>
      <c r="S1216" s="63">
        <f t="shared" si="207"/>
        <v>1.3723690776303622E-2</v>
      </c>
      <c r="T1216" s="63">
        <f t="shared" si="208"/>
        <v>-0.5760139965706087</v>
      </c>
    </row>
    <row r="1217" spans="1:20" x14ac:dyDescent="0.3">
      <c r="A1217" s="18" t="s">
        <v>336</v>
      </c>
      <c r="B1217" s="18" t="s">
        <v>337</v>
      </c>
      <c r="C1217" s="18" t="s">
        <v>282</v>
      </c>
      <c r="D1217" s="18" t="s">
        <v>279</v>
      </c>
      <c r="E1217" s="61">
        <v>2024</v>
      </c>
      <c r="F1217" s="62">
        <v>228128000</v>
      </c>
      <c r="G1217" s="62">
        <v>224946000</v>
      </c>
      <c r="H1217" s="62">
        <v>249260000</v>
      </c>
      <c r="I1217" s="62">
        <v>249335000</v>
      </c>
      <c r="J1217" s="62">
        <f t="shared" si="198"/>
        <v>0.91522105432078948</v>
      </c>
      <c r="K1217" s="62">
        <f t="shared" si="199"/>
        <v>0.90218380893175842</v>
      </c>
      <c r="L1217" s="63">
        <f t="shared" si="200"/>
        <v>-1.3948309720858466E-2</v>
      </c>
      <c r="M1217" s="63">
        <f t="shared" si="201"/>
        <v>3.0089063628339885E-4</v>
      </c>
      <c r="N1217" s="63">
        <f t="shared" si="202"/>
        <v>-1.4244914195845676E-2</v>
      </c>
      <c r="O1217" s="62">
        <f t="shared" si="203"/>
        <v>0.90245526759207251</v>
      </c>
      <c r="P1217" s="62">
        <f t="shared" si="204"/>
        <v>-1.2765786728716977E-2</v>
      </c>
      <c r="Q1217" s="62">
        <f t="shared" si="205"/>
        <v>-2.7145866031408339E-4</v>
      </c>
      <c r="R1217" s="63">
        <f t="shared" si="206"/>
        <v>-1.3948309720858438E-2</v>
      </c>
      <c r="S1217" s="63">
        <f t="shared" si="207"/>
        <v>-2.966044749872371E-4</v>
      </c>
      <c r="T1217" s="63">
        <f t="shared" si="208"/>
        <v>-1.4244914195845676E-2</v>
      </c>
    </row>
    <row r="1218" spans="1:20" x14ac:dyDescent="0.3">
      <c r="A1218" s="18" t="s">
        <v>338</v>
      </c>
      <c r="B1218" s="18" t="s">
        <v>339</v>
      </c>
      <c r="C1218" s="18" t="s">
        <v>282</v>
      </c>
      <c r="D1218" s="18" t="s">
        <v>279</v>
      </c>
      <c r="E1218" s="61">
        <v>2016</v>
      </c>
      <c r="F1218" s="62">
        <v>19809000</v>
      </c>
      <c r="G1218" s="62">
        <v>26089000</v>
      </c>
      <c r="H1218" s="62">
        <v>49537000</v>
      </c>
      <c r="I1218" s="62">
        <v>49031000</v>
      </c>
      <c r="J1218" s="62">
        <f t="shared" si="198"/>
        <v>0.39988291580031088</v>
      </c>
      <c r="K1218" s="62">
        <f t="shared" si="199"/>
        <v>0.53209194183271813</v>
      </c>
      <c r="L1218" s="63">
        <f t="shared" si="200"/>
        <v>0.31702761371093946</v>
      </c>
      <c r="M1218" s="63">
        <f t="shared" si="201"/>
        <v>-1.0214587076326786E-2</v>
      </c>
      <c r="N1218" s="63">
        <f t="shared" si="202"/>
        <v>0.33061934083332617</v>
      </c>
      <c r="O1218" s="62">
        <f t="shared" si="203"/>
        <v>0.52665684236025601</v>
      </c>
      <c r="P1218" s="62">
        <f t="shared" si="204"/>
        <v>0.12677392655994513</v>
      </c>
      <c r="Q1218" s="62">
        <f t="shared" si="205"/>
        <v>5.4350994724621238E-3</v>
      </c>
      <c r="R1218" s="63">
        <f t="shared" si="206"/>
        <v>0.31702761371093957</v>
      </c>
      <c r="S1218" s="63">
        <f t="shared" si="207"/>
        <v>1.3591727122386604E-2</v>
      </c>
      <c r="T1218" s="63">
        <f t="shared" si="208"/>
        <v>0.33061934083332617</v>
      </c>
    </row>
    <row r="1219" spans="1:20" x14ac:dyDescent="0.3">
      <c r="A1219" s="18" t="s">
        <v>338</v>
      </c>
      <c r="B1219" s="18" t="s">
        <v>339</v>
      </c>
      <c r="C1219" s="18" t="s">
        <v>282</v>
      </c>
      <c r="D1219" s="18" t="s">
        <v>279</v>
      </c>
      <c r="E1219" s="61">
        <v>2017</v>
      </c>
      <c r="F1219" s="62">
        <v>26089000</v>
      </c>
      <c r="G1219" s="62">
        <v>17241000</v>
      </c>
      <c r="H1219" s="62">
        <v>49031000</v>
      </c>
      <c r="I1219" s="62">
        <v>49308000</v>
      </c>
      <c r="J1219" s="62">
        <f t="shared" si="198"/>
        <v>0.53209194183271813</v>
      </c>
      <c r="K1219" s="62">
        <f t="shared" si="199"/>
        <v>0.34965928449744466</v>
      </c>
      <c r="L1219" s="63">
        <f t="shared" si="200"/>
        <v>-0.33914676683659778</v>
      </c>
      <c r="M1219" s="63">
        <f t="shared" si="201"/>
        <v>5.6494870592074401E-3</v>
      </c>
      <c r="N1219" s="63">
        <f t="shared" si="202"/>
        <v>-0.34285927485935808</v>
      </c>
      <c r="O1219" s="62">
        <f t="shared" si="203"/>
        <v>0.35163468010034465</v>
      </c>
      <c r="P1219" s="62">
        <f t="shared" si="204"/>
        <v>-0.18045726173237348</v>
      </c>
      <c r="Q1219" s="62">
        <f t="shared" si="205"/>
        <v>-1.9753956028999986E-3</v>
      </c>
      <c r="R1219" s="63">
        <f t="shared" si="206"/>
        <v>-0.33914676683659789</v>
      </c>
      <c r="S1219" s="63">
        <f t="shared" si="207"/>
        <v>-3.7125080227601603E-3</v>
      </c>
      <c r="T1219" s="63">
        <f t="shared" si="208"/>
        <v>-0.34285927485935808</v>
      </c>
    </row>
    <row r="1220" spans="1:20" x14ac:dyDescent="0.3">
      <c r="A1220" s="18" t="s">
        <v>338</v>
      </c>
      <c r="B1220" s="18" t="s">
        <v>339</v>
      </c>
      <c r="C1220" s="18" t="s">
        <v>282</v>
      </c>
      <c r="D1220" s="18" t="s">
        <v>279</v>
      </c>
      <c r="E1220" s="61">
        <v>2018</v>
      </c>
      <c r="F1220" s="62">
        <v>17241000</v>
      </c>
      <c r="G1220" s="62">
        <v>17895000</v>
      </c>
      <c r="H1220" s="62">
        <v>49308000</v>
      </c>
      <c r="I1220" s="62">
        <v>51223000</v>
      </c>
      <c r="J1220" s="62">
        <f t="shared" si="198"/>
        <v>0.34965928449744466</v>
      </c>
      <c r="K1220" s="62">
        <f t="shared" si="199"/>
        <v>0.34935478203150927</v>
      </c>
      <c r="L1220" s="63">
        <f t="shared" si="200"/>
        <v>3.7932834522359495E-2</v>
      </c>
      <c r="M1220" s="63">
        <f t="shared" si="201"/>
        <v>3.8837511154376572E-2</v>
      </c>
      <c r="N1220" s="63">
        <f t="shared" si="202"/>
        <v>-8.7085479904541469E-4</v>
      </c>
      <c r="O1220" s="62">
        <f t="shared" si="203"/>
        <v>0.36292285227549281</v>
      </c>
      <c r="P1220" s="62">
        <f t="shared" si="204"/>
        <v>1.3263567778048158E-2</v>
      </c>
      <c r="Q1220" s="62">
        <f t="shared" si="205"/>
        <v>-1.3568070243983543E-2</v>
      </c>
      <c r="R1220" s="63">
        <f t="shared" si="206"/>
        <v>3.7932834522359404E-2</v>
      </c>
      <c r="S1220" s="63">
        <f t="shared" si="207"/>
        <v>-3.8803689321404822E-2</v>
      </c>
      <c r="T1220" s="63">
        <f t="shared" si="208"/>
        <v>-8.708547990454174E-4</v>
      </c>
    </row>
    <row r="1221" spans="1:20" x14ac:dyDescent="0.3">
      <c r="A1221" s="18" t="s">
        <v>338</v>
      </c>
      <c r="B1221" s="18" t="s">
        <v>339</v>
      </c>
      <c r="C1221" s="18" t="s">
        <v>282</v>
      </c>
      <c r="D1221" s="18" t="s">
        <v>279</v>
      </c>
      <c r="E1221" s="61">
        <v>2019</v>
      </c>
      <c r="F1221" s="62">
        <v>17895000</v>
      </c>
      <c r="G1221" s="62">
        <v>39273000</v>
      </c>
      <c r="H1221" s="62">
        <v>51223000</v>
      </c>
      <c r="I1221" s="62">
        <v>55180000</v>
      </c>
      <c r="J1221" s="62">
        <f t="shared" ref="J1221:J1244" si="209">F1221/H1221</f>
        <v>0.34935478203150927</v>
      </c>
      <c r="K1221" s="62">
        <f t="shared" ref="K1221:K1244" si="210">G1221/I1221</f>
        <v>0.71172526277636827</v>
      </c>
      <c r="L1221" s="63">
        <f t="shared" ref="L1221:L1244" si="211">IF(F1221=0,"",((G1221-F1221)/ABS(F1221)))</f>
        <v>1.1946353730092205</v>
      </c>
      <c r="M1221" s="63">
        <f t="shared" ref="M1221:M1244" si="212">(I1221-H1221)/H1221</f>
        <v>7.7250453897663163E-2</v>
      </c>
      <c r="N1221" s="63">
        <f t="shared" ref="N1221:N1244" si="213">IF(J1221=0,"",((K1221-J1221)/ABS(J1221)))</f>
        <v>1.0372563920197773</v>
      </c>
      <c r="O1221" s="62">
        <f t="shared" ref="O1221:O1244" si="214">G1221/H1221</f>
        <v>0.76670636237627632</v>
      </c>
      <c r="P1221" s="62">
        <f t="shared" ref="P1221:P1244" si="215">O1221-J1221</f>
        <v>0.41735158034476705</v>
      </c>
      <c r="Q1221" s="62">
        <f t="shared" ref="Q1221:Q1244" si="216">K1221-O1221</f>
        <v>-5.4981099599908045E-2</v>
      </c>
      <c r="R1221" s="63">
        <f t="shared" ref="R1221:R1244" si="217">IF(J1221=0,"",P1221/ABS(J1221))</f>
        <v>1.1946353730092207</v>
      </c>
      <c r="S1221" s="63">
        <f t="shared" ref="S1221:S1244" si="218">IF(J1221=0,"",Q1221/ABS(J1221))</f>
        <v>-0.15737898098944342</v>
      </c>
      <c r="T1221" s="63">
        <f t="shared" ref="T1221:T1244" si="219">R1221+S1221</f>
        <v>1.0372563920197773</v>
      </c>
    </row>
    <row r="1222" spans="1:20" x14ac:dyDescent="0.3">
      <c r="A1222" s="18" t="s">
        <v>338</v>
      </c>
      <c r="B1222" s="18" t="s">
        <v>339</v>
      </c>
      <c r="C1222" s="18" t="s">
        <v>282</v>
      </c>
      <c r="D1222" s="18" t="s">
        <v>279</v>
      </c>
      <c r="E1222" s="61">
        <v>2020</v>
      </c>
      <c r="F1222" s="62">
        <v>39273000</v>
      </c>
      <c r="G1222" s="62">
        <v>61057000</v>
      </c>
      <c r="H1222" s="62">
        <v>55180000</v>
      </c>
      <c r="I1222" s="62">
        <v>55386000</v>
      </c>
      <c r="J1222" s="62">
        <f t="shared" si="209"/>
        <v>0.71172526277636827</v>
      </c>
      <c r="K1222" s="62">
        <f t="shared" si="210"/>
        <v>1.1023904957931607</v>
      </c>
      <c r="L1222" s="63">
        <f t="shared" si="211"/>
        <v>0.55468133323148217</v>
      </c>
      <c r="M1222" s="63">
        <f t="shared" si="212"/>
        <v>3.7332366799565061E-3</v>
      </c>
      <c r="N1222" s="63">
        <f t="shared" si="213"/>
        <v>0.54889892694386999</v>
      </c>
      <c r="O1222" s="62">
        <f t="shared" si="214"/>
        <v>1.1065059804276911</v>
      </c>
      <c r="P1222" s="62">
        <f t="shared" si="215"/>
        <v>0.39478071765132283</v>
      </c>
      <c r="Q1222" s="62">
        <f t="shared" si="216"/>
        <v>-4.1154846345303753E-3</v>
      </c>
      <c r="R1222" s="63">
        <f t="shared" si="217"/>
        <v>0.55468133323148205</v>
      </c>
      <c r="S1222" s="63">
        <f t="shared" si="218"/>
        <v>-5.7824062876120005E-3</v>
      </c>
      <c r="T1222" s="63">
        <f t="shared" si="219"/>
        <v>0.5488989269438701</v>
      </c>
    </row>
    <row r="1223" spans="1:20" x14ac:dyDescent="0.3">
      <c r="A1223" s="18" t="s">
        <v>338</v>
      </c>
      <c r="B1223" s="18" t="s">
        <v>339</v>
      </c>
      <c r="C1223" s="18" t="s">
        <v>282</v>
      </c>
      <c r="D1223" s="18" t="s">
        <v>279</v>
      </c>
      <c r="E1223" s="61">
        <v>2021</v>
      </c>
      <c r="F1223" s="62">
        <v>61057000</v>
      </c>
      <c r="G1223" s="62">
        <v>153077000</v>
      </c>
      <c r="H1223" s="62">
        <v>55386000</v>
      </c>
      <c r="I1223" s="62">
        <v>55404000</v>
      </c>
      <c r="J1223" s="62">
        <f t="shared" si="209"/>
        <v>1.1023904957931607</v>
      </c>
      <c r="K1223" s="62">
        <f t="shared" si="210"/>
        <v>2.7629232546386544</v>
      </c>
      <c r="L1223" s="63">
        <f t="shared" si="211"/>
        <v>1.5071163011612101</v>
      </c>
      <c r="M1223" s="63">
        <f t="shared" si="212"/>
        <v>3.2499187520311994E-4</v>
      </c>
      <c r="N1223" s="63">
        <f t="shared" si="213"/>
        <v>1.5063017734480324</v>
      </c>
      <c r="O1223" s="62">
        <f t="shared" si="214"/>
        <v>2.7638211822482215</v>
      </c>
      <c r="P1223" s="62">
        <f t="shared" si="215"/>
        <v>1.6614306864550608</v>
      </c>
      <c r="Q1223" s="62">
        <f t="shared" si="216"/>
        <v>-8.9792760956708406E-4</v>
      </c>
      <c r="R1223" s="63">
        <f t="shared" si="217"/>
        <v>1.5071163011612099</v>
      </c>
      <c r="S1223" s="63">
        <f t="shared" si="218"/>
        <v>-8.1452771317756388E-4</v>
      </c>
      <c r="T1223" s="63">
        <f t="shared" si="219"/>
        <v>1.5063017734480324</v>
      </c>
    </row>
    <row r="1224" spans="1:20" x14ac:dyDescent="0.3">
      <c r="A1224" s="18" t="s">
        <v>338</v>
      </c>
      <c r="B1224" s="18" t="s">
        <v>339</v>
      </c>
      <c r="C1224" s="18" t="s">
        <v>282</v>
      </c>
      <c r="D1224" s="18" t="s">
        <v>279</v>
      </c>
      <c r="E1224" s="61">
        <v>2022</v>
      </c>
      <c r="F1224" s="62">
        <v>153077000</v>
      </c>
      <c r="G1224" s="62">
        <v>199669000</v>
      </c>
      <c r="H1224" s="62">
        <v>55404000</v>
      </c>
      <c r="I1224" s="62">
        <v>53466000</v>
      </c>
      <c r="J1224" s="62">
        <f t="shared" si="209"/>
        <v>2.7629232546386544</v>
      </c>
      <c r="K1224" s="62">
        <f t="shared" si="210"/>
        <v>3.7345041708749487</v>
      </c>
      <c r="L1224" s="63">
        <f t="shared" si="211"/>
        <v>0.30436969629663502</v>
      </c>
      <c r="M1224" s="63">
        <f t="shared" si="212"/>
        <v>-3.4979423868312758E-2</v>
      </c>
      <c r="N1224" s="63">
        <f t="shared" si="213"/>
        <v>0.35164962132231259</v>
      </c>
      <c r="O1224" s="62">
        <f t="shared" si="214"/>
        <v>3.6038733665439318</v>
      </c>
      <c r="P1224" s="62">
        <f t="shared" si="215"/>
        <v>0.84095011190527735</v>
      </c>
      <c r="Q1224" s="62">
        <f t="shared" si="216"/>
        <v>0.13063080433101693</v>
      </c>
      <c r="R1224" s="63">
        <f t="shared" si="217"/>
        <v>0.30436969629663491</v>
      </c>
      <c r="S1224" s="63">
        <f t="shared" si="218"/>
        <v>4.7279925025677676E-2</v>
      </c>
      <c r="T1224" s="63">
        <f t="shared" si="219"/>
        <v>0.35164962132231259</v>
      </c>
    </row>
    <row r="1225" spans="1:20" x14ac:dyDescent="0.3">
      <c r="A1225" s="18" t="s">
        <v>338</v>
      </c>
      <c r="B1225" s="18" t="s">
        <v>339</v>
      </c>
      <c r="C1225" s="18" t="s">
        <v>282</v>
      </c>
      <c r="D1225" s="18" t="s">
        <v>279</v>
      </c>
      <c r="E1225" s="61">
        <v>2023</v>
      </c>
      <c r="F1225" s="62">
        <v>199669000</v>
      </c>
      <c r="G1225" s="62">
        <v>170335000</v>
      </c>
      <c r="H1225" s="62">
        <v>53466000</v>
      </c>
      <c r="I1225" s="62">
        <v>51820146</v>
      </c>
      <c r="J1225" s="62">
        <f t="shared" si="209"/>
        <v>3.7345041708749487</v>
      </c>
      <c r="K1225" s="62">
        <f t="shared" si="210"/>
        <v>3.2870420704719745</v>
      </c>
      <c r="L1225" s="63">
        <f t="shared" si="211"/>
        <v>-0.1469131412487667</v>
      </c>
      <c r="M1225" s="63">
        <f t="shared" si="212"/>
        <v>-3.0783189316575019E-2</v>
      </c>
      <c r="N1225" s="63">
        <f t="shared" si="213"/>
        <v>-0.11981834265782579</v>
      </c>
      <c r="O1225" s="62">
        <f t="shared" si="214"/>
        <v>3.1858564321250888</v>
      </c>
      <c r="P1225" s="62">
        <f t="shared" si="215"/>
        <v>-0.54864773874985984</v>
      </c>
      <c r="Q1225" s="62">
        <f t="shared" si="216"/>
        <v>0.10118563834688565</v>
      </c>
      <c r="R1225" s="63">
        <f t="shared" si="217"/>
        <v>-0.14691314124876673</v>
      </c>
      <c r="S1225" s="63">
        <f t="shared" si="218"/>
        <v>2.7094798590940949E-2</v>
      </c>
      <c r="T1225" s="63">
        <f t="shared" si="219"/>
        <v>-0.11981834265782577</v>
      </c>
    </row>
    <row r="1226" spans="1:20" x14ac:dyDescent="0.3">
      <c r="A1226" s="18" t="s">
        <v>338</v>
      </c>
      <c r="B1226" s="18" t="s">
        <v>339</v>
      </c>
      <c r="C1226" s="18" t="s">
        <v>282</v>
      </c>
      <c r="D1226" s="18" t="s">
        <v>279</v>
      </c>
      <c r="E1226" s="61">
        <v>2024</v>
      </c>
      <c r="F1226" s="62">
        <v>170335000</v>
      </c>
      <c r="G1226" s="62">
        <v>136881000</v>
      </c>
      <c r="H1226" s="62">
        <v>51820146</v>
      </c>
      <c r="I1226" s="62">
        <v>51266292</v>
      </c>
      <c r="J1226" s="62">
        <f t="shared" si="209"/>
        <v>3.2870420704719745</v>
      </c>
      <c r="K1226" s="62">
        <f t="shared" si="210"/>
        <v>2.6700000070221579</v>
      </c>
      <c r="L1226" s="63">
        <f t="shared" si="211"/>
        <v>-0.1964012093815129</v>
      </c>
      <c r="M1226" s="63">
        <f t="shared" si="212"/>
        <v>-1.0688005394658672E-2</v>
      </c>
      <c r="N1226" s="63">
        <f t="shared" si="213"/>
        <v>-0.18771955156668188</v>
      </c>
      <c r="O1226" s="62">
        <f t="shared" si="214"/>
        <v>2.6414630325433666</v>
      </c>
      <c r="P1226" s="62">
        <f t="shared" si="215"/>
        <v>-0.64557903792860794</v>
      </c>
      <c r="Q1226" s="62">
        <f t="shared" si="216"/>
        <v>2.8536974478791333E-2</v>
      </c>
      <c r="R1226" s="63">
        <f t="shared" si="217"/>
        <v>-0.1964012093815129</v>
      </c>
      <c r="S1226" s="63">
        <f t="shared" si="218"/>
        <v>8.681657814831014E-3</v>
      </c>
      <c r="T1226" s="63">
        <f t="shared" si="219"/>
        <v>-0.18771955156668188</v>
      </c>
    </row>
    <row r="1227" spans="1:20" x14ac:dyDescent="0.3">
      <c r="A1227" s="18" t="s">
        <v>340</v>
      </c>
      <c r="B1227" s="18" t="s">
        <v>341</v>
      </c>
      <c r="C1227" s="18" t="s">
        <v>282</v>
      </c>
      <c r="D1227" s="18" t="s">
        <v>279</v>
      </c>
      <c r="E1227" s="61">
        <v>2016</v>
      </c>
      <c r="F1227" s="62">
        <v>6643000</v>
      </c>
      <c r="G1227" s="62">
        <v>8026000</v>
      </c>
      <c r="H1227" s="62">
        <v>107097961</v>
      </c>
      <c r="I1227" s="62">
        <v>107097961</v>
      </c>
      <c r="J1227" s="62">
        <f t="shared" si="209"/>
        <v>6.2027324684547448E-2</v>
      </c>
      <c r="K1227" s="62">
        <f t="shared" si="210"/>
        <v>7.4940735799816027E-2</v>
      </c>
      <c r="L1227" s="63">
        <f t="shared" si="211"/>
        <v>0.20818907120276983</v>
      </c>
      <c r="M1227" s="63">
        <f t="shared" si="212"/>
        <v>0</v>
      </c>
      <c r="N1227" s="63">
        <f t="shared" si="213"/>
        <v>0.20818907120276994</v>
      </c>
      <c r="O1227" s="62">
        <f t="shared" si="214"/>
        <v>7.4940735799816027E-2</v>
      </c>
      <c r="P1227" s="62">
        <f t="shared" si="215"/>
        <v>1.2913411115268579E-2</v>
      </c>
      <c r="Q1227" s="62">
        <f t="shared" si="216"/>
        <v>0</v>
      </c>
      <c r="R1227" s="63">
        <f t="shared" si="217"/>
        <v>0.20818907120276994</v>
      </c>
      <c r="S1227" s="63">
        <f t="shared" si="218"/>
        <v>0</v>
      </c>
      <c r="T1227" s="63">
        <f t="shared" si="219"/>
        <v>0.20818907120276994</v>
      </c>
    </row>
    <row r="1228" spans="1:20" x14ac:dyDescent="0.3">
      <c r="A1228" s="18" t="s">
        <v>340</v>
      </c>
      <c r="B1228" s="18" t="s">
        <v>341</v>
      </c>
      <c r="C1228" s="18" t="s">
        <v>282</v>
      </c>
      <c r="D1228" s="18" t="s">
        <v>279</v>
      </c>
      <c r="E1228" s="61">
        <v>2017</v>
      </c>
      <c r="F1228" s="62">
        <v>8026000</v>
      </c>
      <c r="G1228" s="62">
        <v>15011000</v>
      </c>
      <c r="H1228" s="62">
        <v>107097961</v>
      </c>
      <c r="I1228" s="62">
        <v>107097961</v>
      </c>
      <c r="J1228" s="62">
        <f t="shared" si="209"/>
        <v>7.4940735799816027E-2</v>
      </c>
      <c r="K1228" s="62">
        <f t="shared" si="210"/>
        <v>0.14016139859095916</v>
      </c>
      <c r="L1228" s="63">
        <f t="shared" si="211"/>
        <v>0.87029653625716419</v>
      </c>
      <c r="M1228" s="63">
        <f t="shared" si="212"/>
        <v>0</v>
      </c>
      <c r="N1228" s="63">
        <f t="shared" si="213"/>
        <v>0.87029653625716397</v>
      </c>
      <c r="O1228" s="62">
        <f t="shared" si="214"/>
        <v>0.14016139859095916</v>
      </c>
      <c r="P1228" s="62">
        <f t="shared" si="215"/>
        <v>6.5220662791143136E-2</v>
      </c>
      <c r="Q1228" s="62">
        <f t="shared" si="216"/>
        <v>0</v>
      </c>
      <c r="R1228" s="63">
        <f t="shared" si="217"/>
        <v>0.87029653625716397</v>
      </c>
      <c r="S1228" s="63">
        <f t="shared" si="218"/>
        <v>0</v>
      </c>
      <c r="T1228" s="63">
        <f t="shared" si="219"/>
        <v>0.87029653625716397</v>
      </c>
    </row>
    <row r="1229" spans="1:20" x14ac:dyDescent="0.3">
      <c r="A1229" s="18" t="s">
        <v>340</v>
      </c>
      <c r="B1229" s="18" t="s">
        <v>341</v>
      </c>
      <c r="C1229" s="18" t="s">
        <v>282</v>
      </c>
      <c r="D1229" s="18" t="s">
        <v>279</v>
      </c>
      <c r="E1229" s="61">
        <v>2018</v>
      </c>
      <c r="F1229" s="62">
        <v>15011000</v>
      </c>
      <c r="G1229" s="62">
        <v>21346000</v>
      </c>
      <c r="H1229" s="62">
        <v>107097961</v>
      </c>
      <c r="I1229" s="62">
        <v>116710905</v>
      </c>
      <c r="J1229" s="62">
        <f t="shared" si="209"/>
        <v>0.14016139859095916</v>
      </c>
      <c r="K1229" s="62">
        <f t="shared" si="210"/>
        <v>0.18289636259782238</v>
      </c>
      <c r="L1229" s="63">
        <f t="shared" si="211"/>
        <v>0.42202384917726998</v>
      </c>
      <c r="M1229" s="63">
        <f t="shared" si="212"/>
        <v>8.9758422198159313E-2</v>
      </c>
      <c r="N1229" s="63">
        <f t="shared" si="213"/>
        <v>0.30489824185886621</v>
      </c>
      <c r="O1229" s="62">
        <f t="shared" si="214"/>
        <v>0.19931285153038533</v>
      </c>
      <c r="P1229" s="62">
        <f t="shared" si="215"/>
        <v>5.9151452939426169E-2</v>
      </c>
      <c r="Q1229" s="62">
        <f t="shared" si="216"/>
        <v>-1.641648893256295E-2</v>
      </c>
      <c r="R1229" s="63">
        <f t="shared" si="217"/>
        <v>0.42202384917726998</v>
      </c>
      <c r="S1229" s="63">
        <f t="shared" si="218"/>
        <v>-0.11712560731840374</v>
      </c>
      <c r="T1229" s="63">
        <f t="shared" si="219"/>
        <v>0.30489824185886627</v>
      </c>
    </row>
    <row r="1230" spans="1:20" x14ac:dyDescent="0.3">
      <c r="A1230" s="18" t="s">
        <v>340</v>
      </c>
      <c r="B1230" s="18" t="s">
        <v>341</v>
      </c>
      <c r="C1230" s="18" t="s">
        <v>282</v>
      </c>
      <c r="D1230" s="18" t="s">
        <v>279</v>
      </c>
      <c r="E1230" s="61">
        <v>2019</v>
      </c>
      <c r="F1230" s="62">
        <v>21346000</v>
      </c>
      <c r="G1230" s="62">
        <v>23871000</v>
      </c>
      <c r="H1230" s="62">
        <v>116710905</v>
      </c>
      <c r="I1230" s="62">
        <v>124950876</v>
      </c>
      <c r="J1230" s="62">
        <f t="shared" si="209"/>
        <v>0.18289636259782238</v>
      </c>
      <c r="K1230" s="62">
        <f t="shared" si="210"/>
        <v>0.19104307840146714</v>
      </c>
      <c r="L1230" s="63">
        <f t="shared" si="211"/>
        <v>0.11828914082263656</v>
      </c>
      <c r="M1230" s="63">
        <f t="shared" si="212"/>
        <v>7.0601551757310088E-2</v>
      </c>
      <c r="N1230" s="63">
        <f t="shared" si="213"/>
        <v>4.4542798380079747E-2</v>
      </c>
      <c r="O1230" s="62">
        <f t="shared" si="214"/>
        <v>0.20453101618910419</v>
      </c>
      <c r="P1230" s="62">
        <f t="shared" si="215"/>
        <v>2.1634653591281805E-2</v>
      </c>
      <c r="Q1230" s="62">
        <f t="shared" si="216"/>
        <v>-1.3487937787637044E-2</v>
      </c>
      <c r="R1230" s="63">
        <f t="shared" si="217"/>
        <v>0.11828914082263653</v>
      </c>
      <c r="S1230" s="63">
        <f t="shared" si="218"/>
        <v>-7.3746342442556789E-2</v>
      </c>
      <c r="T1230" s="63">
        <f t="shared" si="219"/>
        <v>4.454279838007974E-2</v>
      </c>
    </row>
    <row r="1231" spans="1:20" x14ac:dyDescent="0.3">
      <c r="A1231" s="18" t="s">
        <v>340</v>
      </c>
      <c r="B1231" s="18" t="s">
        <v>341</v>
      </c>
      <c r="C1231" s="18" t="s">
        <v>282</v>
      </c>
      <c r="D1231" s="18" t="s">
        <v>279</v>
      </c>
      <c r="E1231" s="61">
        <v>2020</v>
      </c>
      <c r="F1231" s="62">
        <v>23871000</v>
      </c>
      <c r="G1231" s="62">
        <v>30414000</v>
      </c>
      <c r="H1231" s="62">
        <v>124950876</v>
      </c>
      <c r="I1231" s="62">
        <v>124951000</v>
      </c>
      <c r="J1231" s="62">
        <f t="shared" si="209"/>
        <v>0.19104307840146714</v>
      </c>
      <c r="K1231" s="62">
        <f t="shared" si="210"/>
        <v>0.24340741570695712</v>
      </c>
      <c r="L1231" s="63">
        <f t="shared" si="211"/>
        <v>0.27409827824556993</v>
      </c>
      <c r="M1231" s="63">
        <f t="shared" si="212"/>
        <v>9.9239000133140319E-7</v>
      </c>
      <c r="N1231" s="63">
        <f t="shared" si="213"/>
        <v>0.27409701384443269</v>
      </c>
      <c r="O1231" s="62">
        <f t="shared" si="214"/>
        <v>0.24340765726204272</v>
      </c>
      <c r="P1231" s="62">
        <f t="shared" si="215"/>
        <v>5.2364578860575578E-2</v>
      </c>
      <c r="Q1231" s="62">
        <f t="shared" si="216"/>
        <v>-2.4155508560053107E-7</v>
      </c>
      <c r="R1231" s="63">
        <f t="shared" si="217"/>
        <v>0.27409827824556998</v>
      </c>
      <c r="S1231" s="63">
        <f t="shared" si="218"/>
        <v>-1.2644011372812763E-6</v>
      </c>
      <c r="T1231" s="63">
        <f t="shared" si="219"/>
        <v>0.27409701384443269</v>
      </c>
    </row>
    <row r="1232" spans="1:20" x14ac:dyDescent="0.3">
      <c r="A1232" s="18" t="s">
        <v>340</v>
      </c>
      <c r="B1232" s="18" t="s">
        <v>341</v>
      </c>
      <c r="C1232" s="18" t="s">
        <v>282</v>
      </c>
      <c r="D1232" s="18" t="s">
        <v>279</v>
      </c>
      <c r="E1232" s="61">
        <v>2021</v>
      </c>
      <c r="F1232" s="62">
        <v>30414000</v>
      </c>
      <c r="G1232" s="62">
        <v>48035000</v>
      </c>
      <c r="H1232" s="62">
        <v>124951000</v>
      </c>
      <c r="I1232" s="62">
        <v>124951000</v>
      </c>
      <c r="J1232" s="62">
        <f t="shared" si="209"/>
        <v>0.24340741570695712</v>
      </c>
      <c r="K1232" s="62">
        <f t="shared" si="210"/>
        <v>0.38443069683315861</v>
      </c>
      <c r="L1232" s="63">
        <f t="shared" si="211"/>
        <v>0.5793713421450648</v>
      </c>
      <c r="M1232" s="63">
        <f t="shared" si="212"/>
        <v>0</v>
      </c>
      <c r="N1232" s="63">
        <f t="shared" si="213"/>
        <v>0.57937134214506492</v>
      </c>
      <c r="O1232" s="62">
        <f t="shared" si="214"/>
        <v>0.38443069683315861</v>
      </c>
      <c r="P1232" s="62">
        <f t="shared" si="215"/>
        <v>0.14102328112620149</v>
      </c>
      <c r="Q1232" s="62">
        <f t="shared" si="216"/>
        <v>0</v>
      </c>
      <c r="R1232" s="63">
        <f t="shared" si="217"/>
        <v>0.57937134214506492</v>
      </c>
      <c r="S1232" s="63">
        <f t="shared" si="218"/>
        <v>0</v>
      </c>
      <c r="T1232" s="63">
        <f t="shared" si="219"/>
        <v>0.57937134214506492</v>
      </c>
    </row>
    <row r="1233" spans="1:20" x14ac:dyDescent="0.3">
      <c r="A1233" s="18" t="s">
        <v>340</v>
      </c>
      <c r="B1233" s="18" t="s">
        <v>341</v>
      </c>
      <c r="C1233" s="18" t="s">
        <v>282</v>
      </c>
      <c r="D1233" s="18" t="s">
        <v>279</v>
      </c>
      <c r="E1233" s="61">
        <v>2022</v>
      </c>
      <c r="F1233" s="62">
        <v>48035000</v>
      </c>
      <c r="G1233" s="62">
        <v>90048000</v>
      </c>
      <c r="H1233" s="62">
        <v>124951000</v>
      </c>
      <c r="I1233" s="62">
        <v>124951000</v>
      </c>
      <c r="J1233" s="62">
        <f t="shared" si="209"/>
        <v>0.38443069683315861</v>
      </c>
      <c r="K1233" s="62">
        <f t="shared" si="210"/>
        <v>0.72066650126849729</v>
      </c>
      <c r="L1233" s="63">
        <f t="shared" si="211"/>
        <v>0.87463308004579998</v>
      </c>
      <c r="M1233" s="63">
        <f t="shared" si="212"/>
        <v>0</v>
      </c>
      <c r="N1233" s="63">
        <f t="shared" si="213"/>
        <v>0.87463308004579998</v>
      </c>
      <c r="O1233" s="62">
        <f t="shared" si="214"/>
        <v>0.72066650126849729</v>
      </c>
      <c r="P1233" s="62">
        <f t="shared" si="215"/>
        <v>0.33623580443533868</v>
      </c>
      <c r="Q1233" s="62">
        <f t="shared" si="216"/>
        <v>0</v>
      </c>
      <c r="R1233" s="63">
        <f t="shared" si="217"/>
        <v>0.87463308004579998</v>
      </c>
      <c r="S1233" s="63">
        <f t="shared" si="218"/>
        <v>0</v>
      </c>
      <c r="T1233" s="63">
        <f t="shared" si="219"/>
        <v>0.87463308004579998</v>
      </c>
    </row>
    <row r="1234" spans="1:20" x14ac:dyDescent="0.3">
      <c r="A1234" s="18" t="s">
        <v>340</v>
      </c>
      <c r="B1234" s="18" t="s">
        <v>341</v>
      </c>
      <c r="C1234" s="18" t="s">
        <v>282</v>
      </c>
      <c r="D1234" s="18" t="s">
        <v>279</v>
      </c>
      <c r="E1234" s="61">
        <v>2023</v>
      </c>
      <c r="F1234" s="62">
        <v>90048000</v>
      </c>
      <c r="G1234" s="62">
        <v>107514000</v>
      </c>
      <c r="H1234" s="62">
        <v>124951000</v>
      </c>
      <c r="I1234" s="62">
        <v>125016279</v>
      </c>
      <c r="J1234" s="62">
        <f t="shared" si="209"/>
        <v>0.72066650126849729</v>
      </c>
      <c r="K1234" s="62">
        <f t="shared" si="210"/>
        <v>0.86000000047993752</v>
      </c>
      <c r="L1234" s="63">
        <f t="shared" si="211"/>
        <v>0.19396321961620469</v>
      </c>
      <c r="M1234" s="63">
        <f t="shared" si="212"/>
        <v>5.2243679522372773E-4</v>
      </c>
      <c r="N1234" s="63">
        <f t="shared" si="213"/>
        <v>0.19333977500853619</v>
      </c>
      <c r="O1234" s="62">
        <f t="shared" si="214"/>
        <v>0.86044929612408061</v>
      </c>
      <c r="P1234" s="62">
        <f t="shared" si="215"/>
        <v>0.13978279485558331</v>
      </c>
      <c r="Q1234" s="62">
        <f t="shared" si="216"/>
        <v>-4.4929564414308842E-4</v>
      </c>
      <c r="R1234" s="63">
        <f t="shared" si="217"/>
        <v>0.19396321961620458</v>
      </c>
      <c r="S1234" s="63">
        <f t="shared" si="218"/>
        <v>-6.2344460766838839E-4</v>
      </c>
      <c r="T1234" s="63">
        <f t="shared" si="219"/>
        <v>0.19333977500853619</v>
      </c>
    </row>
    <row r="1235" spans="1:20" x14ac:dyDescent="0.3">
      <c r="A1235" s="18" t="s">
        <v>340</v>
      </c>
      <c r="B1235" s="18" t="s">
        <v>341</v>
      </c>
      <c r="C1235" s="18" t="s">
        <v>282</v>
      </c>
      <c r="D1235" s="18" t="s">
        <v>279</v>
      </c>
      <c r="E1235" s="61">
        <v>2024</v>
      </c>
      <c r="F1235" s="62">
        <v>107514000</v>
      </c>
      <c r="G1235" s="62">
        <v>88614000</v>
      </c>
      <c r="H1235" s="62">
        <v>125016279</v>
      </c>
      <c r="I1235" s="62">
        <v>124950876</v>
      </c>
      <c r="J1235" s="62">
        <f t="shared" si="209"/>
        <v>0.86000000047993752</v>
      </c>
      <c r="K1235" s="62">
        <f t="shared" si="210"/>
        <v>0.70919070627404002</v>
      </c>
      <c r="L1235" s="63">
        <f t="shared" si="211"/>
        <v>-0.17579105976896031</v>
      </c>
      <c r="M1235" s="63">
        <f t="shared" si="212"/>
        <v>-5.231558683649511E-4</v>
      </c>
      <c r="N1235" s="63">
        <f t="shared" si="213"/>
        <v>-0.17535964432759979</v>
      </c>
      <c r="O1235" s="62">
        <f t="shared" si="214"/>
        <v>0.70881968899426295</v>
      </c>
      <c r="P1235" s="62">
        <f t="shared" si="215"/>
        <v>-0.15118031148567457</v>
      </c>
      <c r="Q1235" s="62">
        <f t="shared" si="216"/>
        <v>3.7101727977706389E-4</v>
      </c>
      <c r="R1235" s="63">
        <f t="shared" si="217"/>
        <v>-0.17579105976896028</v>
      </c>
      <c r="S1235" s="63">
        <f t="shared" si="218"/>
        <v>4.3141544136047843E-4</v>
      </c>
      <c r="T1235" s="63">
        <f t="shared" si="219"/>
        <v>-0.17535964432759982</v>
      </c>
    </row>
    <row r="1236" spans="1:20" x14ac:dyDescent="0.3">
      <c r="A1236" s="18" t="s">
        <v>342</v>
      </c>
      <c r="B1236" s="18" t="s">
        <v>343</v>
      </c>
      <c r="C1236" s="18" t="s">
        <v>282</v>
      </c>
      <c r="D1236" s="18" t="s">
        <v>279</v>
      </c>
      <c r="E1236" s="61">
        <v>2016</v>
      </c>
      <c r="F1236" s="62">
        <v>1086000000</v>
      </c>
      <c r="G1236" s="62">
        <v>1411000000</v>
      </c>
      <c r="H1236" s="62">
        <v>1054368932</v>
      </c>
      <c r="I1236" s="62">
        <v>1058752117</v>
      </c>
      <c r="J1236" s="62">
        <f t="shared" si="209"/>
        <v>1.0300000000379375</v>
      </c>
      <c r="K1236" s="62">
        <f t="shared" si="210"/>
        <v>1.3327009952037716</v>
      </c>
      <c r="L1236" s="63">
        <f t="shared" si="211"/>
        <v>0.29926335174953961</v>
      </c>
      <c r="M1236" s="63">
        <f t="shared" si="212"/>
        <v>4.157164410834518E-3</v>
      </c>
      <c r="N1236" s="63">
        <f t="shared" si="213"/>
        <v>0.29388446131522811</v>
      </c>
      <c r="O1236" s="62">
        <f t="shared" si="214"/>
        <v>1.3382412523513165</v>
      </c>
      <c r="P1236" s="62">
        <f t="shared" si="215"/>
        <v>0.30824125231337907</v>
      </c>
      <c r="Q1236" s="62">
        <f t="shared" si="216"/>
        <v>-5.5402571475449136E-3</v>
      </c>
      <c r="R1236" s="63">
        <f t="shared" si="217"/>
        <v>0.29926335174953961</v>
      </c>
      <c r="S1236" s="63">
        <f t="shared" si="218"/>
        <v>-5.3788904343115068E-3</v>
      </c>
      <c r="T1236" s="63">
        <f t="shared" si="219"/>
        <v>0.29388446131522811</v>
      </c>
    </row>
    <row r="1237" spans="1:20" x14ac:dyDescent="0.3">
      <c r="A1237" s="18" t="s">
        <v>342</v>
      </c>
      <c r="B1237" s="18" t="s">
        <v>343</v>
      </c>
      <c r="C1237" s="18" t="s">
        <v>282</v>
      </c>
      <c r="D1237" s="18" t="s">
        <v>279</v>
      </c>
      <c r="E1237" s="61">
        <v>2017</v>
      </c>
      <c r="F1237" s="62">
        <v>1411000000</v>
      </c>
      <c r="G1237" s="62">
        <v>1463000000</v>
      </c>
      <c r="H1237" s="62">
        <v>1058752117</v>
      </c>
      <c r="I1237" s="62">
        <v>1058752117</v>
      </c>
      <c r="J1237" s="62">
        <f t="shared" si="209"/>
        <v>1.3327009952037716</v>
      </c>
      <c r="K1237" s="62">
        <f t="shared" si="210"/>
        <v>1.3818154188399134</v>
      </c>
      <c r="L1237" s="63">
        <f t="shared" si="211"/>
        <v>3.6853295535081501E-2</v>
      </c>
      <c r="M1237" s="63">
        <f t="shared" si="212"/>
        <v>0</v>
      </c>
      <c r="N1237" s="63">
        <f t="shared" si="213"/>
        <v>3.6853295535081494E-2</v>
      </c>
      <c r="O1237" s="62">
        <f t="shared" si="214"/>
        <v>1.3818154188399134</v>
      </c>
      <c r="P1237" s="62">
        <f t="shared" si="215"/>
        <v>4.9114423636141824E-2</v>
      </c>
      <c r="Q1237" s="62">
        <f t="shared" si="216"/>
        <v>0</v>
      </c>
      <c r="R1237" s="63">
        <f t="shared" si="217"/>
        <v>3.6853295535081494E-2</v>
      </c>
      <c r="S1237" s="63">
        <f t="shared" si="218"/>
        <v>0</v>
      </c>
      <c r="T1237" s="63">
        <f t="shared" si="219"/>
        <v>3.6853295535081494E-2</v>
      </c>
    </row>
    <row r="1238" spans="1:20" x14ac:dyDescent="0.3">
      <c r="A1238" s="18" t="s">
        <v>342</v>
      </c>
      <c r="B1238" s="18" t="s">
        <v>343</v>
      </c>
      <c r="C1238" s="18" t="s">
        <v>282</v>
      </c>
      <c r="D1238" s="18" t="s">
        <v>279</v>
      </c>
      <c r="E1238" s="61">
        <v>2018</v>
      </c>
      <c r="F1238" s="62">
        <v>1463000000</v>
      </c>
      <c r="G1238" s="62">
        <v>1417000000</v>
      </c>
      <c r="H1238" s="62">
        <v>1058752117</v>
      </c>
      <c r="I1238" s="62">
        <v>1057462687</v>
      </c>
      <c r="J1238" s="62">
        <f t="shared" si="209"/>
        <v>1.3818154188399134</v>
      </c>
      <c r="K1238" s="62">
        <f t="shared" si="210"/>
        <v>1.3399999994515173</v>
      </c>
      <c r="L1238" s="63">
        <f t="shared" si="211"/>
        <v>-3.1442241968557758E-2</v>
      </c>
      <c r="M1238" s="63">
        <f t="shared" si="212"/>
        <v>-1.217877139791353E-3</v>
      </c>
      <c r="N1238" s="63">
        <f t="shared" si="213"/>
        <v>-3.0261219275944832E-2</v>
      </c>
      <c r="O1238" s="62">
        <f t="shared" si="214"/>
        <v>1.3383680440848649</v>
      </c>
      <c r="P1238" s="62">
        <f t="shared" si="215"/>
        <v>-4.3447374755048562E-2</v>
      </c>
      <c r="Q1238" s="62">
        <f t="shared" si="216"/>
        <v>1.6319553666523934E-3</v>
      </c>
      <c r="R1238" s="63">
        <f t="shared" si="217"/>
        <v>-3.1442241968557771E-2</v>
      </c>
      <c r="S1238" s="63">
        <f t="shared" si="218"/>
        <v>1.1810226926129411E-3</v>
      </c>
      <c r="T1238" s="63">
        <f t="shared" si="219"/>
        <v>-3.0261219275944832E-2</v>
      </c>
    </row>
    <row r="1239" spans="1:20" x14ac:dyDescent="0.3">
      <c r="A1239" s="18" t="s">
        <v>342</v>
      </c>
      <c r="B1239" s="18" t="s">
        <v>343</v>
      </c>
      <c r="C1239" s="18" t="s">
        <v>282</v>
      </c>
      <c r="D1239" s="18" t="s">
        <v>279</v>
      </c>
      <c r="E1239" s="61">
        <v>2019</v>
      </c>
      <c r="F1239" s="62">
        <v>1417000000</v>
      </c>
      <c r="G1239" s="62">
        <v>171000000</v>
      </c>
      <c r="H1239" s="62">
        <v>1057462687</v>
      </c>
      <c r="I1239" s="62">
        <v>1058752117</v>
      </c>
      <c r="J1239" s="62">
        <f t="shared" si="209"/>
        <v>1.3399999994515173</v>
      </c>
      <c r="K1239" s="62">
        <f t="shared" si="210"/>
        <v>0.16151089311115871</v>
      </c>
      <c r="L1239" s="63">
        <f t="shared" si="211"/>
        <v>-0.87932251235003533</v>
      </c>
      <c r="M1239" s="63">
        <f t="shared" si="212"/>
        <v>1.2193621731071064E-3</v>
      </c>
      <c r="N1239" s="63">
        <f t="shared" si="213"/>
        <v>-0.87946948270353165</v>
      </c>
      <c r="O1239" s="62">
        <f t="shared" si="214"/>
        <v>0.16170783338476319</v>
      </c>
      <c r="P1239" s="62">
        <f t="shared" si="215"/>
        <v>-1.178292166066754</v>
      </c>
      <c r="Q1239" s="62">
        <f t="shared" si="216"/>
        <v>-1.9694027360447897E-4</v>
      </c>
      <c r="R1239" s="63">
        <f t="shared" si="217"/>
        <v>-0.87932251235003522</v>
      </c>
      <c r="S1239" s="63">
        <f t="shared" si="218"/>
        <v>-1.4697035349633557E-4</v>
      </c>
      <c r="T1239" s="63">
        <f t="shared" si="219"/>
        <v>-0.87946948270353154</v>
      </c>
    </row>
    <row r="1240" spans="1:20" x14ac:dyDescent="0.3">
      <c r="A1240" s="18" t="s">
        <v>342</v>
      </c>
      <c r="B1240" s="18" t="s">
        <v>343</v>
      </c>
      <c r="C1240" s="18" t="s">
        <v>282</v>
      </c>
      <c r="D1240" s="18" t="s">
        <v>279</v>
      </c>
      <c r="E1240" s="61">
        <v>2020</v>
      </c>
      <c r="F1240" s="62">
        <v>171000000</v>
      </c>
      <c r="G1240" s="62">
        <v>1394000000</v>
      </c>
      <c r="H1240" s="62">
        <v>1058752117</v>
      </c>
      <c r="I1240" s="62">
        <v>1058731417</v>
      </c>
      <c r="J1240" s="62">
        <f t="shared" si="209"/>
        <v>0.16151089311115871</v>
      </c>
      <c r="K1240" s="62">
        <f t="shared" si="210"/>
        <v>1.3166700993439964</v>
      </c>
      <c r="L1240" s="63">
        <f t="shared" si="211"/>
        <v>7.1520467836257309</v>
      </c>
      <c r="M1240" s="63">
        <f t="shared" si="212"/>
        <v>-1.9551318639771845E-5</v>
      </c>
      <c r="N1240" s="63">
        <f t="shared" si="213"/>
        <v>7.1522061700061785</v>
      </c>
      <c r="O1240" s="62">
        <f t="shared" si="214"/>
        <v>1.3166443567073407</v>
      </c>
      <c r="P1240" s="62">
        <f t="shared" si="215"/>
        <v>1.1551334635961821</v>
      </c>
      <c r="Q1240" s="62">
        <f t="shared" si="216"/>
        <v>2.5742636655667894E-5</v>
      </c>
      <c r="R1240" s="63">
        <f t="shared" si="217"/>
        <v>7.1520467836257318</v>
      </c>
      <c r="S1240" s="63">
        <f t="shared" si="218"/>
        <v>1.5938638044649231E-4</v>
      </c>
      <c r="T1240" s="63">
        <f t="shared" si="219"/>
        <v>7.1522061700061785</v>
      </c>
    </row>
    <row r="1241" spans="1:20" x14ac:dyDescent="0.3">
      <c r="A1241" s="18" t="s">
        <v>342</v>
      </c>
      <c r="B1241" s="18" t="s">
        <v>343</v>
      </c>
      <c r="C1241" s="18" t="s">
        <v>282</v>
      </c>
      <c r="D1241" s="18" t="s">
        <v>279</v>
      </c>
      <c r="E1241" s="61">
        <v>2021</v>
      </c>
      <c r="F1241" s="62">
        <v>1394000000</v>
      </c>
      <c r="G1241" s="62">
        <v>1435000000</v>
      </c>
      <c r="H1241" s="62">
        <v>1058731417</v>
      </c>
      <c r="I1241" s="62">
        <v>1058650233</v>
      </c>
      <c r="J1241" s="62">
        <f t="shared" si="209"/>
        <v>1.3166700993439964</v>
      </c>
      <c r="K1241" s="62">
        <f t="shared" si="210"/>
        <v>1.3554996308209379</v>
      </c>
      <c r="L1241" s="63">
        <f t="shared" si="211"/>
        <v>2.9411764705882353E-2</v>
      </c>
      <c r="M1241" s="63">
        <f t="shared" si="212"/>
        <v>-7.6680448597663551E-5</v>
      </c>
      <c r="N1241" s="63">
        <f t="shared" si="213"/>
        <v>2.949070651508497E-2</v>
      </c>
      <c r="O1241" s="62">
        <f t="shared" si="214"/>
        <v>1.3553956905011726</v>
      </c>
      <c r="P1241" s="62">
        <f t="shared" si="215"/>
        <v>3.872559115717622E-2</v>
      </c>
      <c r="Q1241" s="62">
        <f t="shared" si="216"/>
        <v>1.039403197653499E-4</v>
      </c>
      <c r="R1241" s="63">
        <f t="shared" si="217"/>
        <v>2.9411764705882245E-2</v>
      </c>
      <c r="S1241" s="63">
        <f t="shared" si="218"/>
        <v>7.894180920272741E-5</v>
      </c>
      <c r="T1241" s="63">
        <f t="shared" si="219"/>
        <v>2.9490706515084973E-2</v>
      </c>
    </row>
    <row r="1242" spans="1:20" x14ac:dyDescent="0.3">
      <c r="A1242" s="18" t="s">
        <v>342</v>
      </c>
      <c r="B1242" s="18" t="s">
        <v>343</v>
      </c>
      <c r="C1242" s="18" t="s">
        <v>282</v>
      </c>
      <c r="D1242" s="18" t="s">
        <v>279</v>
      </c>
      <c r="E1242" s="61">
        <v>2022</v>
      </c>
      <c r="F1242" s="62">
        <v>1435000000</v>
      </c>
      <c r="G1242" s="62">
        <v>2541000000</v>
      </c>
      <c r="H1242" s="62">
        <v>1058650233</v>
      </c>
      <c r="I1242" s="62">
        <v>1058566751</v>
      </c>
      <c r="J1242" s="62">
        <f t="shared" si="209"/>
        <v>1.3554996308209379</v>
      </c>
      <c r="K1242" s="62">
        <f t="shared" si="210"/>
        <v>2.4004154651556782</v>
      </c>
      <c r="L1242" s="63">
        <f t="shared" si="211"/>
        <v>0.77073170731707319</v>
      </c>
      <c r="M1242" s="63">
        <f t="shared" si="212"/>
        <v>-7.8857017547173208E-5</v>
      </c>
      <c r="N1242" s="63">
        <f t="shared" si="213"/>
        <v>0.77087135295042664</v>
      </c>
      <c r="O1242" s="62">
        <f t="shared" si="214"/>
        <v>2.400226175551222</v>
      </c>
      <c r="P1242" s="62">
        <f t="shared" si="215"/>
        <v>1.044726544730284</v>
      </c>
      <c r="Q1242" s="62">
        <f t="shared" si="216"/>
        <v>1.892896044561887E-4</v>
      </c>
      <c r="R1242" s="63">
        <f t="shared" si="217"/>
        <v>0.7707317073170733</v>
      </c>
      <c r="S1242" s="63">
        <f t="shared" si="218"/>
        <v>1.3964563335332544E-4</v>
      </c>
      <c r="T1242" s="63">
        <f t="shared" si="219"/>
        <v>0.77087135295042664</v>
      </c>
    </row>
    <row r="1243" spans="1:20" x14ac:dyDescent="0.3">
      <c r="A1243" s="18" t="s">
        <v>342</v>
      </c>
      <c r="B1243" s="18" t="s">
        <v>343</v>
      </c>
      <c r="C1243" s="18" t="s">
        <v>282</v>
      </c>
      <c r="D1243" s="18" t="s">
        <v>279</v>
      </c>
      <c r="E1243" s="61">
        <v>2023</v>
      </c>
      <c r="F1243" s="62">
        <v>2541000000</v>
      </c>
      <c r="G1243" s="62">
        <v>742000000</v>
      </c>
      <c r="H1243" s="62">
        <v>1058566751</v>
      </c>
      <c r="I1243" s="62">
        <v>1058471772</v>
      </c>
      <c r="J1243" s="62">
        <f t="shared" si="209"/>
        <v>2.4004154651556782</v>
      </c>
      <c r="K1243" s="62">
        <f t="shared" si="210"/>
        <v>0.70101066426927827</v>
      </c>
      <c r="L1243" s="63">
        <f t="shared" si="211"/>
        <v>-0.70798898071625349</v>
      </c>
      <c r="M1243" s="63">
        <f t="shared" si="212"/>
        <v>-8.972414815624603E-5</v>
      </c>
      <c r="N1243" s="63">
        <f t="shared" si="213"/>
        <v>-0.70796277792527285</v>
      </c>
      <c r="O1243" s="62">
        <f t="shared" si="214"/>
        <v>0.70094776668457826</v>
      </c>
      <c r="P1243" s="62">
        <f t="shared" si="215"/>
        <v>-1.6994676984710999</v>
      </c>
      <c r="Q1243" s="62">
        <f t="shared" si="216"/>
        <v>6.2897584700016829E-5</v>
      </c>
      <c r="R1243" s="63">
        <f t="shared" si="217"/>
        <v>-0.70798898071625338</v>
      </c>
      <c r="S1243" s="63">
        <f t="shared" si="218"/>
        <v>2.6202790980576201E-5</v>
      </c>
      <c r="T1243" s="63">
        <f t="shared" si="219"/>
        <v>-0.70796277792527285</v>
      </c>
    </row>
    <row r="1244" spans="1:20" x14ac:dyDescent="0.3">
      <c r="A1244" s="18" t="s">
        <v>342</v>
      </c>
      <c r="B1244" s="18" t="s">
        <v>343</v>
      </c>
      <c r="C1244" s="18" t="s">
        <v>282</v>
      </c>
      <c r="D1244" s="18" t="s">
        <v>279</v>
      </c>
      <c r="E1244" s="61">
        <v>2024</v>
      </c>
      <c r="F1244" s="62">
        <v>742000000</v>
      </c>
      <c r="G1244" s="62">
        <v>1888000000</v>
      </c>
      <c r="H1244" s="62">
        <v>1058471772</v>
      </c>
      <c r="I1244" s="62">
        <v>1060674157</v>
      </c>
      <c r="J1244" s="62">
        <f t="shared" si="209"/>
        <v>0.70101066426927827</v>
      </c>
      <c r="K1244" s="62">
        <f t="shared" si="210"/>
        <v>1.7800000005091101</v>
      </c>
      <c r="L1244" s="63">
        <f t="shared" si="211"/>
        <v>1.5444743935309972</v>
      </c>
      <c r="M1244" s="63">
        <f t="shared" si="212"/>
        <v>2.0807215253729034E-3</v>
      </c>
      <c r="N1244" s="63">
        <f t="shared" si="213"/>
        <v>1.5391910440685697</v>
      </c>
      <c r="O1244" s="62">
        <f t="shared" si="214"/>
        <v>1.7837036848253331</v>
      </c>
      <c r="P1244" s="62">
        <f t="shared" si="215"/>
        <v>1.082693020556055</v>
      </c>
      <c r="Q1244" s="62">
        <f t="shared" si="216"/>
        <v>-3.7036843162230326E-3</v>
      </c>
      <c r="R1244" s="63">
        <f t="shared" si="217"/>
        <v>1.544474393530997</v>
      </c>
      <c r="S1244" s="63">
        <f t="shared" si="218"/>
        <v>-5.2833494624274953E-3</v>
      </c>
      <c r="T1244" s="63">
        <f t="shared" si="219"/>
        <v>1.5391910440685694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Net Income</vt:lpstr>
      <vt:lpstr>Avg Shares Outstanding</vt:lpstr>
      <vt:lpstr>EPS</vt:lpstr>
      <vt:lpstr>Stock Prices</vt:lpstr>
      <vt:lpstr>Stock Price Return</vt:lpstr>
      <vt:lpstr>Market Cap</vt:lpstr>
      <vt:lpstr>Dividends Per Share</vt:lpstr>
      <vt:lpstr>PE Calculated</vt:lpstr>
      <vt:lpstr>Outlier Summary</vt:lpstr>
      <vt:lpstr>EPS Decomposition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Ceccaroni</cp:lastModifiedBy>
  <dcterms:created xsi:type="dcterms:W3CDTF">2026-03-14T15:00:31Z</dcterms:created>
  <dcterms:modified xsi:type="dcterms:W3CDTF">2026-03-17T11:25:29Z</dcterms:modified>
</cp:coreProperties>
</file>